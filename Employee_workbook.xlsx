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BHILIPSA PATI\OneDrive\Desktop\Whole\Internship-Infotact\Tasks\Workforce Attendance Intelligence System-1\"/>
    </mc:Choice>
  </mc:AlternateContent>
  <xr:revisionPtr revIDLastSave="0" documentId="13_ncr:1_{B1F34B21-03E5-4E4D-BA59-0B7DCD95893E}" xr6:coauthVersionLast="47" xr6:coauthVersionMax="47" xr10:uidLastSave="{00000000-0000-0000-0000-000000000000}"/>
  <bookViews>
    <workbookView xWindow="-108" yWindow="-108" windowWidth="23256" windowHeight="12456" firstSheet="2" activeTab="6" xr2:uid="{5C1F931B-D2AA-47CD-80A3-B2C50C55FACD}"/>
  </bookViews>
  <sheets>
    <sheet name="Raw Dataset" sheetId="3" r:id="rId1"/>
    <sheet name="Modified_Data" sheetId="2" r:id="rId2"/>
    <sheet name="Data_Quality_Assessment" sheetId="1" r:id="rId3"/>
    <sheet name="Monthly Attendance % Trend" sheetId="4" r:id="rId4"/>
    <sheet name="Late_Trend" sheetId="6" r:id="rId5"/>
    <sheet name="Dashboard" sheetId="7" r:id="rId6"/>
    <sheet name="Sheet7" sheetId="8" r:id="rId7"/>
  </sheets>
  <definedNames>
    <definedName name="ExternalData_1" localSheetId="1" hidden="1">Modified_Data!$A$1:$M$2495</definedName>
    <definedName name="ExternalData_1" localSheetId="0" hidden="1">'Raw Dataset'!$A$1:$I$2576</definedName>
    <definedName name="Slicer_Department">#N/A</definedName>
    <definedName name="Slicer_Month">#N/A</definedName>
  </definedNames>
  <calcPr calcId="191029"/>
  <pivotCaches>
    <pivotCache cacheId="1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7" l="1"/>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E2" i="2"/>
  <c r="N296" i="2"/>
  <c r="N956" i="2"/>
  <c r="N1820" i="2"/>
  <c r="N2264" i="2"/>
  <c r="N2337" i="2"/>
  <c r="E11" i="2"/>
  <c r="E3" i="2"/>
  <c r="E4" i="2"/>
  <c r="E5" i="2"/>
  <c r="E6" i="2"/>
  <c r="E7" i="2"/>
  <c r="E8" i="2"/>
  <c r="E9" i="2"/>
  <c r="N9" i="2" s="1"/>
  <c r="E10" i="2"/>
  <c r="E12" i="2"/>
  <c r="E13" i="2"/>
  <c r="E14" i="2"/>
  <c r="E15" i="2"/>
  <c r="E16" i="2"/>
  <c r="E17" i="2"/>
  <c r="E18" i="2"/>
  <c r="N18" i="2" s="1"/>
  <c r="E19" i="2"/>
  <c r="E20" i="2"/>
  <c r="E21" i="2"/>
  <c r="E22" i="2"/>
  <c r="E23" i="2"/>
  <c r="E24" i="2"/>
  <c r="E25" i="2"/>
  <c r="N25" i="2" s="1"/>
  <c r="E26" i="2"/>
  <c r="E27" i="2"/>
  <c r="E28" i="2"/>
  <c r="E29" i="2"/>
  <c r="E30" i="2"/>
  <c r="E31" i="2"/>
  <c r="E32" i="2"/>
  <c r="N32" i="2" s="1"/>
  <c r="E33" i="2"/>
  <c r="E34" i="2"/>
  <c r="E35" i="2"/>
  <c r="E36" i="2"/>
  <c r="E37" i="2"/>
  <c r="E38" i="2"/>
  <c r="E39" i="2"/>
  <c r="E40" i="2"/>
  <c r="E41" i="2"/>
  <c r="E42" i="2"/>
  <c r="E43" i="2"/>
  <c r="E44" i="2"/>
  <c r="E45" i="2"/>
  <c r="E46" i="2"/>
  <c r="E47" i="2"/>
  <c r="E48" i="2"/>
  <c r="N2251" i="2" s="1"/>
  <c r="E49" i="2"/>
  <c r="E50" i="2"/>
  <c r="E51" i="2"/>
  <c r="E52" i="2"/>
  <c r="E53" i="2"/>
  <c r="E54" i="2"/>
  <c r="N54" i="2" s="1"/>
  <c r="E55" i="2"/>
  <c r="E56" i="2"/>
  <c r="E57" i="2"/>
  <c r="E58" i="2"/>
  <c r="E59" i="2"/>
  <c r="N59" i="2" s="1"/>
  <c r="E60" i="2"/>
  <c r="E61" i="2"/>
  <c r="E62" i="2"/>
  <c r="E63" i="2"/>
  <c r="E64" i="2"/>
  <c r="E65" i="2"/>
  <c r="E66" i="2"/>
  <c r="N66" i="2" s="1"/>
  <c r="E67" i="2"/>
  <c r="E68" i="2"/>
  <c r="N68" i="2" s="1"/>
  <c r="E69" i="2"/>
  <c r="E70" i="2"/>
  <c r="E71" i="2"/>
  <c r="E72" i="2"/>
  <c r="E73" i="2"/>
  <c r="E74" i="2"/>
  <c r="E75" i="2"/>
  <c r="E76" i="2"/>
  <c r="E77" i="2"/>
  <c r="E78" i="2"/>
  <c r="N78" i="2" s="1"/>
  <c r="E79" i="2"/>
  <c r="E80" i="2"/>
  <c r="N80" i="2" s="1"/>
  <c r="E81" i="2"/>
  <c r="E82" i="2"/>
  <c r="E83" i="2"/>
  <c r="E84" i="2"/>
  <c r="E85" i="2"/>
  <c r="E86" i="2"/>
  <c r="E87" i="2"/>
  <c r="E88" i="2"/>
  <c r="E89" i="2"/>
  <c r="N89" i="2" s="1"/>
  <c r="E90" i="2"/>
  <c r="N90" i="2" s="1"/>
  <c r="E91" i="2"/>
  <c r="E92" i="2"/>
  <c r="E93" i="2"/>
  <c r="E94" i="2"/>
  <c r="E95" i="2"/>
  <c r="E96" i="2"/>
  <c r="E97" i="2"/>
  <c r="E98" i="2"/>
  <c r="E99" i="2"/>
  <c r="E100" i="2"/>
  <c r="E101" i="2"/>
  <c r="E102" i="2"/>
  <c r="N102" i="2" s="1"/>
  <c r="E103" i="2"/>
  <c r="E104" i="2"/>
  <c r="E105" i="2"/>
  <c r="E106" i="2"/>
  <c r="E107" i="2"/>
  <c r="E108" i="2"/>
  <c r="E109" i="2"/>
  <c r="E110" i="2"/>
  <c r="E111" i="2"/>
  <c r="E112" i="2"/>
  <c r="E113" i="2"/>
  <c r="E114" i="2"/>
  <c r="E115" i="2"/>
  <c r="E116" i="2"/>
  <c r="E117" i="2"/>
  <c r="E118" i="2"/>
  <c r="E119" i="2"/>
  <c r="E120" i="2"/>
  <c r="E121" i="2"/>
  <c r="E122" i="2"/>
  <c r="E123" i="2"/>
  <c r="E124" i="2"/>
  <c r="E125" i="2"/>
  <c r="E126" i="2"/>
  <c r="N126" i="2" s="1"/>
  <c r="E127" i="2"/>
  <c r="E128" i="2"/>
  <c r="E129" i="2"/>
  <c r="E130" i="2"/>
  <c r="E131" i="2"/>
  <c r="E132" i="2"/>
  <c r="E133" i="2"/>
  <c r="E134" i="2"/>
  <c r="E135" i="2"/>
  <c r="E136" i="2"/>
  <c r="E137" i="2"/>
  <c r="E138" i="2"/>
  <c r="N138" i="2" s="1"/>
  <c r="E139" i="2"/>
  <c r="E140" i="2"/>
  <c r="E141" i="2"/>
  <c r="E142" i="2"/>
  <c r="E143" i="2"/>
  <c r="E144" i="2"/>
  <c r="E145" i="2"/>
  <c r="E146" i="2"/>
  <c r="E147" i="2"/>
  <c r="N147" i="2" s="1"/>
  <c r="E148" i="2"/>
  <c r="N148" i="2" s="1"/>
  <c r="E149" i="2"/>
  <c r="E150" i="2"/>
  <c r="E151" i="2"/>
  <c r="E152" i="2"/>
  <c r="N152" i="2" s="1"/>
  <c r="E153" i="2"/>
  <c r="E154" i="2"/>
  <c r="E155" i="2"/>
  <c r="E156" i="2"/>
  <c r="E157" i="2"/>
  <c r="E158" i="2"/>
  <c r="E159" i="2"/>
  <c r="E160" i="2"/>
  <c r="E161" i="2"/>
  <c r="E162" i="2"/>
  <c r="N162" i="2" s="1"/>
  <c r="E163" i="2"/>
  <c r="E164" i="2"/>
  <c r="E165" i="2"/>
  <c r="E166" i="2"/>
  <c r="E167" i="2"/>
  <c r="E168" i="2"/>
  <c r="E169" i="2"/>
  <c r="E170" i="2"/>
  <c r="E171" i="2"/>
  <c r="E172" i="2"/>
  <c r="E173" i="2"/>
  <c r="N173" i="2" s="1"/>
  <c r="E174" i="2"/>
  <c r="N174" i="2" s="1"/>
  <c r="E175" i="2"/>
  <c r="E176" i="2"/>
  <c r="E177" i="2"/>
  <c r="E178" i="2"/>
  <c r="E179" i="2"/>
  <c r="E180" i="2"/>
  <c r="E181" i="2"/>
  <c r="E182" i="2"/>
  <c r="E183" i="2"/>
  <c r="E184" i="2"/>
  <c r="N184" i="2" s="1"/>
  <c r="E185" i="2"/>
  <c r="E186" i="2"/>
  <c r="N186" i="2" s="1"/>
  <c r="E187" i="2"/>
  <c r="E188" i="2"/>
  <c r="N188" i="2" s="1"/>
  <c r="E189" i="2"/>
  <c r="E190" i="2"/>
  <c r="E191" i="2"/>
  <c r="E192" i="2"/>
  <c r="E193" i="2"/>
  <c r="E194" i="2"/>
  <c r="E195" i="2"/>
  <c r="E196" i="2"/>
  <c r="E197" i="2"/>
  <c r="E198" i="2"/>
  <c r="N198" i="2" s="1"/>
  <c r="E199" i="2"/>
  <c r="E200" i="2"/>
  <c r="E201" i="2"/>
  <c r="E202" i="2"/>
  <c r="E203" i="2"/>
  <c r="E204" i="2"/>
  <c r="E205" i="2"/>
  <c r="E206" i="2"/>
  <c r="E207" i="2"/>
  <c r="E208" i="2"/>
  <c r="E209" i="2"/>
  <c r="E210" i="2"/>
  <c r="N210" i="2" s="1"/>
  <c r="E211" i="2"/>
  <c r="E212" i="2"/>
  <c r="N212" i="2" s="1"/>
  <c r="E213" i="2"/>
  <c r="E214" i="2"/>
  <c r="E215" i="2"/>
  <c r="E216" i="2"/>
  <c r="E217" i="2"/>
  <c r="E218" i="2"/>
  <c r="E219" i="2"/>
  <c r="E220" i="2"/>
  <c r="E221" i="2"/>
  <c r="E222" i="2"/>
  <c r="N222" i="2" s="1"/>
  <c r="E223" i="2"/>
  <c r="E224" i="2"/>
  <c r="N224" i="2" s="1"/>
  <c r="E225" i="2"/>
  <c r="E226" i="2"/>
  <c r="E227" i="2"/>
  <c r="E228" i="2"/>
  <c r="E229" i="2"/>
  <c r="E230" i="2"/>
  <c r="E231" i="2"/>
  <c r="E232" i="2"/>
  <c r="E233" i="2"/>
  <c r="E234" i="2"/>
  <c r="N234" i="2" s="1"/>
  <c r="E235" i="2"/>
  <c r="E236" i="2"/>
  <c r="E237" i="2"/>
  <c r="E238" i="2"/>
  <c r="E239" i="2"/>
  <c r="E240" i="2"/>
  <c r="E241" i="2"/>
  <c r="E242" i="2"/>
  <c r="E243" i="2"/>
  <c r="E244" i="2"/>
  <c r="E245" i="2"/>
  <c r="E246" i="2"/>
  <c r="E247" i="2"/>
  <c r="E248" i="2"/>
  <c r="E249" i="2"/>
  <c r="E250" i="2"/>
  <c r="E251" i="2"/>
  <c r="E252" i="2"/>
  <c r="E253" i="2"/>
  <c r="E254" i="2"/>
  <c r="E255" i="2"/>
  <c r="E256" i="2"/>
  <c r="E257" i="2"/>
  <c r="E258" i="2"/>
  <c r="N258" i="2" s="1"/>
  <c r="E259" i="2"/>
  <c r="E260" i="2"/>
  <c r="E261" i="2"/>
  <c r="E262" i="2"/>
  <c r="E263" i="2"/>
  <c r="E264" i="2"/>
  <c r="E265" i="2"/>
  <c r="E266" i="2"/>
  <c r="E267" i="2"/>
  <c r="E268" i="2"/>
  <c r="E269" i="2"/>
  <c r="E270" i="2"/>
  <c r="E271" i="2"/>
  <c r="E272" i="2"/>
  <c r="N1123" i="2" s="1"/>
  <c r="E273" i="2"/>
  <c r="E274" i="2"/>
  <c r="E275" i="2"/>
  <c r="E276" i="2"/>
  <c r="E277" i="2"/>
  <c r="E278" i="2"/>
  <c r="E279" i="2"/>
  <c r="E280" i="2"/>
  <c r="E281" i="2"/>
  <c r="E282" i="2"/>
  <c r="N282" i="2" s="1"/>
  <c r="E283" i="2"/>
  <c r="E284" i="2"/>
  <c r="N284" i="2" s="1"/>
  <c r="E285" i="2"/>
  <c r="E286" i="2"/>
  <c r="E287" i="2"/>
  <c r="E288" i="2"/>
  <c r="E289" i="2"/>
  <c r="E290" i="2"/>
  <c r="E291" i="2"/>
  <c r="E292" i="2"/>
  <c r="E293" i="2"/>
  <c r="E294" i="2"/>
  <c r="N294" i="2" s="1"/>
  <c r="E295" i="2"/>
  <c r="E296" i="2"/>
  <c r="E297" i="2"/>
  <c r="E298" i="2"/>
  <c r="E299" i="2"/>
  <c r="E300" i="2"/>
  <c r="E301" i="2"/>
  <c r="E302" i="2"/>
  <c r="E303" i="2"/>
  <c r="E304" i="2"/>
  <c r="E305" i="2"/>
  <c r="N305" i="2" s="1"/>
  <c r="E306" i="2"/>
  <c r="N306" i="2" s="1"/>
  <c r="E307" i="2"/>
  <c r="E308" i="2"/>
  <c r="E309" i="2"/>
  <c r="E310" i="2"/>
  <c r="E311" i="2"/>
  <c r="E312" i="2"/>
  <c r="E313" i="2"/>
  <c r="E314" i="2"/>
  <c r="E315" i="2"/>
  <c r="E316" i="2"/>
  <c r="E317" i="2"/>
  <c r="E318" i="2"/>
  <c r="E319" i="2"/>
  <c r="E320" i="2"/>
  <c r="N320" i="2" s="1"/>
  <c r="E321" i="2"/>
  <c r="E322" i="2"/>
  <c r="E323" i="2"/>
  <c r="N323" i="2" s="1"/>
  <c r="E324" i="2"/>
  <c r="E325" i="2"/>
  <c r="E326" i="2"/>
  <c r="E327" i="2"/>
  <c r="E328" i="2"/>
  <c r="N328" i="2" s="1"/>
  <c r="E329" i="2"/>
  <c r="E330" i="2"/>
  <c r="N330" i="2" s="1"/>
  <c r="E331" i="2"/>
  <c r="E332" i="2"/>
  <c r="E333" i="2"/>
  <c r="E334" i="2"/>
  <c r="E335" i="2"/>
  <c r="E336" i="2"/>
  <c r="E337" i="2"/>
  <c r="E338" i="2"/>
  <c r="E339" i="2"/>
  <c r="E340" i="2"/>
  <c r="E341" i="2"/>
  <c r="E342" i="2"/>
  <c r="E343" i="2"/>
  <c r="E344" i="2"/>
  <c r="N344" i="2" s="1"/>
  <c r="E345" i="2"/>
  <c r="E346" i="2"/>
  <c r="E347" i="2"/>
  <c r="E348" i="2"/>
  <c r="E349" i="2"/>
  <c r="N2023" i="2" s="1"/>
  <c r="E350" i="2"/>
  <c r="E351" i="2"/>
  <c r="E352" i="2"/>
  <c r="E353" i="2"/>
  <c r="N353" i="2" s="1"/>
  <c r="E354" i="2"/>
  <c r="N354" i="2" s="1"/>
  <c r="E355" i="2"/>
  <c r="E356" i="2"/>
  <c r="E357" i="2"/>
  <c r="E358" i="2"/>
  <c r="E359" i="2"/>
  <c r="E360" i="2"/>
  <c r="E361" i="2"/>
  <c r="E362" i="2"/>
  <c r="E363" i="2"/>
  <c r="E364" i="2"/>
  <c r="E365" i="2"/>
  <c r="E366" i="2"/>
  <c r="N366" i="2" s="1"/>
  <c r="E367" i="2"/>
  <c r="E368" i="2"/>
  <c r="N368" i="2" s="1"/>
  <c r="E369" i="2"/>
  <c r="E370" i="2"/>
  <c r="E371" i="2"/>
  <c r="E372" i="2"/>
  <c r="E373" i="2"/>
  <c r="E374" i="2"/>
  <c r="E375" i="2"/>
  <c r="E376" i="2"/>
  <c r="E377" i="2"/>
  <c r="E378" i="2"/>
  <c r="N378" i="2" s="1"/>
  <c r="E379" i="2"/>
  <c r="E380" i="2"/>
  <c r="N380" i="2" s="1"/>
  <c r="E381" i="2"/>
  <c r="E382" i="2"/>
  <c r="E383" i="2"/>
  <c r="E384" i="2"/>
  <c r="N1183" i="2" s="1"/>
  <c r="E385" i="2"/>
  <c r="E386" i="2"/>
  <c r="E387" i="2"/>
  <c r="E388" i="2"/>
  <c r="E389" i="2"/>
  <c r="E390" i="2"/>
  <c r="N390" i="2" s="1"/>
  <c r="E391" i="2"/>
  <c r="E392" i="2"/>
  <c r="E393" i="2"/>
  <c r="E394" i="2"/>
  <c r="E395" i="2"/>
  <c r="E396" i="2"/>
  <c r="E397" i="2"/>
  <c r="E398" i="2"/>
  <c r="E399" i="2"/>
  <c r="E400" i="2"/>
  <c r="E401" i="2"/>
  <c r="E402" i="2"/>
  <c r="N402" i="2" s="1"/>
  <c r="E403" i="2"/>
  <c r="E404" i="2"/>
  <c r="E405" i="2"/>
  <c r="E406" i="2"/>
  <c r="E407" i="2"/>
  <c r="E408" i="2"/>
  <c r="E409" i="2"/>
  <c r="E410" i="2"/>
  <c r="E411" i="2"/>
  <c r="E412" i="2"/>
  <c r="E413" i="2"/>
  <c r="E414" i="2"/>
  <c r="N414" i="2" s="1"/>
  <c r="E415" i="2"/>
  <c r="E416" i="2"/>
  <c r="N416" i="2" s="1"/>
  <c r="E417" i="2"/>
  <c r="E418" i="2"/>
  <c r="E419" i="2"/>
  <c r="E420" i="2"/>
  <c r="N2193" i="2" s="1"/>
  <c r="E421" i="2"/>
  <c r="E422" i="2"/>
  <c r="E423" i="2"/>
  <c r="E424" i="2"/>
  <c r="E425" i="2"/>
  <c r="N425" i="2" s="1"/>
  <c r="E426" i="2"/>
  <c r="N426" i="2" s="1"/>
  <c r="E427" i="2"/>
  <c r="E428" i="2"/>
  <c r="E429" i="2"/>
  <c r="E430" i="2"/>
  <c r="E431" i="2"/>
  <c r="E432" i="2"/>
  <c r="E433" i="2"/>
  <c r="E434" i="2"/>
  <c r="E435" i="2"/>
  <c r="E436" i="2"/>
  <c r="E437" i="2"/>
  <c r="E438" i="2"/>
  <c r="N438" i="2" s="1"/>
  <c r="E439" i="2"/>
  <c r="E440" i="2"/>
  <c r="E441" i="2"/>
  <c r="E442" i="2"/>
  <c r="E443" i="2"/>
  <c r="E444" i="2"/>
  <c r="E445" i="2"/>
  <c r="E446" i="2"/>
  <c r="E447" i="2"/>
  <c r="E448" i="2"/>
  <c r="E449" i="2"/>
  <c r="E450" i="2"/>
  <c r="N450" i="2" s="1"/>
  <c r="E451" i="2"/>
  <c r="E452" i="2"/>
  <c r="E453" i="2"/>
  <c r="E454" i="2"/>
  <c r="E455" i="2"/>
  <c r="E456" i="2"/>
  <c r="E457" i="2"/>
  <c r="E458" i="2"/>
  <c r="E459" i="2"/>
  <c r="E460" i="2"/>
  <c r="E461" i="2"/>
  <c r="N461" i="2" s="1"/>
  <c r="E462" i="2"/>
  <c r="N462" i="2" s="1"/>
  <c r="E463" i="2"/>
  <c r="E464" i="2"/>
  <c r="E465" i="2"/>
  <c r="E466" i="2"/>
  <c r="E467" i="2"/>
  <c r="E468" i="2"/>
  <c r="E469" i="2"/>
  <c r="E470" i="2"/>
  <c r="E471" i="2"/>
  <c r="E472" i="2"/>
  <c r="E473" i="2"/>
  <c r="N473" i="2" s="1"/>
  <c r="E474" i="2"/>
  <c r="N474" i="2" s="1"/>
  <c r="E475" i="2"/>
  <c r="E476" i="2"/>
  <c r="N476" i="2" s="1"/>
  <c r="E477" i="2"/>
  <c r="E478" i="2"/>
  <c r="E479" i="2"/>
  <c r="E480" i="2"/>
  <c r="E481" i="2"/>
  <c r="E482" i="2"/>
  <c r="E483" i="2"/>
  <c r="E484" i="2"/>
  <c r="E485" i="2"/>
  <c r="N485" i="2" s="1"/>
  <c r="E486" i="2"/>
  <c r="N486" i="2" s="1"/>
  <c r="E487" i="2"/>
  <c r="E488" i="2"/>
  <c r="E489" i="2"/>
  <c r="E490" i="2"/>
  <c r="E491" i="2"/>
  <c r="N491" i="2" s="1"/>
  <c r="E492" i="2"/>
  <c r="E493" i="2"/>
  <c r="E494" i="2"/>
  <c r="E495" i="2"/>
  <c r="E496" i="2"/>
  <c r="E497" i="2"/>
  <c r="N497" i="2" s="1"/>
  <c r="E498" i="2"/>
  <c r="N498" i="2" s="1"/>
  <c r="E499" i="2"/>
  <c r="E500" i="2"/>
  <c r="N500" i="2" s="1"/>
  <c r="E501" i="2"/>
  <c r="E502" i="2"/>
  <c r="E503" i="2"/>
  <c r="E504" i="2"/>
  <c r="E505" i="2"/>
  <c r="E506" i="2"/>
  <c r="E507" i="2"/>
  <c r="N507" i="2" s="1"/>
  <c r="E508" i="2"/>
  <c r="E509" i="2"/>
  <c r="E510" i="2"/>
  <c r="E511" i="2"/>
  <c r="E512" i="2"/>
  <c r="E513" i="2"/>
  <c r="E514" i="2"/>
  <c r="E515" i="2"/>
  <c r="N515" i="2" s="1"/>
  <c r="E516" i="2"/>
  <c r="E517" i="2"/>
  <c r="E518" i="2"/>
  <c r="E519" i="2"/>
  <c r="E520" i="2"/>
  <c r="E521" i="2"/>
  <c r="N521" i="2" s="1"/>
  <c r="E522" i="2"/>
  <c r="E523" i="2"/>
  <c r="E524" i="2"/>
  <c r="E525" i="2"/>
  <c r="E526" i="2"/>
  <c r="E527" i="2"/>
  <c r="E528" i="2"/>
  <c r="E529" i="2"/>
  <c r="E530" i="2"/>
  <c r="E531" i="2"/>
  <c r="E532" i="2"/>
  <c r="E533" i="2"/>
  <c r="E534" i="2"/>
  <c r="N534" i="2" s="1"/>
  <c r="E535" i="2"/>
  <c r="E536" i="2"/>
  <c r="E537" i="2"/>
  <c r="E538" i="2"/>
  <c r="E539" i="2"/>
  <c r="E540" i="2"/>
  <c r="E541" i="2"/>
  <c r="E542" i="2"/>
  <c r="E543" i="2"/>
  <c r="E544" i="2"/>
  <c r="E545" i="2"/>
  <c r="E546" i="2"/>
  <c r="E547" i="2"/>
  <c r="E548" i="2"/>
  <c r="E549" i="2"/>
  <c r="E550" i="2"/>
  <c r="E551" i="2"/>
  <c r="E552" i="2"/>
  <c r="E553" i="2"/>
  <c r="N2179" i="2" s="1"/>
  <c r="E554" i="2"/>
  <c r="E555" i="2"/>
  <c r="N555" i="2" s="1"/>
  <c r="E556" i="2"/>
  <c r="E557" i="2"/>
  <c r="N557" i="2" s="1"/>
  <c r="E558" i="2"/>
  <c r="N558" i="2" s="1"/>
  <c r="E559" i="2"/>
  <c r="E560" i="2"/>
  <c r="E561" i="2"/>
  <c r="E562" i="2"/>
  <c r="E563" i="2"/>
  <c r="E564" i="2"/>
  <c r="E565" i="2"/>
  <c r="E566" i="2"/>
  <c r="E567" i="2"/>
  <c r="N567" i="2" s="1"/>
  <c r="E568" i="2"/>
  <c r="E569" i="2"/>
  <c r="N569" i="2" s="1"/>
  <c r="E570" i="2"/>
  <c r="E571" i="2"/>
  <c r="E572" i="2"/>
  <c r="E573" i="2"/>
  <c r="E574" i="2"/>
  <c r="E575" i="2"/>
  <c r="E576" i="2"/>
  <c r="E577" i="2"/>
  <c r="E578" i="2"/>
  <c r="E579" i="2"/>
  <c r="N579" i="2" s="1"/>
  <c r="E580" i="2"/>
  <c r="E581" i="2"/>
  <c r="E582" i="2"/>
  <c r="N582" i="2" s="1"/>
  <c r="E583" i="2"/>
  <c r="E584" i="2"/>
  <c r="E585" i="2"/>
  <c r="E586" i="2"/>
  <c r="E587" i="2"/>
  <c r="E588" i="2"/>
  <c r="E589" i="2"/>
  <c r="E590" i="2"/>
  <c r="E591" i="2"/>
  <c r="E592" i="2"/>
  <c r="E593" i="2"/>
  <c r="N593" i="2" s="1"/>
  <c r="E594" i="2"/>
  <c r="E595" i="2"/>
  <c r="E596" i="2"/>
  <c r="E597" i="2"/>
  <c r="E598" i="2"/>
  <c r="E599" i="2"/>
  <c r="E600" i="2"/>
  <c r="E601" i="2"/>
  <c r="E602" i="2"/>
  <c r="E603" i="2"/>
  <c r="N603" i="2" s="1"/>
  <c r="E604" i="2"/>
  <c r="E605" i="2"/>
  <c r="N605" i="2" s="1"/>
  <c r="E606" i="2"/>
  <c r="N606" i="2" s="1"/>
  <c r="E607" i="2"/>
  <c r="E608" i="2"/>
  <c r="N608" i="2" s="1"/>
  <c r="E609" i="2"/>
  <c r="E610" i="2"/>
  <c r="E611" i="2"/>
  <c r="E612" i="2"/>
  <c r="E613" i="2"/>
  <c r="E614" i="2"/>
  <c r="E615" i="2"/>
  <c r="E616" i="2"/>
  <c r="E617" i="2"/>
  <c r="N617" i="2" s="1"/>
  <c r="E618" i="2"/>
  <c r="N618" i="2" s="1"/>
  <c r="E619" i="2"/>
  <c r="E620" i="2"/>
  <c r="E621" i="2"/>
  <c r="E622" i="2"/>
  <c r="E623" i="2"/>
  <c r="E624" i="2"/>
  <c r="E625" i="2"/>
  <c r="E626" i="2"/>
  <c r="E627" i="2"/>
  <c r="E628" i="2"/>
  <c r="E629" i="2"/>
  <c r="N629" i="2" s="1"/>
  <c r="E630" i="2"/>
  <c r="N630" i="2" s="1"/>
  <c r="E631" i="2"/>
  <c r="E632" i="2"/>
  <c r="E633" i="2"/>
  <c r="E634" i="2"/>
  <c r="E635" i="2"/>
  <c r="E636" i="2"/>
  <c r="N636" i="2" s="1"/>
  <c r="E637" i="2"/>
  <c r="E638" i="2"/>
  <c r="N638" i="2" s="1"/>
  <c r="E639" i="2"/>
  <c r="N639" i="2" s="1"/>
  <c r="E640" i="2"/>
  <c r="N640" i="2" s="1"/>
  <c r="E641" i="2"/>
  <c r="E642" i="2"/>
  <c r="N642" i="2" s="1"/>
  <c r="E643" i="2"/>
  <c r="E644" i="2"/>
  <c r="E645" i="2"/>
  <c r="E646" i="2"/>
  <c r="E647" i="2"/>
  <c r="E648" i="2"/>
  <c r="E649" i="2"/>
  <c r="E650" i="2"/>
  <c r="N650" i="2" s="1"/>
  <c r="E651" i="2"/>
  <c r="E652" i="2"/>
  <c r="N652" i="2" s="1"/>
  <c r="E653" i="2"/>
  <c r="N653" i="2" s="1"/>
  <c r="E654" i="2"/>
  <c r="N654" i="2" s="1"/>
  <c r="E655" i="2"/>
  <c r="E656" i="2"/>
  <c r="E657" i="2"/>
  <c r="E658" i="2"/>
  <c r="E659" i="2"/>
  <c r="E660" i="2"/>
  <c r="E661" i="2"/>
  <c r="E662" i="2"/>
  <c r="N662" i="2" s="1"/>
  <c r="E663" i="2"/>
  <c r="N663" i="2" s="1"/>
  <c r="E664" i="2"/>
  <c r="N664" i="2" s="1"/>
  <c r="E665" i="2"/>
  <c r="N665" i="2" s="1"/>
  <c r="E666" i="2"/>
  <c r="N666" i="2" s="1"/>
  <c r="E667" i="2"/>
  <c r="E668" i="2"/>
  <c r="N668" i="2" s="1"/>
  <c r="E669" i="2"/>
  <c r="E670" i="2"/>
  <c r="E671" i="2"/>
  <c r="E672" i="2"/>
  <c r="E673" i="2"/>
  <c r="E674" i="2"/>
  <c r="N674" i="2" s="1"/>
  <c r="E675" i="2"/>
  <c r="E676" i="2"/>
  <c r="E677" i="2"/>
  <c r="E678" i="2"/>
  <c r="E679" i="2"/>
  <c r="E680" i="2"/>
  <c r="N680" i="2" s="1"/>
  <c r="E681" i="2"/>
  <c r="E682" i="2"/>
  <c r="E683" i="2"/>
  <c r="E684" i="2"/>
  <c r="E685" i="2"/>
  <c r="E686" i="2"/>
  <c r="E687" i="2"/>
  <c r="N687" i="2" s="1"/>
  <c r="E688" i="2"/>
  <c r="E689" i="2"/>
  <c r="N689" i="2" s="1"/>
  <c r="E690" i="2"/>
  <c r="N690" i="2" s="1"/>
  <c r="E691" i="2"/>
  <c r="E692" i="2"/>
  <c r="N692" i="2" s="1"/>
  <c r="E693" i="2"/>
  <c r="E694" i="2"/>
  <c r="E695" i="2"/>
  <c r="N695" i="2" s="1"/>
  <c r="E696" i="2"/>
  <c r="E697" i="2"/>
  <c r="E698" i="2"/>
  <c r="N698" i="2" s="1"/>
  <c r="E699" i="2"/>
  <c r="N699" i="2" s="1"/>
  <c r="E700" i="2"/>
  <c r="E701" i="2"/>
  <c r="N701" i="2" s="1"/>
  <c r="E702" i="2"/>
  <c r="N702" i="2" s="1"/>
  <c r="E703" i="2"/>
  <c r="E704" i="2"/>
  <c r="E705" i="2"/>
  <c r="E706" i="2"/>
  <c r="E707" i="2"/>
  <c r="N707" i="2" s="1"/>
  <c r="E708" i="2"/>
  <c r="E709" i="2"/>
  <c r="E710" i="2"/>
  <c r="N710" i="2" s="1"/>
  <c r="E711" i="2"/>
  <c r="N711" i="2" s="1"/>
  <c r="E712" i="2"/>
  <c r="N712" i="2" s="1"/>
  <c r="E713" i="2"/>
  <c r="N713" i="2" s="1"/>
  <c r="E714" i="2"/>
  <c r="N714" i="2" s="1"/>
  <c r="E715" i="2"/>
  <c r="E716" i="2"/>
  <c r="E717" i="2"/>
  <c r="E718" i="2"/>
  <c r="E719" i="2"/>
  <c r="N719" i="2" s="1"/>
  <c r="E720" i="2"/>
  <c r="E721" i="2"/>
  <c r="E722" i="2"/>
  <c r="E723" i="2"/>
  <c r="N723" i="2" s="1"/>
  <c r="E724" i="2"/>
  <c r="E725" i="2"/>
  <c r="N725" i="2" s="1"/>
  <c r="E726" i="2"/>
  <c r="N726" i="2" s="1"/>
  <c r="E727" i="2"/>
  <c r="E728" i="2"/>
  <c r="E729" i="2"/>
  <c r="E730" i="2"/>
  <c r="E731" i="2"/>
  <c r="N731" i="2" s="1"/>
  <c r="E732" i="2"/>
  <c r="E733" i="2"/>
  <c r="E734" i="2"/>
  <c r="E735" i="2"/>
  <c r="N735" i="2" s="1"/>
  <c r="E736" i="2"/>
  <c r="E737" i="2"/>
  <c r="N737" i="2" s="1"/>
  <c r="E738" i="2"/>
  <c r="N738" i="2" s="1"/>
  <c r="E739" i="2"/>
  <c r="E740" i="2"/>
  <c r="E741" i="2"/>
  <c r="E742" i="2"/>
  <c r="E743" i="2"/>
  <c r="N743" i="2" s="1"/>
  <c r="E744" i="2"/>
  <c r="E745" i="2"/>
  <c r="E746" i="2"/>
  <c r="N746" i="2" s="1"/>
  <c r="E747" i="2"/>
  <c r="N747" i="2" s="1"/>
  <c r="E748" i="2"/>
  <c r="E749" i="2"/>
  <c r="N749" i="2" s="1"/>
  <c r="E750" i="2"/>
  <c r="E751" i="2"/>
  <c r="E752" i="2"/>
  <c r="E753" i="2"/>
  <c r="E754" i="2"/>
  <c r="E755" i="2"/>
  <c r="N755" i="2" s="1"/>
  <c r="E756" i="2"/>
  <c r="E757" i="2"/>
  <c r="E758" i="2"/>
  <c r="N758" i="2" s="1"/>
  <c r="E759" i="2"/>
  <c r="N759" i="2" s="1"/>
  <c r="E760" i="2"/>
  <c r="E761" i="2"/>
  <c r="N761" i="2" s="1"/>
  <c r="E762" i="2"/>
  <c r="N762" i="2" s="1"/>
  <c r="E763" i="2"/>
  <c r="E764" i="2"/>
  <c r="E765" i="2"/>
  <c r="E766" i="2"/>
  <c r="E767" i="2"/>
  <c r="E768" i="2"/>
  <c r="E769" i="2"/>
  <c r="E770" i="2"/>
  <c r="E771" i="2"/>
  <c r="N771" i="2" s="1"/>
  <c r="E772" i="2"/>
  <c r="E773" i="2"/>
  <c r="N773" i="2" s="1"/>
  <c r="E774" i="2"/>
  <c r="N774" i="2" s="1"/>
  <c r="E775" i="2"/>
  <c r="E776" i="2"/>
  <c r="N776" i="2" s="1"/>
  <c r="E777" i="2"/>
  <c r="E778" i="2"/>
  <c r="E779" i="2"/>
  <c r="E780" i="2"/>
  <c r="E781" i="2"/>
  <c r="E782" i="2"/>
  <c r="E783" i="2"/>
  <c r="E784" i="2"/>
  <c r="E785" i="2"/>
  <c r="E786" i="2"/>
  <c r="E787" i="2"/>
  <c r="E788" i="2"/>
  <c r="N788" i="2" s="1"/>
  <c r="E789" i="2"/>
  <c r="E790" i="2"/>
  <c r="E791" i="2"/>
  <c r="N791" i="2" s="1"/>
  <c r="E792" i="2"/>
  <c r="E793" i="2"/>
  <c r="E794" i="2"/>
  <c r="N794" i="2" s="1"/>
  <c r="E795" i="2"/>
  <c r="N795" i="2" s="1"/>
  <c r="E796" i="2"/>
  <c r="N796" i="2" s="1"/>
  <c r="E797" i="2"/>
  <c r="N797" i="2" s="1"/>
  <c r="E798" i="2"/>
  <c r="N798" i="2" s="1"/>
  <c r="E799" i="2"/>
  <c r="E800" i="2"/>
  <c r="N800" i="2" s="1"/>
  <c r="E801" i="2"/>
  <c r="E802" i="2"/>
  <c r="E803" i="2"/>
  <c r="N803" i="2" s="1"/>
  <c r="E804" i="2"/>
  <c r="E805" i="2"/>
  <c r="E806" i="2"/>
  <c r="E807" i="2"/>
  <c r="N807" i="2" s="1"/>
  <c r="E808" i="2"/>
  <c r="N808" i="2" s="1"/>
  <c r="E809" i="2"/>
  <c r="E810" i="2"/>
  <c r="E811" i="2"/>
  <c r="E812" i="2"/>
  <c r="E813" i="2"/>
  <c r="E814" i="2"/>
  <c r="E815" i="2"/>
  <c r="N815" i="2" s="1"/>
  <c r="E816" i="2"/>
  <c r="E817" i="2"/>
  <c r="E818" i="2"/>
  <c r="N818" i="2" s="1"/>
  <c r="E819" i="2"/>
  <c r="E820" i="2"/>
  <c r="N820" i="2" s="1"/>
  <c r="E821" i="2"/>
  <c r="N821" i="2" s="1"/>
  <c r="E822" i="2"/>
  <c r="N822" i="2" s="1"/>
  <c r="E823" i="2"/>
  <c r="E824" i="2"/>
  <c r="N824" i="2" s="1"/>
  <c r="E825" i="2"/>
  <c r="E826" i="2"/>
  <c r="E827" i="2"/>
  <c r="N827" i="2" s="1"/>
  <c r="E828" i="2"/>
  <c r="E829" i="2"/>
  <c r="E830" i="2"/>
  <c r="N830" i="2" s="1"/>
  <c r="E831" i="2"/>
  <c r="N831" i="2" s="1"/>
  <c r="E832" i="2"/>
  <c r="E833" i="2"/>
  <c r="N833" i="2" s="1"/>
  <c r="E834" i="2"/>
  <c r="N834" i="2" s="1"/>
  <c r="E835" i="2"/>
  <c r="E836" i="2"/>
  <c r="E837" i="2"/>
  <c r="E838" i="2"/>
  <c r="E839" i="2"/>
  <c r="E840" i="2"/>
  <c r="E841" i="2"/>
  <c r="E842" i="2"/>
  <c r="N842" i="2" s="1"/>
  <c r="E843" i="2"/>
  <c r="N843" i="2" s="1"/>
  <c r="E844" i="2"/>
  <c r="N844" i="2" s="1"/>
  <c r="E845" i="2"/>
  <c r="N845" i="2" s="1"/>
  <c r="E846" i="2"/>
  <c r="N846" i="2" s="1"/>
  <c r="E847" i="2"/>
  <c r="E848" i="2"/>
  <c r="E849" i="2"/>
  <c r="E850" i="2"/>
  <c r="E851" i="2"/>
  <c r="N851" i="2" s="1"/>
  <c r="E852" i="2"/>
  <c r="E853" i="2"/>
  <c r="E854" i="2"/>
  <c r="N854" i="2" s="1"/>
  <c r="E855" i="2"/>
  <c r="N855" i="2" s="1"/>
  <c r="E856" i="2"/>
  <c r="N856" i="2" s="1"/>
  <c r="E857" i="2"/>
  <c r="E858" i="2"/>
  <c r="E859" i="2"/>
  <c r="E860" i="2"/>
  <c r="E861" i="2"/>
  <c r="E862" i="2"/>
  <c r="N862" i="2" s="1"/>
  <c r="E863" i="2"/>
  <c r="E864" i="2"/>
  <c r="E865" i="2"/>
  <c r="E866" i="2"/>
  <c r="N866" i="2" s="1"/>
  <c r="E867" i="2"/>
  <c r="E868" i="2"/>
  <c r="N868" i="2" s="1"/>
  <c r="E869" i="2"/>
  <c r="N869" i="2" s="1"/>
  <c r="E870" i="2"/>
  <c r="E871" i="2"/>
  <c r="E872" i="2"/>
  <c r="N872" i="2" s="1"/>
  <c r="E873" i="2"/>
  <c r="E874" i="2"/>
  <c r="E875" i="2"/>
  <c r="N875" i="2" s="1"/>
  <c r="E876" i="2"/>
  <c r="E877" i="2"/>
  <c r="E878" i="2"/>
  <c r="N878" i="2" s="1"/>
  <c r="E879" i="2"/>
  <c r="E880" i="2"/>
  <c r="N880" i="2" s="1"/>
  <c r="E881" i="2"/>
  <c r="E882" i="2"/>
  <c r="N882" i="2" s="1"/>
  <c r="E883" i="2"/>
  <c r="E884" i="2"/>
  <c r="E885" i="2"/>
  <c r="E886" i="2"/>
  <c r="E887" i="2"/>
  <c r="E888" i="2"/>
  <c r="E889" i="2"/>
  <c r="E890" i="2"/>
  <c r="N890" i="2" s="1"/>
  <c r="E891" i="2"/>
  <c r="N891" i="2" s="1"/>
  <c r="E892" i="2"/>
  <c r="N892" i="2" s="1"/>
  <c r="E893" i="2"/>
  <c r="N893" i="2" s="1"/>
  <c r="E894" i="2"/>
  <c r="N894" i="2" s="1"/>
  <c r="E895" i="2"/>
  <c r="E896" i="2"/>
  <c r="E897" i="2"/>
  <c r="E898" i="2"/>
  <c r="E899" i="2"/>
  <c r="N899" i="2" s="1"/>
  <c r="E900" i="2"/>
  <c r="E901" i="2"/>
  <c r="E902" i="2"/>
  <c r="N902" i="2" s="1"/>
  <c r="E903" i="2"/>
  <c r="E904" i="2"/>
  <c r="N904" i="2" s="1"/>
  <c r="E905" i="2"/>
  <c r="E906" i="2"/>
  <c r="E907" i="2"/>
  <c r="E908" i="2"/>
  <c r="N908" i="2" s="1"/>
  <c r="E909" i="2"/>
  <c r="E910" i="2"/>
  <c r="E911" i="2"/>
  <c r="N911" i="2" s="1"/>
  <c r="E912" i="2"/>
  <c r="E913" i="2"/>
  <c r="E914" i="2"/>
  <c r="E915" i="2"/>
  <c r="E916" i="2"/>
  <c r="N916" i="2" s="1"/>
  <c r="E917" i="2"/>
  <c r="N917" i="2" s="1"/>
  <c r="E918" i="2"/>
  <c r="N918" i="2" s="1"/>
  <c r="E919" i="2"/>
  <c r="E920" i="2"/>
  <c r="N920" i="2" s="1"/>
  <c r="E921" i="2"/>
  <c r="E922" i="2"/>
  <c r="E923" i="2"/>
  <c r="N923" i="2" s="1"/>
  <c r="E924" i="2"/>
  <c r="E925" i="2"/>
  <c r="E926" i="2"/>
  <c r="E927" i="2"/>
  <c r="N927" i="2" s="1"/>
  <c r="E928" i="2"/>
  <c r="N928" i="2" s="1"/>
  <c r="E929" i="2"/>
  <c r="E930" i="2"/>
  <c r="E931" i="2"/>
  <c r="E932" i="2"/>
  <c r="N932" i="2" s="1"/>
  <c r="E933" i="2"/>
  <c r="E934" i="2"/>
  <c r="E935" i="2"/>
  <c r="N935" i="2" s="1"/>
  <c r="E936" i="2"/>
  <c r="E937" i="2"/>
  <c r="E938" i="2"/>
  <c r="N938" i="2" s="1"/>
  <c r="E939" i="2"/>
  <c r="N939" i="2" s="1"/>
  <c r="E940" i="2"/>
  <c r="N940" i="2" s="1"/>
  <c r="E941" i="2"/>
  <c r="N941" i="2" s="1"/>
  <c r="E942" i="2"/>
  <c r="N942" i="2" s="1"/>
  <c r="E943" i="2"/>
  <c r="E944" i="2"/>
  <c r="N944" i="2" s="1"/>
  <c r="E945" i="2"/>
  <c r="E946" i="2"/>
  <c r="E947" i="2"/>
  <c r="N947" i="2" s="1"/>
  <c r="E948" i="2"/>
  <c r="E949" i="2"/>
  <c r="E950" i="2"/>
  <c r="N950" i="2" s="1"/>
  <c r="E951" i="2"/>
  <c r="E952" i="2"/>
  <c r="N952" i="2" s="1"/>
  <c r="E953" i="2"/>
  <c r="E954" i="2"/>
  <c r="E955" i="2"/>
  <c r="E956" i="2"/>
  <c r="E957" i="2"/>
  <c r="E958" i="2"/>
  <c r="E959" i="2"/>
  <c r="E960" i="2"/>
  <c r="E961" i="2"/>
  <c r="E962" i="2"/>
  <c r="N962" i="2" s="1"/>
  <c r="E963" i="2"/>
  <c r="N963" i="2" s="1"/>
  <c r="E964" i="2"/>
  <c r="N964" i="2" s="1"/>
  <c r="E965" i="2"/>
  <c r="N965" i="2" s="1"/>
  <c r="E966" i="2"/>
  <c r="N966" i="2" s="1"/>
  <c r="E967" i="2"/>
  <c r="E968" i="2"/>
  <c r="N968" i="2" s="1"/>
  <c r="E969" i="2"/>
  <c r="E970" i="2"/>
  <c r="E971" i="2"/>
  <c r="N971" i="2" s="1"/>
  <c r="E972" i="2"/>
  <c r="E973" i="2"/>
  <c r="E974" i="2"/>
  <c r="N974" i="2" s="1"/>
  <c r="E975" i="2"/>
  <c r="E976" i="2"/>
  <c r="N987" i="2" s="1"/>
  <c r="E977" i="2"/>
  <c r="N977" i="2" s="1"/>
  <c r="E978" i="2"/>
  <c r="E979" i="2"/>
  <c r="E980" i="2"/>
  <c r="E981" i="2"/>
  <c r="E982" i="2"/>
  <c r="E983" i="2"/>
  <c r="N983" i="2" s="1"/>
  <c r="E984" i="2"/>
  <c r="E985" i="2"/>
  <c r="E986" i="2"/>
  <c r="N986" i="2" s="1"/>
  <c r="E987" i="2"/>
  <c r="E988" i="2"/>
  <c r="N988" i="2" s="1"/>
  <c r="E989" i="2"/>
  <c r="E990" i="2"/>
  <c r="N990" i="2" s="1"/>
  <c r="E991" i="2"/>
  <c r="E992" i="2"/>
  <c r="E993" i="2"/>
  <c r="E994" i="2"/>
  <c r="E995" i="2"/>
  <c r="N995" i="2" s="1"/>
  <c r="E996" i="2"/>
  <c r="E997" i="2"/>
  <c r="E998" i="2"/>
  <c r="E999" i="2"/>
  <c r="N2199" i="2" s="1"/>
  <c r="E1000" i="2"/>
  <c r="N1000" i="2" s="1"/>
  <c r="E1001" i="2"/>
  <c r="E1002" i="2"/>
  <c r="N1002" i="2" s="1"/>
  <c r="E1003" i="2"/>
  <c r="E1004" i="2"/>
  <c r="E1005" i="2"/>
  <c r="E1006" i="2"/>
  <c r="E1007" i="2"/>
  <c r="N1007" i="2" s="1"/>
  <c r="E1008" i="2"/>
  <c r="N2216" i="2" s="1"/>
  <c r="E1009" i="2"/>
  <c r="E1010" i="2"/>
  <c r="N1010" i="2" s="1"/>
  <c r="E1011" i="2"/>
  <c r="N1011" i="2" s="1"/>
  <c r="E1012" i="2"/>
  <c r="N1012" i="2" s="1"/>
  <c r="E1013" i="2"/>
  <c r="N1013" i="2" s="1"/>
  <c r="E1014" i="2"/>
  <c r="E1015" i="2"/>
  <c r="E1016" i="2"/>
  <c r="E1017" i="2"/>
  <c r="E1018" i="2"/>
  <c r="N1018" i="2" s="1"/>
  <c r="E1019" i="2"/>
  <c r="N1019" i="2" s="1"/>
  <c r="E1020" i="2"/>
  <c r="E1021" i="2"/>
  <c r="E1022" i="2"/>
  <c r="E1023" i="2"/>
  <c r="N1023" i="2" s="1"/>
  <c r="E1024" i="2"/>
  <c r="E1025" i="2"/>
  <c r="N1025" i="2" s="1"/>
  <c r="E1026" i="2"/>
  <c r="N1026" i="2" s="1"/>
  <c r="E1027" i="2"/>
  <c r="E1028" i="2"/>
  <c r="E1029" i="2"/>
  <c r="E1030" i="2"/>
  <c r="E1031" i="2"/>
  <c r="E1032" i="2"/>
  <c r="E1033" i="2"/>
  <c r="E1034" i="2"/>
  <c r="E1035" i="2"/>
  <c r="N1035" i="2" s="1"/>
  <c r="E1036" i="2"/>
  <c r="E1037" i="2"/>
  <c r="E1038" i="2"/>
  <c r="E1039" i="2"/>
  <c r="E1040" i="2"/>
  <c r="E1041" i="2"/>
  <c r="E1042" i="2"/>
  <c r="E1043" i="2"/>
  <c r="N1043" i="2" s="1"/>
  <c r="E1044" i="2"/>
  <c r="E1045" i="2"/>
  <c r="E1046" i="2"/>
  <c r="N1046" i="2" s="1"/>
  <c r="E1047" i="2"/>
  <c r="N1047" i="2" s="1"/>
  <c r="E1048" i="2"/>
  <c r="N1048" i="2" s="1"/>
  <c r="E1049" i="2"/>
  <c r="N1049" i="2" s="1"/>
  <c r="E1050" i="2"/>
  <c r="E1051" i="2"/>
  <c r="E1052" i="2"/>
  <c r="E1053" i="2"/>
  <c r="E1054" i="2"/>
  <c r="E1055" i="2"/>
  <c r="E1056" i="2"/>
  <c r="E1057" i="2"/>
  <c r="E1058" i="2"/>
  <c r="E1059" i="2"/>
  <c r="N1059" i="2" s="1"/>
  <c r="E1060" i="2"/>
  <c r="N1060" i="2" s="1"/>
  <c r="E1061" i="2"/>
  <c r="N1061" i="2" s="1"/>
  <c r="E1062" i="2"/>
  <c r="N1062" i="2" s="1"/>
  <c r="E1063" i="2"/>
  <c r="E1064" i="2"/>
  <c r="N1064" i="2" s="1"/>
  <c r="E1065" i="2"/>
  <c r="E1066" i="2"/>
  <c r="E1067" i="2"/>
  <c r="E1068" i="2"/>
  <c r="E1069" i="2"/>
  <c r="E1070" i="2"/>
  <c r="E1071" i="2"/>
  <c r="E1072" i="2"/>
  <c r="N1072" i="2" s="1"/>
  <c r="E1073" i="2"/>
  <c r="E1074" i="2"/>
  <c r="N1074" i="2" s="1"/>
  <c r="E1075" i="2"/>
  <c r="E1076" i="2"/>
  <c r="E1077" i="2"/>
  <c r="E1078" i="2"/>
  <c r="E1079" i="2"/>
  <c r="N1079" i="2" s="1"/>
  <c r="E1080" i="2"/>
  <c r="E1081" i="2"/>
  <c r="E1082" i="2"/>
  <c r="E1083" i="2"/>
  <c r="N1083" i="2" s="1"/>
  <c r="E1084" i="2"/>
  <c r="E1085" i="2"/>
  <c r="N1085" i="2" s="1"/>
  <c r="E1086" i="2"/>
  <c r="E1087" i="2"/>
  <c r="E1088" i="2"/>
  <c r="E1089" i="2"/>
  <c r="E1090" i="2"/>
  <c r="E1091" i="2"/>
  <c r="N1091" i="2" s="1"/>
  <c r="E1092" i="2"/>
  <c r="E1093" i="2"/>
  <c r="E1094" i="2"/>
  <c r="E1095" i="2"/>
  <c r="N1095" i="2" s="1"/>
  <c r="E1096" i="2"/>
  <c r="N1096" i="2" s="1"/>
  <c r="E1097" i="2"/>
  <c r="E1098" i="2"/>
  <c r="E1099" i="2"/>
  <c r="E1100" i="2"/>
  <c r="N1100" i="2" s="1"/>
  <c r="E1101" i="2"/>
  <c r="E1102" i="2"/>
  <c r="E1103" i="2"/>
  <c r="N1103" i="2" s="1"/>
  <c r="E1104" i="2"/>
  <c r="E1105" i="2"/>
  <c r="E1106" i="2"/>
  <c r="N1106" i="2" s="1"/>
  <c r="E1107" i="2"/>
  <c r="N1107" i="2" s="1"/>
  <c r="E1108" i="2"/>
  <c r="E1109" i="2"/>
  <c r="N1109" i="2" s="1"/>
  <c r="E1110" i="2"/>
  <c r="N1110" i="2" s="1"/>
  <c r="E1111" i="2"/>
  <c r="E1112" i="2"/>
  <c r="N1112" i="2" s="1"/>
  <c r="E1113" i="2"/>
  <c r="E1114" i="2"/>
  <c r="E1115" i="2"/>
  <c r="E1116" i="2"/>
  <c r="E1117" i="2"/>
  <c r="E1118" i="2"/>
  <c r="N1118" i="2" s="1"/>
  <c r="E1119" i="2"/>
  <c r="N1119" i="2" s="1"/>
  <c r="E1120" i="2"/>
  <c r="N1120" i="2" s="1"/>
  <c r="E1121" i="2"/>
  <c r="E1122" i="2"/>
  <c r="E1123" i="2"/>
  <c r="E1124" i="2"/>
  <c r="N1124" i="2" s="1"/>
  <c r="E1125" i="2"/>
  <c r="E1126" i="2"/>
  <c r="E1127" i="2"/>
  <c r="N1127" i="2" s="1"/>
  <c r="E1128" i="2"/>
  <c r="E1129" i="2"/>
  <c r="E1130" i="2"/>
  <c r="N1130" i="2" s="1"/>
  <c r="E1131" i="2"/>
  <c r="N1131" i="2" s="1"/>
  <c r="E1132" i="2"/>
  <c r="N1132" i="2" s="1"/>
  <c r="E1133" i="2"/>
  <c r="E1134" i="2"/>
  <c r="N1134" i="2" s="1"/>
  <c r="E1135" i="2"/>
  <c r="E1136" i="2"/>
  <c r="E1137" i="2"/>
  <c r="E1138" i="2"/>
  <c r="E1139" i="2"/>
  <c r="N1139" i="2" s="1"/>
  <c r="E1140" i="2"/>
  <c r="E1141" i="2"/>
  <c r="E1142" i="2"/>
  <c r="E1143" i="2"/>
  <c r="N1143" i="2" s="1"/>
  <c r="E1144" i="2"/>
  <c r="N1144" i="2" s="1"/>
  <c r="E1145" i="2"/>
  <c r="N2144" i="2" s="1"/>
  <c r="E1146" i="2"/>
  <c r="N1146" i="2" s="1"/>
  <c r="E1147" i="2"/>
  <c r="E1148" i="2"/>
  <c r="N1148" i="2" s="1"/>
  <c r="E1149" i="2"/>
  <c r="E1150" i="2"/>
  <c r="E1151" i="2"/>
  <c r="E1152" i="2"/>
  <c r="E1153" i="2"/>
  <c r="E1154" i="2"/>
  <c r="N1154" i="2" s="1"/>
  <c r="E1155" i="2"/>
  <c r="N1155" i="2" s="1"/>
  <c r="E1156" i="2"/>
  <c r="E1157" i="2"/>
  <c r="N1157" i="2" s="1"/>
  <c r="E1158" i="2"/>
  <c r="N1158" i="2" s="1"/>
  <c r="E1159" i="2"/>
  <c r="E1160" i="2"/>
  <c r="E1161" i="2"/>
  <c r="E1162" i="2"/>
  <c r="E1163" i="2"/>
  <c r="N1163" i="2" s="1"/>
  <c r="E1164" i="2"/>
  <c r="E1165" i="2"/>
  <c r="E1166" i="2"/>
  <c r="E1167" i="2"/>
  <c r="N1167" i="2" s="1"/>
  <c r="E1168" i="2"/>
  <c r="N1168" i="2" s="1"/>
  <c r="E1169" i="2"/>
  <c r="E1170" i="2"/>
  <c r="E1171" i="2"/>
  <c r="E1172" i="2"/>
  <c r="N1172" i="2" s="1"/>
  <c r="E1173" i="2"/>
  <c r="E1174" i="2"/>
  <c r="E1175" i="2"/>
  <c r="E1176" i="2"/>
  <c r="E1177" i="2"/>
  <c r="E1178" i="2"/>
  <c r="N1178" i="2" s="1"/>
  <c r="E1179" i="2"/>
  <c r="N1179" i="2" s="1"/>
  <c r="E1180" i="2"/>
  <c r="N1180" i="2" s="1"/>
  <c r="E1181" i="2"/>
  <c r="E1182" i="2"/>
  <c r="E1183" i="2"/>
  <c r="E1184" i="2"/>
  <c r="N1184" i="2" s="1"/>
  <c r="E1185" i="2"/>
  <c r="E1186" i="2"/>
  <c r="E1187" i="2"/>
  <c r="N1187" i="2" s="1"/>
  <c r="E1188" i="2"/>
  <c r="E1189" i="2"/>
  <c r="E1190" i="2"/>
  <c r="N1190" i="2" s="1"/>
  <c r="E1191" i="2"/>
  <c r="N1191" i="2" s="1"/>
  <c r="E1192" i="2"/>
  <c r="N1192" i="2" s="1"/>
  <c r="E1193" i="2"/>
  <c r="N1193" i="2" s="1"/>
  <c r="E1194" i="2"/>
  <c r="N1194" i="2" s="1"/>
  <c r="E1195" i="2"/>
  <c r="E1196" i="2"/>
  <c r="E1197" i="2"/>
  <c r="E1198" i="2"/>
  <c r="E1199" i="2"/>
  <c r="N1199" i="2" s="1"/>
  <c r="E1200" i="2"/>
  <c r="E1201" i="2"/>
  <c r="E1202" i="2"/>
  <c r="N1202" i="2" s="1"/>
  <c r="E1203" i="2"/>
  <c r="N1203" i="2" s="1"/>
  <c r="E1204" i="2"/>
  <c r="N1204" i="2" s="1"/>
  <c r="E1205" i="2"/>
  <c r="E1206" i="2"/>
  <c r="E1207" i="2"/>
  <c r="E1208" i="2"/>
  <c r="E1209" i="2"/>
  <c r="E1210" i="2"/>
  <c r="E1211" i="2"/>
  <c r="E1212" i="2"/>
  <c r="E1213" i="2"/>
  <c r="E1214" i="2"/>
  <c r="N1214" i="2" s="1"/>
  <c r="E1215" i="2"/>
  <c r="N1215" i="2" s="1"/>
  <c r="E1216" i="2"/>
  <c r="N1216" i="2" s="1"/>
  <c r="E1217" i="2"/>
  <c r="E1218" i="2"/>
  <c r="N1218" i="2" s="1"/>
  <c r="E1219" i="2"/>
  <c r="E1220" i="2"/>
  <c r="N1220" i="2" s="1"/>
  <c r="E1221" i="2"/>
  <c r="E1222" i="2"/>
  <c r="E1223" i="2"/>
  <c r="N1223" i="2" s="1"/>
  <c r="E1224" i="2"/>
  <c r="N1224" i="2" s="1"/>
  <c r="E1225" i="2"/>
  <c r="E1226" i="2"/>
  <c r="E1227" i="2"/>
  <c r="N1227" i="2" s="1"/>
  <c r="E1228" i="2"/>
  <c r="N1228" i="2" s="1"/>
  <c r="E1229" i="2"/>
  <c r="N1229" i="2" s="1"/>
  <c r="E1230" i="2"/>
  <c r="N1230" i="2" s="1"/>
  <c r="E1231" i="2"/>
  <c r="E1232" i="2"/>
  <c r="N1232" i="2" s="1"/>
  <c r="E1233" i="2"/>
  <c r="E1234" i="2"/>
  <c r="E1235" i="2"/>
  <c r="E1236" i="2"/>
  <c r="E1237" i="2"/>
  <c r="E1238" i="2"/>
  <c r="N1238" i="2" s="1"/>
  <c r="E1239" i="2"/>
  <c r="E1240" i="2"/>
  <c r="N1240" i="2" s="1"/>
  <c r="E1241" i="2"/>
  <c r="N1241" i="2" s="1"/>
  <c r="E1242" i="2"/>
  <c r="N1242" i="2" s="1"/>
  <c r="E1243" i="2"/>
  <c r="E1244" i="2"/>
  <c r="N1244" i="2" s="1"/>
  <c r="E1245" i="2"/>
  <c r="E1246" i="2"/>
  <c r="E1247" i="2"/>
  <c r="N1247" i="2" s="1"/>
  <c r="E1248" i="2"/>
  <c r="E1249" i="2"/>
  <c r="E1250" i="2"/>
  <c r="E1251" i="2"/>
  <c r="N1829" i="2" s="1"/>
  <c r="E1252" i="2"/>
  <c r="N1252" i="2" s="1"/>
  <c r="E1253" i="2"/>
  <c r="N1253" i="2" s="1"/>
  <c r="E1254" i="2"/>
  <c r="N1254" i="2" s="1"/>
  <c r="E1255" i="2"/>
  <c r="E1256" i="2"/>
  <c r="N1256" i="2" s="1"/>
  <c r="E1257" i="2"/>
  <c r="N1257" i="2" s="1"/>
  <c r="E1258" i="2"/>
  <c r="E1259" i="2"/>
  <c r="N1259" i="2" s="1"/>
  <c r="E1260" i="2"/>
  <c r="E1261" i="2"/>
  <c r="E1262" i="2"/>
  <c r="N1262" i="2" s="1"/>
  <c r="E1263" i="2"/>
  <c r="N1263" i="2" s="1"/>
  <c r="E1264" i="2"/>
  <c r="N1264" i="2" s="1"/>
  <c r="E1265" i="2"/>
  <c r="E1266" i="2"/>
  <c r="N1266" i="2" s="1"/>
  <c r="E1267" i="2"/>
  <c r="E1268" i="2"/>
  <c r="N1268" i="2" s="1"/>
  <c r="E1269" i="2"/>
  <c r="E1270" i="2"/>
  <c r="E1271" i="2"/>
  <c r="N1271" i="2" s="1"/>
  <c r="E1272" i="2"/>
  <c r="E1273" i="2"/>
  <c r="E1274" i="2"/>
  <c r="N1274" i="2" s="1"/>
  <c r="E1275" i="2"/>
  <c r="N1275" i="2" s="1"/>
  <c r="E1276" i="2"/>
  <c r="N1276" i="2" s="1"/>
  <c r="E1277" i="2"/>
  <c r="N1277" i="2" s="1"/>
  <c r="E1278" i="2"/>
  <c r="N1278" i="2" s="1"/>
  <c r="E1279" i="2"/>
  <c r="E1280" i="2"/>
  <c r="E1281" i="2"/>
  <c r="E1282" i="2"/>
  <c r="E1283" i="2"/>
  <c r="E1284" i="2"/>
  <c r="E1285" i="2"/>
  <c r="E1286" i="2"/>
  <c r="N1286" i="2" s="1"/>
  <c r="E1287" i="2"/>
  <c r="E1288" i="2"/>
  <c r="N1288" i="2" s="1"/>
  <c r="E1289" i="2"/>
  <c r="N1289" i="2" s="1"/>
  <c r="E1290" i="2"/>
  <c r="N1290" i="2" s="1"/>
  <c r="E1291" i="2"/>
  <c r="E1292" i="2"/>
  <c r="N1292" i="2" s="1"/>
  <c r="E1293" i="2"/>
  <c r="E1294" i="2"/>
  <c r="E1295" i="2"/>
  <c r="N1295" i="2" s="1"/>
  <c r="E1296" i="2"/>
  <c r="E1297" i="2"/>
  <c r="E1298" i="2"/>
  <c r="N1298" i="2" s="1"/>
  <c r="E1299" i="2"/>
  <c r="E1300" i="2"/>
  <c r="N1300" i="2" s="1"/>
  <c r="E1301" i="2"/>
  <c r="N1301" i="2" s="1"/>
  <c r="E1302" i="2"/>
  <c r="N1302" i="2" s="1"/>
  <c r="E1303" i="2"/>
  <c r="E1304" i="2"/>
  <c r="E1305" i="2"/>
  <c r="E1306" i="2"/>
  <c r="E1307" i="2"/>
  <c r="N1307" i="2" s="1"/>
  <c r="E1308" i="2"/>
  <c r="E1309" i="2"/>
  <c r="E1310" i="2"/>
  <c r="E1311" i="2"/>
  <c r="N1311" i="2" s="1"/>
  <c r="E1312" i="2"/>
  <c r="N1312" i="2" s="1"/>
  <c r="E1313" i="2"/>
  <c r="N1313" i="2" s="1"/>
  <c r="E1314" i="2"/>
  <c r="N1314" i="2" s="1"/>
  <c r="E1315" i="2"/>
  <c r="E1316" i="2"/>
  <c r="N1316" i="2" s="1"/>
  <c r="E1317" i="2"/>
  <c r="N1317" i="2" s="1"/>
  <c r="E1318" i="2"/>
  <c r="E1319" i="2"/>
  <c r="E1320" i="2"/>
  <c r="E1321" i="2"/>
  <c r="E1322" i="2"/>
  <c r="E1323" i="2"/>
  <c r="E1324" i="2"/>
  <c r="N1324" i="2" s="1"/>
  <c r="E1325" i="2"/>
  <c r="N1325" i="2" s="1"/>
  <c r="E1326" i="2"/>
  <c r="N1326" i="2" s="1"/>
  <c r="E1327" i="2"/>
  <c r="E1328" i="2"/>
  <c r="E1329" i="2"/>
  <c r="E1330" i="2"/>
  <c r="E1331" i="2"/>
  <c r="E1332" i="2"/>
  <c r="E1333" i="2"/>
  <c r="E1334" i="2"/>
  <c r="N1334" i="2" s="1"/>
  <c r="E1335" i="2"/>
  <c r="N1335" i="2" s="1"/>
  <c r="E1336" i="2"/>
  <c r="E1337" i="2"/>
  <c r="N1337" i="2" s="1"/>
  <c r="E1338" i="2"/>
  <c r="N1796" i="2" s="1"/>
  <c r="E1339" i="2"/>
  <c r="E1340" i="2"/>
  <c r="N1340" i="2" s="1"/>
  <c r="E1341" i="2"/>
  <c r="E1342" i="2"/>
  <c r="E1343" i="2"/>
  <c r="N1343" i="2" s="1"/>
  <c r="E1344" i="2"/>
  <c r="E1345" i="2"/>
  <c r="E1346" i="2"/>
  <c r="E1347" i="2"/>
  <c r="E1348" i="2"/>
  <c r="N1348" i="2" s="1"/>
  <c r="E1349" i="2"/>
  <c r="N1349" i="2" s="1"/>
  <c r="E1350" i="2"/>
  <c r="N1350" i="2" s="1"/>
  <c r="E1351" i="2"/>
  <c r="E1352" i="2"/>
  <c r="E1353" i="2"/>
  <c r="N1353" i="2" s="1"/>
  <c r="E1354" i="2"/>
  <c r="E1355" i="2"/>
  <c r="N1355" i="2" s="1"/>
  <c r="E1356" i="2"/>
  <c r="E1357" i="2"/>
  <c r="E1358" i="2"/>
  <c r="N1358" i="2" s="1"/>
  <c r="E1359" i="2"/>
  <c r="E1360" i="2"/>
  <c r="N1360" i="2" s="1"/>
  <c r="E1361" i="2"/>
  <c r="N1361" i="2" s="1"/>
  <c r="E1362" i="2"/>
  <c r="N1362" i="2" s="1"/>
  <c r="E1363" i="2"/>
  <c r="E1364" i="2"/>
  <c r="E1365" i="2"/>
  <c r="E1366" i="2"/>
  <c r="E1367" i="2"/>
  <c r="E1368" i="2"/>
  <c r="E1369" i="2"/>
  <c r="E1370" i="2"/>
  <c r="N1370" i="2" s="1"/>
  <c r="E1371" i="2"/>
  <c r="E1372" i="2"/>
  <c r="N1372" i="2" s="1"/>
  <c r="E1373" i="2"/>
  <c r="N1373" i="2" s="1"/>
  <c r="E1374" i="2"/>
  <c r="N1374" i="2" s="1"/>
  <c r="E1375" i="2"/>
  <c r="E1376" i="2"/>
  <c r="N1376" i="2" s="1"/>
  <c r="E1377" i="2"/>
  <c r="E1378" i="2"/>
  <c r="E1379" i="2"/>
  <c r="N1379" i="2" s="1"/>
  <c r="E1380" i="2"/>
  <c r="E1381" i="2"/>
  <c r="E1382" i="2"/>
  <c r="E1383" i="2"/>
  <c r="N1383" i="2" s="1"/>
  <c r="E1384" i="2"/>
  <c r="N1384" i="2" s="1"/>
  <c r="E1385" i="2"/>
  <c r="N1385" i="2" s="1"/>
  <c r="E1386" i="2"/>
  <c r="N1386" i="2" s="1"/>
  <c r="E1387" i="2"/>
  <c r="E1388" i="2"/>
  <c r="E1389" i="2"/>
  <c r="E1390" i="2"/>
  <c r="E1391" i="2"/>
  <c r="N1391" i="2" s="1"/>
  <c r="E1392" i="2"/>
  <c r="E1393" i="2"/>
  <c r="E1394" i="2"/>
  <c r="N1394" i="2" s="1"/>
  <c r="E1395" i="2"/>
  <c r="N1395" i="2" s="1"/>
  <c r="E1396" i="2"/>
  <c r="N1396" i="2" s="1"/>
  <c r="E1397" i="2"/>
  <c r="N1397" i="2" s="1"/>
  <c r="E1398" i="2"/>
  <c r="N1398" i="2" s="1"/>
  <c r="E1399" i="2"/>
  <c r="E1400" i="2"/>
  <c r="N1400" i="2" s="1"/>
  <c r="E1401" i="2"/>
  <c r="E1402" i="2"/>
  <c r="E1403" i="2"/>
  <c r="N1403" i="2" s="1"/>
  <c r="E1404" i="2"/>
  <c r="E1405" i="2"/>
  <c r="E1406" i="2"/>
  <c r="N1406" i="2" s="1"/>
  <c r="E1407" i="2"/>
  <c r="N1407" i="2" s="1"/>
  <c r="E1408" i="2"/>
  <c r="E1409" i="2"/>
  <c r="N1409" i="2" s="1"/>
  <c r="E1410" i="2"/>
  <c r="N1410" i="2" s="1"/>
  <c r="E1411" i="2"/>
  <c r="E1412" i="2"/>
  <c r="N1412" i="2" s="1"/>
  <c r="E1413" i="2"/>
  <c r="E1414" i="2"/>
  <c r="N1414" i="2" s="1"/>
  <c r="E1415" i="2"/>
  <c r="N1415" i="2" s="1"/>
  <c r="E1416" i="2"/>
  <c r="N1416" i="2" s="1"/>
  <c r="E1417" i="2"/>
  <c r="E1418" i="2"/>
  <c r="N1418" i="2" s="1"/>
  <c r="E1419" i="2"/>
  <c r="N1419" i="2" s="1"/>
  <c r="E1420" i="2"/>
  <c r="N1420" i="2" s="1"/>
  <c r="E1421" i="2"/>
  <c r="N2083" i="2" s="1"/>
  <c r="E1422" i="2"/>
  <c r="N1422" i="2" s="1"/>
  <c r="E1423" i="2"/>
  <c r="E1424" i="2"/>
  <c r="E1425" i="2"/>
  <c r="E1426" i="2"/>
  <c r="E1427" i="2"/>
  <c r="N1427" i="2" s="1"/>
  <c r="E1428" i="2"/>
  <c r="E1429" i="2"/>
  <c r="E1430" i="2"/>
  <c r="N1430" i="2" s="1"/>
  <c r="E1431" i="2"/>
  <c r="N1431" i="2" s="1"/>
  <c r="E1432" i="2"/>
  <c r="N1432" i="2" s="1"/>
  <c r="E1433" i="2"/>
  <c r="E1434" i="2"/>
  <c r="N1434" i="2" s="1"/>
  <c r="E1435" i="2"/>
  <c r="E1436" i="2"/>
  <c r="N1436" i="2" s="1"/>
  <c r="E1437" i="2"/>
  <c r="E1438" i="2"/>
  <c r="E1439" i="2"/>
  <c r="N1439" i="2" s="1"/>
  <c r="E1440" i="2"/>
  <c r="E1441" i="2"/>
  <c r="E1442" i="2"/>
  <c r="N1442" i="2" s="1"/>
  <c r="E1443" i="2"/>
  <c r="N1443" i="2" s="1"/>
  <c r="E1444" i="2"/>
  <c r="N1444" i="2" s="1"/>
  <c r="E1445" i="2"/>
  <c r="N1445" i="2" s="1"/>
  <c r="E1446" i="2"/>
  <c r="N1446" i="2" s="1"/>
  <c r="E1447" i="2"/>
  <c r="E1448" i="2"/>
  <c r="E1449" i="2"/>
  <c r="E1450" i="2"/>
  <c r="E1451" i="2"/>
  <c r="N1451" i="2" s="1"/>
  <c r="E1452" i="2"/>
  <c r="E1453" i="2"/>
  <c r="E1454" i="2"/>
  <c r="N1454" i="2" s="1"/>
  <c r="E1455" i="2"/>
  <c r="E1456" i="2"/>
  <c r="E1457" i="2"/>
  <c r="N1304" i="2" s="1"/>
  <c r="E1458" i="2"/>
  <c r="N1458" i="2" s="1"/>
  <c r="E1459" i="2"/>
  <c r="E1460" i="2"/>
  <c r="N1460" i="2" s="1"/>
  <c r="E1461" i="2"/>
  <c r="E1462" i="2"/>
  <c r="E1463" i="2"/>
  <c r="E1464" i="2"/>
  <c r="E1465" i="2"/>
  <c r="E1466" i="2"/>
  <c r="E1467" i="2"/>
  <c r="E1468" i="2"/>
  <c r="N1468" i="2" s="1"/>
  <c r="E1469" i="2"/>
  <c r="E1470" i="2"/>
  <c r="N1470" i="2" s="1"/>
  <c r="E1471" i="2"/>
  <c r="E1472" i="2"/>
  <c r="E1473" i="2"/>
  <c r="N1473" i="2" s="1"/>
  <c r="E1474" i="2"/>
  <c r="N1474" i="2" s="1"/>
  <c r="E1475" i="2"/>
  <c r="N1475" i="2" s="1"/>
  <c r="E1476" i="2"/>
  <c r="N1476" i="2" s="1"/>
  <c r="E1477" i="2"/>
  <c r="E1478" i="2"/>
  <c r="N1478" i="2" s="1"/>
  <c r="E1479" i="2"/>
  <c r="N1479" i="2" s="1"/>
  <c r="E1480" i="2"/>
  <c r="N1480" i="2" s="1"/>
  <c r="E1481" i="2"/>
  <c r="N1481" i="2" s="1"/>
  <c r="E1482" i="2"/>
  <c r="N1482" i="2" s="1"/>
  <c r="E1483" i="2"/>
  <c r="E1484" i="2"/>
  <c r="N1484" i="2" s="1"/>
  <c r="E1485" i="2"/>
  <c r="E1486" i="2"/>
  <c r="E1487" i="2"/>
  <c r="N1487" i="2" s="1"/>
  <c r="E1488" i="2"/>
  <c r="E1489" i="2"/>
  <c r="E1490" i="2"/>
  <c r="E1491" i="2"/>
  <c r="E1492" i="2"/>
  <c r="N1492" i="2" s="1"/>
  <c r="E1493" i="2"/>
  <c r="N1493" i="2" s="1"/>
  <c r="E1494" i="2"/>
  <c r="N1494" i="2" s="1"/>
  <c r="E1495" i="2"/>
  <c r="E1496" i="2"/>
  <c r="N1496" i="2" s="1"/>
  <c r="E1497" i="2"/>
  <c r="E1498" i="2"/>
  <c r="E1499" i="2"/>
  <c r="N1499" i="2" s="1"/>
  <c r="E1500" i="2"/>
  <c r="E1501" i="2"/>
  <c r="E1502" i="2"/>
  <c r="N1502" i="2" s="1"/>
  <c r="E1503" i="2"/>
  <c r="N1503" i="2" s="1"/>
  <c r="E1504" i="2"/>
  <c r="N1504" i="2" s="1"/>
  <c r="E1505" i="2"/>
  <c r="N1505" i="2" s="1"/>
  <c r="E1506" i="2"/>
  <c r="E1507" i="2"/>
  <c r="E1508" i="2"/>
  <c r="E1509" i="2"/>
  <c r="E1510" i="2"/>
  <c r="E1511" i="2"/>
  <c r="N1511" i="2" s="1"/>
  <c r="E1512" i="2"/>
  <c r="E1513" i="2"/>
  <c r="E1514" i="2"/>
  <c r="N1514" i="2" s="1"/>
  <c r="E1515" i="2"/>
  <c r="E1516" i="2"/>
  <c r="N1516" i="2" s="1"/>
  <c r="E1517" i="2"/>
  <c r="N1517" i="2" s="1"/>
  <c r="E1518" i="2"/>
  <c r="N1518" i="2" s="1"/>
  <c r="E1519" i="2"/>
  <c r="E1520" i="2"/>
  <c r="E1521" i="2"/>
  <c r="E1522" i="2"/>
  <c r="E1523" i="2"/>
  <c r="E1524" i="2"/>
  <c r="E1525" i="2"/>
  <c r="E1526" i="2"/>
  <c r="E1527" i="2"/>
  <c r="N1527" i="2" s="1"/>
  <c r="E1528" i="2"/>
  <c r="E1529" i="2"/>
  <c r="E1530" i="2"/>
  <c r="N1530" i="2" s="1"/>
  <c r="E1531" i="2"/>
  <c r="E1532" i="2"/>
  <c r="N1532" i="2" s="1"/>
  <c r="E1533" i="2"/>
  <c r="E1534" i="2"/>
  <c r="E1535" i="2"/>
  <c r="N1535" i="2" s="1"/>
  <c r="E1536" i="2"/>
  <c r="E1537" i="2"/>
  <c r="E1538" i="2"/>
  <c r="E1539" i="2"/>
  <c r="N1539" i="2" s="1"/>
  <c r="E1540" i="2"/>
  <c r="E1541" i="2"/>
  <c r="E1542" i="2"/>
  <c r="N1542" i="2" s="1"/>
  <c r="E1543" i="2"/>
  <c r="E1544" i="2"/>
  <c r="N1544" i="2" s="1"/>
  <c r="E1545" i="2"/>
  <c r="N1545" i="2" s="1"/>
  <c r="E1546" i="2"/>
  <c r="E1547" i="2"/>
  <c r="E1548" i="2"/>
  <c r="N1548" i="2" s="1"/>
  <c r="E1549" i="2"/>
  <c r="E1550" i="2"/>
  <c r="E1551" i="2"/>
  <c r="N1551" i="2" s="1"/>
  <c r="E1552" i="2"/>
  <c r="E1553" i="2"/>
  <c r="N1553" i="2" s="1"/>
  <c r="E1554" i="2"/>
  <c r="E1555" i="2"/>
  <c r="E1556" i="2"/>
  <c r="E1557" i="2"/>
  <c r="N1557" i="2" s="1"/>
  <c r="E1558" i="2"/>
  <c r="N1558" i="2" s="1"/>
  <c r="E1559" i="2"/>
  <c r="N1559" i="2" s="1"/>
  <c r="E1560" i="2"/>
  <c r="E1561" i="2"/>
  <c r="E1562" i="2"/>
  <c r="N1562" i="2" s="1"/>
  <c r="E1563" i="2"/>
  <c r="E1564" i="2"/>
  <c r="E1565" i="2"/>
  <c r="N1565" i="2" s="1"/>
  <c r="E1566" i="2"/>
  <c r="E1567" i="2"/>
  <c r="E1568" i="2"/>
  <c r="E1569" i="2"/>
  <c r="E1570" i="2"/>
  <c r="E1571" i="2"/>
  <c r="N1571" i="2" s="1"/>
  <c r="E1572" i="2"/>
  <c r="E1573" i="2"/>
  <c r="E1574" i="2"/>
  <c r="E1575" i="2"/>
  <c r="E1576" i="2"/>
  <c r="E1577" i="2"/>
  <c r="E1578" i="2"/>
  <c r="E1579" i="2"/>
  <c r="E1580" i="2"/>
  <c r="E1581" i="2"/>
  <c r="E1582" i="2"/>
  <c r="E1583" i="2"/>
  <c r="N1583" i="2" s="1"/>
  <c r="E1584" i="2"/>
  <c r="E1585" i="2"/>
  <c r="E1586" i="2"/>
  <c r="E1587" i="2"/>
  <c r="N1587" i="2" s="1"/>
  <c r="E1588" i="2"/>
  <c r="N1588" i="2" s="1"/>
  <c r="E1589" i="2"/>
  <c r="E1590" i="2"/>
  <c r="N1590" i="2" s="1"/>
  <c r="E1591" i="2"/>
  <c r="E1592" i="2"/>
  <c r="N1592" i="2" s="1"/>
  <c r="E1593" i="2"/>
  <c r="E1594" i="2"/>
  <c r="E1595" i="2"/>
  <c r="E1596" i="2"/>
  <c r="E1597" i="2"/>
  <c r="E1598" i="2"/>
  <c r="N1598" i="2" s="1"/>
  <c r="E1599" i="2"/>
  <c r="N1599" i="2" s="1"/>
  <c r="E1600" i="2"/>
  <c r="E1601" i="2"/>
  <c r="E1602" i="2"/>
  <c r="N1602" i="2" s="1"/>
  <c r="E1603" i="2"/>
  <c r="E1604" i="2"/>
  <c r="E1605" i="2"/>
  <c r="E1606" i="2"/>
  <c r="E1607" i="2"/>
  <c r="N1607" i="2" s="1"/>
  <c r="E1608" i="2"/>
  <c r="E1609" i="2"/>
  <c r="E1610" i="2"/>
  <c r="N1610" i="2" s="1"/>
  <c r="E1611" i="2"/>
  <c r="E1612" i="2"/>
  <c r="N1612" i="2" s="1"/>
  <c r="E1613" i="2"/>
  <c r="N1613" i="2" s="1"/>
  <c r="E1614" i="2"/>
  <c r="N1614" i="2" s="1"/>
  <c r="E1615" i="2"/>
  <c r="E1616" i="2"/>
  <c r="E1617" i="2"/>
  <c r="N1617" i="2" s="1"/>
  <c r="E1618" i="2"/>
  <c r="N1618" i="2" s="1"/>
  <c r="E1619" i="2"/>
  <c r="E1620" i="2"/>
  <c r="E1621" i="2"/>
  <c r="E1622" i="2"/>
  <c r="N1622" i="2" s="1"/>
  <c r="E1623" i="2"/>
  <c r="E1624" i="2"/>
  <c r="E1625" i="2"/>
  <c r="N1625" i="2" s="1"/>
  <c r="E1626" i="2"/>
  <c r="N1626" i="2" s="1"/>
  <c r="E1627" i="2"/>
  <c r="E1628" i="2"/>
  <c r="N1628" i="2" s="1"/>
  <c r="E1629" i="2"/>
  <c r="E1630" i="2"/>
  <c r="N1630" i="2" s="1"/>
  <c r="E1631" i="2"/>
  <c r="N1631" i="2" s="1"/>
  <c r="E1632" i="2"/>
  <c r="N1632" i="2" s="1"/>
  <c r="E1633" i="2"/>
  <c r="E1634" i="2"/>
  <c r="E1635" i="2"/>
  <c r="N2408" i="2" s="1"/>
  <c r="E1636" i="2"/>
  <c r="N1636" i="2" s="1"/>
  <c r="E1637" i="2"/>
  <c r="E1638" i="2"/>
  <c r="N1638" i="2" s="1"/>
  <c r="E1639" i="2"/>
  <c r="E1640" i="2"/>
  <c r="N1640" i="2" s="1"/>
  <c r="E1641" i="2"/>
  <c r="E1642" i="2"/>
  <c r="E1643" i="2"/>
  <c r="N1643" i="2" s="1"/>
  <c r="E1644" i="2"/>
  <c r="E1645" i="2"/>
  <c r="E1646" i="2"/>
  <c r="N1646" i="2" s="1"/>
  <c r="E1647" i="2"/>
  <c r="E1648" i="2"/>
  <c r="E1649" i="2"/>
  <c r="N1649" i="2" s="1"/>
  <c r="E1650" i="2"/>
  <c r="N1650" i="2" s="1"/>
  <c r="E1651" i="2"/>
  <c r="E1652" i="2"/>
  <c r="E1653" i="2"/>
  <c r="E1654" i="2"/>
  <c r="E1655" i="2"/>
  <c r="N1655" i="2" s="1"/>
  <c r="E1656" i="2"/>
  <c r="E1657" i="2"/>
  <c r="E1658" i="2"/>
  <c r="N1658" i="2" s="1"/>
  <c r="E1659" i="2"/>
  <c r="N1659" i="2" s="1"/>
  <c r="E1660" i="2"/>
  <c r="N1660" i="2" s="1"/>
  <c r="E1661" i="2"/>
  <c r="N1661" i="2" s="1"/>
  <c r="E1662" i="2"/>
  <c r="N1662" i="2" s="1"/>
  <c r="E1663" i="2"/>
  <c r="E1664" i="2"/>
  <c r="E1665" i="2"/>
  <c r="E1666" i="2"/>
  <c r="E1667" i="2"/>
  <c r="E1668" i="2"/>
  <c r="E1669" i="2"/>
  <c r="E1670" i="2"/>
  <c r="N1670" i="2" s="1"/>
  <c r="E1671" i="2"/>
  <c r="N1671" i="2" s="1"/>
  <c r="E1672" i="2"/>
  <c r="N1672" i="2" s="1"/>
  <c r="E1673" i="2"/>
  <c r="N1673" i="2" s="1"/>
  <c r="E1674" i="2"/>
  <c r="N1674" i="2" s="1"/>
  <c r="E1675" i="2"/>
  <c r="E1676" i="2"/>
  <c r="N1676" i="2" s="1"/>
  <c r="E1677" i="2"/>
  <c r="E1678" i="2"/>
  <c r="E1679" i="2"/>
  <c r="E1680" i="2"/>
  <c r="E1681" i="2"/>
  <c r="E1682" i="2"/>
  <c r="N1682" i="2" s="1"/>
  <c r="E1683" i="2"/>
  <c r="N1683" i="2" s="1"/>
  <c r="E1684" i="2"/>
  <c r="N1684" i="2" s="1"/>
  <c r="E1685" i="2"/>
  <c r="N1685" i="2" s="1"/>
  <c r="E1686" i="2"/>
  <c r="E1687" i="2"/>
  <c r="E1688" i="2"/>
  <c r="N1688" i="2" s="1"/>
  <c r="E1689" i="2"/>
  <c r="E1690" i="2"/>
  <c r="E1691" i="2"/>
  <c r="N1691" i="2" s="1"/>
  <c r="E1692" i="2"/>
  <c r="E1693" i="2"/>
  <c r="E1694" i="2"/>
  <c r="N1694" i="2" s="1"/>
  <c r="E1695" i="2"/>
  <c r="N1695" i="2" s="1"/>
  <c r="E1696" i="2"/>
  <c r="N1696" i="2" s="1"/>
  <c r="E1697" i="2"/>
  <c r="E1698" i="2"/>
  <c r="N1339" i="2" s="1"/>
  <c r="E1699" i="2"/>
  <c r="E1700" i="2"/>
  <c r="N1700" i="2" s="1"/>
  <c r="E1701" i="2"/>
  <c r="E1702" i="2"/>
  <c r="E1703" i="2"/>
  <c r="N1703" i="2" s="1"/>
  <c r="E1704" i="2"/>
  <c r="E1705" i="2"/>
  <c r="E1706" i="2"/>
  <c r="N1706" i="2" s="1"/>
  <c r="E1707" i="2"/>
  <c r="E1708" i="2"/>
  <c r="N1708" i="2" s="1"/>
  <c r="E1709" i="2"/>
  <c r="E1710" i="2"/>
  <c r="N1710" i="2" s="1"/>
  <c r="E1711" i="2"/>
  <c r="E1712" i="2"/>
  <c r="E1713" i="2"/>
  <c r="E1714" i="2"/>
  <c r="E1715" i="2"/>
  <c r="N1715" i="2" s="1"/>
  <c r="E1716" i="2"/>
  <c r="E1717" i="2"/>
  <c r="E1718" i="2"/>
  <c r="E1719" i="2"/>
  <c r="E1720" i="2"/>
  <c r="E1721" i="2"/>
  <c r="N1721" i="2" s="1"/>
  <c r="E1722" i="2"/>
  <c r="N1722" i="2" s="1"/>
  <c r="E1723" i="2"/>
  <c r="E1724" i="2"/>
  <c r="N1724" i="2" s="1"/>
  <c r="E1725" i="2"/>
  <c r="E1726" i="2"/>
  <c r="E1727" i="2"/>
  <c r="E1728" i="2"/>
  <c r="E1729" i="2"/>
  <c r="E1730" i="2"/>
  <c r="N1730" i="2" s="1"/>
  <c r="E1731" i="2"/>
  <c r="E1732" i="2"/>
  <c r="N1732" i="2" s="1"/>
  <c r="E1733" i="2"/>
  <c r="N1733" i="2" s="1"/>
  <c r="E1734" i="2"/>
  <c r="N1734" i="2" s="1"/>
  <c r="E1735" i="2"/>
  <c r="E1736" i="2"/>
  <c r="N1736" i="2" s="1"/>
  <c r="E1737" i="2"/>
  <c r="E1738" i="2"/>
  <c r="E1739" i="2"/>
  <c r="N1739" i="2" s="1"/>
  <c r="E1740" i="2"/>
  <c r="E1741" i="2"/>
  <c r="E1742" i="2"/>
  <c r="N1742" i="2" s="1"/>
  <c r="E1743" i="2"/>
  <c r="N1743" i="2" s="1"/>
  <c r="E1744" i="2"/>
  <c r="N1744" i="2" s="1"/>
  <c r="E1745" i="2"/>
  <c r="N1745" i="2" s="1"/>
  <c r="E1746" i="2"/>
  <c r="N1746" i="2" s="1"/>
  <c r="E1747" i="2"/>
  <c r="E1748" i="2"/>
  <c r="N1748" i="2" s="1"/>
  <c r="E1749" i="2"/>
  <c r="E1750" i="2"/>
  <c r="E1751" i="2"/>
  <c r="E1752" i="2"/>
  <c r="E1753" i="2"/>
  <c r="E1754" i="2"/>
  <c r="N1754" i="2" s="1"/>
  <c r="E1755" i="2"/>
  <c r="N1755" i="2" s="1"/>
  <c r="E1756" i="2"/>
  <c r="N1756" i="2" s="1"/>
  <c r="E1757" i="2"/>
  <c r="N1757" i="2" s="1"/>
  <c r="E1758" i="2"/>
  <c r="N1758" i="2" s="1"/>
  <c r="E1759" i="2"/>
  <c r="E1760" i="2"/>
  <c r="N1760" i="2" s="1"/>
  <c r="E1761" i="2"/>
  <c r="E1762" i="2"/>
  <c r="E1763" i="2"/>
  <c r="N1763" i="2" s="1"/>
  <c r="E1764" i="2"/>
  <c r="E1765" i="2"/>
  <c r="E1766" i="2"/>
  <c r="N1766" i="2" s="1"/>
  <c r="E1767" i="2"/>
  <c r="N1767" i="2" s="1"/>
  <c r="E1768" i="2"/>
  <c r="N1768" i="2" s="1"/>
  <c r="E1769" i="2"/>
  <c r="N1769" i="2" s="1"/>
  <c r="E1770" i="2"/>
  <c r="E1771" i="2"/>
  <c r="E1772" i="2"/>
  <c r="E1773" i="2"/>
  <c r="E1774" i="2"/>
  <c r="E1775" i="2"/>
  <c r="N1775" i="2" s="1"/>
  <c r="E1776" i="2"/>
  <c r="E1777" i="2"/>
  <c r="E1778" i="2"/>
  <c r="N1778" i="2" s="1"/>
  <c r="E1779" i="2"/>
  <c r="E1780" i="2"/>
  <c r="N1780" i="2" s="1"/>
  <c r="E1781" i="2"/>
  <c r="N1781" i="2" s="1"/>
  <c r="E1782" i="2"/>
  <c r="N1782" i="2" s="1"/>
  <c r="E1783" i="2"/>
  <c r="E1784" i="2"/>
  <c r="E1785" i="2"/>
  <c r="E1786" i="2"/>
  <c r="E1787" i="2"/>
  <c r="E1788" i="2"/>
  <c r="E1789" i="2"/>
  <c r="E1790" i="2"/>
  <c r="E1791" i="2"/>
  <c r="E1792" i="2"/>
  <c r="N1792" i="2" s="1"/>
  <c r="E1793" i="2"/>
  <c r="E1794" i="2"/>
  <c r="N1794" i="2" s="1"/>
  <c r="E1795" i="2"/>
  <c r="E1796" i="2"/>
  <c r="E1797" i="2"/>
  <c r="E1798" i="2"/>
  <c r="E1799" i="2"/>
  <c r="E1800" i="2"/>
  <c r="E1801" i="2"/>
  <c r="E1802" i="2"/>
  <c r="E1803" i="2"/>
  <c r="N1803" i="2" s="1"/>
  <c r="E1804" i="2"/>
  <c r="N1804" i="2" s="1"/>
  <c r="E1805" i="2"/>
  <c r="N1805" i="2" s="1"/>
  <c r="E1806" i="2"/>
  <c r="N1806" i="2" s="1"/>
  <c r="E1807" i="2"/>
  <c r="E1808" i="2"/>
  <c r="N1808" i="2" s="1"/>
  <c r="E1809" i="2"/>
  <c r="E1810" i="2"/>
  <c r="E1811" i="2"/>
  <c r="N1811" i="2" s="1"/>
  <c r="E1812" i="2"/>
  <c r="E1813" i="2"/>
  <c r="E1814" i="2"/>
  <c r="N1814" i="2" s="1"/>
  <c r="E1815" i="2"/>
  <c r="N1815" i="2" s="1"/>
  <c r="E1816" i="2"/>
  <c r="N1816" i="2" s="1"/>
  <c r="E1817" i="2"/>
  <c r="N1817" i="2" s="1"/>
  <c r="E1818" i="2"/>
  <c r="N1818" i="2" s="1"/>
  <c r="E1819" i="2"/>
  <c r="E1820" i="2"/>
  <c r="E1821" i="2"/>
  <c r="E1822" i="2"/>
  <c r="E1823" i="2"/>
  <c r="E1824" i="2"/>
  <c r="E1825" i="2"/>
  <c r="E1826" i="2"/>
  <c r="N1826" i="2" s="1"/>
  <c r="E1827" i="2"/>
  <c r="N1827" i="2" s="1"/>
  <c r="E1828" i="2"/>
  <c r="E1829" i="2"/>
  <c r="E1830" i="2"/>
  <c r="N1830" i="2" s="1"/>
  <c r="E1831" i="2"/>
  <c r="E1832" i="2"/>
  <c r="E1833" i="2"/>
  <c r="E1834" i="2"/>
  <c r="E1835" i="2"/>
  <c r="N1835" i="2" s="1"/>
  <c r="E1836" i="2"/>
  <c r="E1837" i="2"/>
  <c r="E1838" i="2"/>
  <c r="N1838" i="2" s="1"/>
  <c r="E1839" i="2"/>
  <c r="N1839" i="2" s="1"/>
  <c r="E1840" i="2"/>
  <c r="N1840" i="2" s="1"/>
  <c r="E1841" i="2"/>
  <c r="N1841" i="2" s="1"/>
  <c r="E1842" i="2"/>
  <c r="N1842" i="2" s="1"/>
  <c r="E1843" i="2"/>
  <c r="E1844" i="2"/>
  <c r="E1845" i="2"/>
  <c r="E1846" i="2"/>
  <c r="E1847" i="2"/>
  <c r="E1848" i="2"/>
  <c r="E1849" i="2"/>
  <c r="E1850" i="2"/>
  <c r="E1851" i="2"/>
  <c r="E1852" i="2"/>
  <c r="N1852" i="2" s="1"/>
  <c r="E1853" i="2"/>
  <c r="N1853" i="2" s="1"/>
  <c r="E1854" i="2"/>
  <c r="N1854" i="2" s="1"/>
  <c r="E1855" i="2"/>
  <c r="E1856" i="2"/>
  <c r="N1856" i="2" s="1"/>
  <c r="E1857" i="2"/>
  <c r="E1858" i="2"/>
  <c r="E1859" i="2"/>
  <c r="E1860" i="2"/>
  <c r="E1861" i="2"/>
  <c r="E1862" i="2"/>
  <c r="N1862" i="2" s="1"/>
  <c r="E1863" i="2"/>
  <c r="N1508" i="2" s="1"/>
  <c r="E1864" i="2"/>
  <c r="N1864" i="2" s="1"/>
  <c r="E1865" i="2"/>
  <c r="N1865" i="2" s="1"/>
  <c r="E1866" i="2"/>
  <c r="N1866" i="2" s="1"/>
  <c r="E1867" i="2"/>
  <c r="E1868" i="2"/>
  <c r="N1868" i="2" s="1"/>
  <c r="E1869" i="2"/>
  <c r="E1870" i="2"/>
  <c r="E1871" i="2"/>
  <c r="N1871" i="2" s="1"/>
  <c r="E1872" i="2"/>
  <c r="E1873" i="2"/>
  <c r="E1874" i="2"/>
  <c r="E1875" i="2"/>
  <c r="N1875" i="2" s="1"/>
  <c r="E1876" i="2"/>
  <c r="N1876" i="2" s="1"/>
  <c r="E1877" i="2"/>
  <c r="N1877" i="2" s="1"/>
  <c r="E1878" i="2"/>
  <c r="N1878" i="2" s="1"/>
  <c r="E1879" i="2"/>
  <c r="E1880" i="2"/>
  <c r="N1880" i="2" s="1"/>
  <c r="E1881" i="2"/>
  <c r="E1882" i="2"/>
  <c r="E1883" i="2"/>
  <c r="N1883" i="2" s="1"/>
  <c r="E1884" i="2"/>
  <c r="E1885" i="2"/>
  <c r="E1886" i="2"/>
  <c r="N1886" i="2" s="1"/>
  <c r="E1887" i="2"/>
  <c r="N1887" i="2" s="1"/>
  <c r="E1888" i="2"/>
  <c r="E1889" i="2"/>
  <c r="N1889" i="2" s="1"/>
  <c r="E1890" i="2"/>
  <c r="N1890" i="2" s="1"/>
  <c r="E1891" i="2"/>
  <c r="E1892" i="2"/>
  <c r="E1893" i="2"/>
  <c r="E1894" i="2"/>
  <c r="E1895" i="2"/>
  <c r="N1895" i="2" s="1"/>
  <c r="E1896" i="2"/>
  <c r="E1897" i="2"/>
  <c r="E1898" i="2"/>
  <c r="N1898" i="2" s="1"/>
  <c r="E1899" i="2"/>
  <c r="N1899" i="2" s="1"/>
  <c r="E1900" i="2"/>
  <c r="N1900" i="2" s="1"/>
  <c r="E1901" i="2"/>
  <c r="N1901" i="2" s="1"/>
  <c r="E1902" i="2"/>
  <c r="N1902" i="2" s="1"/>
  <c r="E1903" i="2"/>
  <c r="E1904" i="2"/>
  <c r="E1905" i="2"/>
  <c r="E1906" i="2"/>
  <c r="E1907" i="2"/>
  <c r="N1907" i="2" s="1"/>
  <c r="E1908" i="2"/>
  <c r="N1004" i="2" s="1"/>
  <c r="E1909" i="2"/>
  <c r="E1910" i="2"/>
  <c r="E1911" i="2"/>
  <c r="N1911" i="2" s="1"/>
  <c r="E1912" i="2"/>
  <c r="N1912" i="2" s="1"/>
  <c r="E1913" i="2"/>
  <c r="E1914" i="2"/>
  <c r="N1914" i="2" s="1"/>
  <c r="E1915" i="2"/>
  <c r="E1916" i="2"/>
  <c r="E1917" i="2"/>
  <c r="E1918" i="2"/>
  <c r="E1919" i="2"/>
  <c r="E1920" i="2"/>
  <c r="E1921" i="2"/>
  <c r="E1922" i="2"/>
  <c r="E1923" i="2"/>
  <c r="N1923" i="2" s="1"/>
  <c r="E1924" i="2"/>
  <c r="N1924" i="2" s="1"/>
  <c r="E1925" i="2"/>
  <c r="N1925" i="2" s="1"/>
  <c r="E1926" i="2"/>
  <c r="N1926" i="2" s="1"/>
  <c r="E1927" i="2"/>
  <c r="E1928" i="2"/>
  <c r="E1929" i="2"/>
  <c r="E1930" i="2"/>
  <c r="E1931" i="2"/>
  <c r="N1931" i="2" s="1"/>
  <c r="E1932" i="2"/>
  <c r="N1932" i="2" s="1"/>
  <c r="E1933" i="2"/>
  <c r="E1934" i="2"/>
  <c r="E1935" i="2"/>
  <c r="E1936" i="2"/>
  <c r="N1936" i="2" s="1"/>
  <c r="E1937" i="2"/>
  <c r="N1937" i="2" s="1"/>
  <c r="E1938" i="2"/>
  <c r="N1938" i="2" s="1"/>
  <c r="E1939" i="2"/>
  <c r="E1940" i="2"/>
  <c r="E1941" i="2"/>
  <c r="N919" i="2" s="1"/>
  <c r="E1942" i="2"/>
  <c r="E1943" i="2"/>
  <c r="N1943" i="2" s="1"/>
  <c r="E1944" i="2"/>
  <c r="E1945" i="2"/>
  <c r="E1946" i="2"/>
  <c r="E1947" i="2"/>
  <c r="N1947" i="2" s="1"/>
  <c r="E1948" i="2"/>
  <c r="N1948" i="2" s="1"/>
  <c r="E1949" i="2"/>
  <c r="E1950" i="2"/>
  <c r="N1950" i="2" s="1"/>
  <c r="E1951" i="2"/>
  <c r="E1952" i="2"/>
  <c r="E1953" i="2"/>
  <c r="E1954" i="2"/>
  <c r="E1955" i="2"/>
  <c r="N1955" i="2" s="1"/>
  <c r="E1956" i="2"/>
  <c r="E1957" i="2"/>
  <c r="N2323" i="2" s="1"/>
  <c r="E1958" i="2"/>
  <c r="E1959" i="2"/>
  <c r="N1959" i="2" s="1"/>
  <c r="E1960" i="2"/>
  <c r="N1960" i="2" s="1"/>
  <c r="E1961" i="2"/>
  <c r="N1961" i="2" s="1"/>
  <c r="E1962" i="2"/>
  <c r="N1962" i="2" s="1"/>
  <c r="E1963" i="2"/>
  <c r="E1964" i="2"/>
  <c r="E1965" i="2"/>
  <c r="E1966" i="2"/>
  <c r="E1967" i="2"/>
  <c r="E1968" i="2"/>
  <c r="E1969" i="2"/>
  <c r="E1970" i="2"/>
  <c r="N1970" i="2" s="1"/>
  <c r="E1971" i="2"/>
  <c r="N1971" i="2" s="1"/>
  <c r="E1972" i="2"/>
  <c r="N1972" i="2" s="1"/>
  <c r="E1973" i="2"/>
  <c r="E1974" i="2"/>
  <c r="E1975" i="2"/>
  <c r="E1976" i="2"/>
  <c r="N1976" i="2" s="1"/>
  <c r="E1977" i="2"/>
  <c r="E1978" i="2"/>
  <c r="E1979" i="2"/>
  <c r="E1980" i="2"/>
  <c r="E1981" i="2"/>
  <c r="E1982" i="2"/>
  <c r="E1983" i="2"/>
  <c r="E1984" i="2"/>
  <c r="E1985" i="2"/>
  <c r="N1985" i="2" s="1"/>
  <c r="E1986" i="2"/>
  <c r="E1987" i="2"/>
  <c r="E1988" i="2"/>
  <c r="E1989" i="2"/>
  <c r="E1990" i="2"/>
  <c r="E1991" i="2"/>
  <c r="N1991" i="2" s="1"/>
  <c r="E1992" i="2"/>
  <c r="N1992" i="2" s="1"/>
  <c r="E1993" i="2"/>
  <c r="E1994" i="2"/>
  <c r="E1995" i="2"/>
  <c r="E1996" i="2"/>
  <c r="N1996" i="2" s="1"/>
  <c r="E1997" i="2"/>
  <c r="N1997" i="2" s="1"/>
  <c r="E1998" i="2"/>
  <c r="E1999" i="2"/>
  <c r="E2000" i="2"/>
  <c r="N2000" i="2" s="1"/>
  <c r="E2001" i="2"/>
  <c r="E2002" i="2"/>
  <c r="E2003" i="2"/>
  <c r="E2004" i="2"/>
  <c r="E2005" i="2"/>
  <c r="E2006" i="2"/>
  <c r="N2006" i="2" s="1"/>
  <c r="E2007" i="2"/>
  <c r="N2007" i="2" s="1"/>
  <c r="E2008" i="2"/>
  <c r="N2008" i="2" s="1"/>
  <c r="E2009" i="2"/>
  <c r="N2009" i="2" s="1"/>
  <c r="E2010" i="2"/>
  <c r="N2010" i="2" s="1"/>
  <c r="E2011" i="2"/>
  <c r="E2012" i="2"/>
  <c r="N2012" i="2" s="1"/>
  <c r="E2013" i="2"/>
  <c r="E2014" i="2"/>
  <c r="E2015" i="2"/>
  <c r="N2015" i="2" s="1"/>
  <c r="E2016" i="2"/>
  <c r="E2017" i="2"/>
  <c r="E2018" i="2"/>
  <c r="N2018" i="2" s="1"/>
  <c r="E2019" i="2"/>
  <c r="E2020" i="2"/>
  <c r="N2020" i="2" s="1"/>
  <c r="E2021" i="2"/>
  <c r="E2022" i="2"/>
  <c r="N2022" i="2" s="1"/>
  <c r="E2023" i="2"/>
  <c r="E2024" i="2"/>
  <c r="E2025" i="2"/>
  <c r="E2026" i="2"/>
  <c r="E2027" i="2"/>
  <c r="N2027" i="2" s="1"/>
  <c r="E2028" i="2"/>
  <c r="E2029" i="2"/>
  <c r="E2030" i="2"/>
  <c r="N2030" i="2" s="1"/>
  <c r="E2031" i="2"/>
  <c r="N2031" i="2" s="1"/>
  <c r="E2032" i="2"/>
  <c r="N2032" i="2" s="1"/>
  <c r="E2033" i="2"/>
  <c r="N2033" i="2" s="1"/>
  <c r="E2034" i="2"/>
  <c r="N2034" i="2" s="1"/>
  <c r="E2035" i="2"/>
  <c r="E2036" i="2"/>
  <c r="N2036" i="2" s="1"/>
  <c r="E2037" i="2"/>
  <c r="E2038" i="2"/>
  <c r="E2039" i="2"/>
  <c r="E2040" i="2"/>
  <c r="E2041" i="2"/>
  <c r="E2042" i="2"/>
  <c r="E2043" i="2"/>
  <c r="N2043" i="2" s="1"/>
  <c r="E2044" i="2"/>
  <c r="N2044" i="2" s="1"/>
  <c r="E2045" i="2"/>
  <c r="N2045" i="2" s="1"/>
  <c r="E2046" i="2"/>
  <c r="E2047" i="2"/>
  <c r="E2048" i="2"/>
  <c r="E2049" i="2"/>
  <c r="E2050" i="2"/>
  <c r="E2051" i="2"/>
  <c r="N2051" i="2" s="1"/>
  <c r="E2052" i="2"/>
  <c r="E2053" i="2"/>
  <c r="E2054" i="2"/>
  <c r="N2054" i="2" s="1"/>
  <c r="E2055" i="2"/>
  <c r="E2056" i="2"/>
  <c r="E2057" i="2"/>
  <c r="E2058" i="2"/>
  <c r="N2058" i="2" s="1"/>
  <c r="E2059" i="2"/>
  <c r="E2060" i="2"/>
  <c r="E2061" i="2"/>
  <c r="E2062" i="2"/>
  <c r="E2063" i="2"/>
  <c r="N2063" i="2" s="1"/>
  <c r="E2064" i="2"/>
  <c r="E2065" i="2"/>
  <c r="E2066" i="2"/>
  <c r="E2067" i="2"/>
  <c r="N2067" i="2" s="1"/>
  <c r="E2068" i="2"/>
  <c r="E2069" i="2"/>
  <c r="N2069" i="2" s="1"/>
  <c r="E2070" i="2"/>
  <c r="N2070" i="2" s="1"/>
  <c r="E2071" i="2"/>
  <c r="E2072" i="2"/>
  <c r="N2072" i="2" s="1"/>
  <c r="E2073" i="2"/>
  <c r="E2074" i="2"/>
  <c r="E2075" i="2"/>
  <c r="N2075" i="2" s="1"/>
  <c r="E2076" i="2"/>
  <c r="E2077" i="2"/>
  <c r="E2078" i="2"/>
  <c r="N2078" i="2" s="1"/>
  <c r="E2079" i="2"/>
  <c r="N2079" i="2" s="1"/>
  <c r="E2080" i="2"/>
  <c r="E2081" i="2"/>
  <c r="N2081" i="2" s="1"/>
  <c r="E2082" i="2"/>
  <c r="N2082" i="2" s="1"/>
  <c r="E2083" i="2"/>
  <c r="E2084" i="2"/>
  <c r="N2084" i="2" s="1"/>
  <c r="E2085" i="2"/>
  <c r="E2086" i="2"/>
  <c r="E2087" i="2"/>
  <c r="E2088" i="2"/>
  <c r="E2089" i="2"/>
  <c r="E2090" i="2"/>
  <c r="N2139" i="2" s="1"/>
  <c r="E2091" i="2"/>
  <c r="N2091" i="2" s="1"/>
  <c r="E2092" i="2"/>
  <c r="E2093" i="2"/>
  <c r="N2093" i="2" s="1"/>
  <c r="E2094" i="2"/>
  <c r="N2094" i="2" s="1"/>
  <c r="E2095" i="2"/>
  <c r="E2096" i="2"/>
  <c r="E2097" i="2"/>
  <c r="E2098" i="2"/>
  <c r="E2099" i="2"/>
  <c r="N2099" i="2" s="1"/>
  <c r="E2100" i="2"/>
  <c r="N2100" i="2" s="1"/>
  <c r="E2101" i="2"/>
  <c r="E2102" i="2"/>
  <c r="N2102" i="2" s="1"/>
  <c r="E2103" i="2"/>
  <c r="N2103" i="2" s="1"/>
  <c r="E2104" i="2"/>
  <c r="N2104" i="2" s="1"/>
  <c r="E2105" i="2"/>
  <c r="N2105" i="2" s="1"/>
  <c r="E2106" i="2"/>
  <c r="N2106" i="2" s="1"/>
  <c r="E2107" i="2"/>
  <c r="E2108" i="2"/>
  <c r="E2109" i="2"/>
  <c r="E2110" i="2"/>
  <c r="E2111" i="2"/>
  <c r="E2112" i="2"/>
  <c r="E2113" i="2"/>
  <c r="E2114" i="2"/>
  <c r="N2114" i="2" s="1"/>
  <c r="E2115" i="2"/>
  <c r="N2115" i="2" s="1"/>
  <c r="E2116" i="2"/>
  <c r="E2117" i="2"/>
  <c r="E2118" i="2"/>
  <c r="N2118" i="2" s="1"/>
  <c r="E2119" i="2"/>
  <c r="E2120" i="2"/>
  <c r="N2120" i="2" s="1"/>
  <c r="E2121" i="2"/>
  <c r="E2122" i="2"/>
  <c r="E2123" i="2"/>
  <c r="N2123" i="2" s="1"/>
  <c r="E2124" i="2"/>
  <c r="E2125" i="2"/>
  <c r="E2126" i="2"/>
  <c r="E2127" i="2"/>
  <c r="E2128" i="2"/>
  <c r="N2128" i="2" s="1"/>
  <c r="E2129" i="2"/>
  <c r="E2130" i="2"/>
  <c r="N2130" i="2" s="1"/>
  <c r="E2131" i="2"/>
  <c r="E2132" i="2"/>
  <c r="E2133" i="2"/>
  <c r="E2134" i="2"/>
  <c r="E2135" i="2"/>
  <c r="E2136" i="2"/>
  <c r="E2137" i="2"/>
  <c r="E2138" i="2"/>
  <c r="N2138" i="2" s="1"/>
  <c r="E2139" i="2"/>
  <c r="E2140" i="2"/>
  <c r="N2140" i="2" s="1"/>
  <c r="E2141" i="2"/>
  <c r="N2141" i="2" s="1"/>
  <c r="E2142" i="2"/>
  <c r="E2143" i="2"/>
  <c r="E2144" i="2"/>
  <c r="E2145" i="2"/>
  <c r="E2146" i="2"/>
  <c r="E2147" i="2"/>
  <c r="N2147" i="2" s="1"/>
  <c r="E2148" i="2"/>
  <c r="E2149" i="2"/>
  <c r="E2150" i="2"/>
  <c r="N2150" i="2" s="1"/>
  <c r="E2151" i="2"/>
  <c r="N2151" i="2" s="1"/>
  <c r="E2152" i="2"/>
  <c r="E2153" i="2"/>
  <c r="N2153" i="2" s="1"/>
  <c r="E2154" i="2"/>
  <c r="N2154" i="2" s="1"/>
  <c r="E2155" i="2"/>
  <c r="E2156" i="2"/>
  <c r="E2157" i="2"/>
  <c r="E2158" i="2"/>
  <c r="E2159" i="2"/>
  <c r="N2159" i="2" s="1"/>
  <c r="E2160" i="2"/>
  <c r="E2161" i="2"/>
  <c r="E2162" i="2"/>
  <c r="E2163" i="2"/>
  <c r="N2163" i="2" s="1"/>
  <c r="E2164" i="2"/>
  <c r="N2164" i="2" s="1"/>
  <c r="E2165" i="2"/>
  <c r="N2165" i="2" s="1"/>
  <c r="E2166" i="2"/>
  <c r="N2166" i="2" s="1"/>
  <c r="E2167" i="2"/>
  <c r="E2168" i="2"/>
  <c r="E2169" i="2"/>
  <c r="E2170" i="2"/>
  <c r="E2171" i="2"/>
  <c r="N2171" i="2" s="1"/>
  <c r="E2172" i="2"/>
  <c r="E2173" i="2"/>
  <c r="E2174" i="2"/>
  <c r="N2174" i="2" s="1"/>
  <c r="E2175" i="2"/>
  <c r="N2175" i="2" s="1"/>
  <c r="E2176" i="2"/>
  <c r="N2176" i="2" s="1"/>
  <c r="E2177" i="2"/>
  <c r="E2178" i="2"/>
  <c r="N2178" i="2" s="1"/>
  <c r="E2179" i="2"/>
  <c r="E2180" i="2"/>
  <c r="E2181" i="2"/>
  <c r="E2182" i="2"/>
  <c r="E2183" i="2"/>
  <c r="N2183" i="2" s="1"/>
  <c r="E2184" i="2"/>
  <c r="E2185" i="2"/>
  <c r="E2186" i="2"/>
  <c r="N2186" i="2" s="1"/>
  <c r="E2187" i="2"/>
  <c r="N2187" i="2" s="1"/>
  <c r="E2188" i="2"/>
  <c r="N2188" i="2" s="1"/>
  <c r="E2189" i="2"/>
  <c r="N2189" i="2" s="1"/>
  <c r="E2190" i="2"/>
  <c r="E2191" i="2"/>
  <c r="E2192" i="2"/>
  <c r="N2192" i="2" s="1"/>
  <c r="E2193" i="2"/>
  <c r="E2194" i="2"/>
  <c r="E2195" i="2"/>
  <c r="N2195" i="2" s="1"/>
  <c r="E2196" i="2"/>
  <c r="E2197" i="2"/>
  <c r="E2198" i="2"/>
  <c r="N2198" i="2" s="1"/>
  <c r="E2199" i="2"/>
  <c r="E2200" i="2"/>
  <c r="N2200" i="2" s="1"/>
  <c r="E2201" i="2"/>
  <c r="E2202" i="2"/>
  <c r="N2202" i="2" s="1"/>
  <c r="E2203" i="2"/>
  <c r="E2204" i="2"/>
  <c r="N2204" i="2" s="1"/>
  <c r="E2205" i="2"/>
  <c r="N2205" i="2" s="1"/>
  <c r="E2206" i="2"/>
  <c r="N2206" i="2" s="1"/>
  <c r="E2207" i="2"/>
  <c r="E2208" i="2"/>
  <c r="E2209" i="2"/>
  <c r="E2210" i="2"/>
  <c r="E2211" i="2"/>
  <c r="N2211" i="2" s="1"/>
  <c r="E2212" i="2"/>
  <c r="E2213" i="2"/>
  <c r="N2213" i="2" s="1"/>
  <c r="E2214" i="2"/>
  <c r="N2214" i="2" s="1"/>
  <c r="E2215" i="2"/>
  <c r="E2216" i="2"/>
  <c r="E2217" i="2"/>
  <c r="N2217" i="2" s="1"/>
  <c r="E2218" i="2"/>
  <c r="E2219" i="2"/>
  <c r="N2219" i="2" s="1"/>
  <c r="E2220" i="2"/>
  <c r="E2221" i="2"/>
  <c r="E2222" i="2"/>
  <c r="E2223" i="2"/>
  <c r="E2224" i="2"/>
  <c r="N2224" i="2" s="1"/>
  <c r="E2225" i="2"/>
  <c r="E2226" i="2"/>
  <c r="N2226" i="2" s="1"/>
  <c r="E2227" i="2"/>
  <c r="E2228" i="2"/>
  <c r="N2228" i="2" s="1"/>
  <c r="E2229" i="2"/>
  <c r="E2230" i="2"/>
  <c r="E2231" i="2"/>
  <c r="N2231" i="2" s="1"/>
  <c r="E2232" i="2"/>
  <c r="N2232" i="2" s="1"/>
  <c r="E2233" i="2"/>
  <c r="N2233" i="2" s="1"/>
  <c r="E2234" i="2"/>
  <c r="N2234" i="2" s="1"/>
  <c r="E2235" i="2"/>
  <c r="N2235" i="2" s="1"/>
  <c r="E2236" i="2"/>
  <c r="N2236" i="2" s="1"/>
  <c r="E2237" i="2"/>
  <c r="N2167" i="2" s="1"/>
  <c r="E2238" i="2"/>
  <c r="N2238" i="2" s="1"/>
  <c r="E2239" i="2"/>
  <c r="E2240" i="2"/>
  <c r="E2241" i="2"/>
  <c r="E2242" i="2"/>
  <c r="E2243" i="2"/>
  <c r="E2244" i="2"/>
  <c r="E2245" i="2"/>
  <c r="E2246" i="2"/>
  <c r="N2246" i="2" s="1"/>
  <c r="E2247" i="2"/>
  <c r="E2248" i="2"/>
  <c r="N2248" i="2" s="1"/>
  <c r="E2249" i="2"/>
  <c r="E2250" i="2"/>
  <c r="E2251" i="2"/>
  <c r="E2252" i="2"/>
  <c r="E2253" i="2"/>
  <c r="E2254" i="2"/>
  <c r="E2255" i="2"/>
  <c r="E2256" i="2"/>
  <c r="E2257" i="2"/>
  <c r="E2258" i="2"/>
  <c r="N2258" i="2" s="1"/>
  <c r="E2259" i="2"/>
  <c r="N2259" i="2" s="1"/>
  <c r="E2260" i="2"/>
  <c r="N2260" i="2" s="1"/>
  <c r="E2261" i="2"/>
  <c r="N2261" i="2" s="1"/>
  <c r="E2262" i="2"/>
  <c r="N2262" i="2" s="1"/>
  <c r="E2263" i="2"/>
  <c r="E2264" i="2"/>
  <c r="E2265" i="2"/>
  <c r="E2266" i="2"/>
  <c r="E2267" i="2"/>
  <c r="E2268" i="2"/>
  <c r="E2269" i="2"/>
  <c r="E2270" i="2"/>
  <c r="E2271" i="2"/>
  <c r="N2271" i="2" s="1"/>
  <c r="E2272" i="2"/>
  <c r="N2272" i="2" s="1"/>
  <c r="E2273" i="2"/>
  <c r="N2273" i="2" s="1"/>
  <c r="E2274" i="2"/>
  <c r="N2274" i="2" s="1"/>
  <c r="E2275" i="2"/>
  <c r="E2276" i="2"/>
  <c r="N2276" i="2" s="1"/>
  <c r="E2277" i="2"/>
  <c r="E2278" i="2"/>
  <c r="E2279" i="2"/>
  <c r="N2279" i="2" s="1"/>
  <c r="E2280" i="2"/>
  <c r="E2281" i="2"/>
  <c r="E2282" i="2"/>
  <c r="N2282" i="2" s="1"/>
  <c r="E2283" i="2"/>
  <c r="N2283" i="2" s="1"/>
  <c r="E2284" i="2"/>
  <c r="N2284" i="2" s="1"/>
  <c r="E2285" i="2"/>
  <c r="N2285" i="2" s="1"/>
  <c r="E2286" i="2"/>
  <c r="E2287" i="2"/>
  <c r="E2288" i="2"/>
  <c r="E2289" i="2"/>
  <c r="E2290" i="2"/>
  <c r="E2291" i="2"/>
  <c r="N2291" i="2" s="1"/>
  <c r="E2292" i="2"/>
  <c r="E2293" i="2"/>
  <c r="E2294" i="2"/>
  <c r="N2294" i="2" s="1"/>
  <c r="E2295" i="2"/>
  <c r="N2295" i="2" s="1"/>
  <c r="E2296" i="2"/>
  <c r="E2297" i="2"/>
  <c r="N2297" i="2" s="1"/>
  <c r="E2298" i="2"/>
  <c r="N2298" i="2" s="1"/>
  <c r="E2299" i="2"/>
  <c r="E2300" i="2"/>
  <c r="N2300" i="2" s="1"/>
  <c r="E2301" i="2"/>
  <c r="E2302" i="2"/>
  <c r="E2303" i="2"/>
  <c r="N2303" i="2" s="1"/>
  <c r="E2304" i="2"/>
  <c r="E2305" i="2"/>
  <c r="E2306" i="2"/>
  <c r="N2306" i="2" s="1"/>
  <c r="E2307" i="2"/>
  <c r="E2308" i="2"/>
  <c r="N2308" i="2" s="1"/>
  <c r="E2309" i="2"/>
  <c r="N2309" i="2" s="1"/>
  <c r="E2310" i="2"/>
  <c r="N2310" i="2" s="1"/>
  <c r="E2311" i="2"/>
  <c r="E2312" i="2"/>
  <c r="E2313" i="2"/>
  <c r="E2314" i="2"/>
  <c r="E2315" i="2"/>
  <c r="E2316" i="2"/>
  <c r="E2317" i="2"/>
  <c r="E2318" i="2"/>
  <c r="N2318" i="2" s="1"/>
  <c r="E2319" i="2"/>
  <c r="N2319" i="2" s="1"/>
  <c r="E2320" i="2"/>
  <c r="N2320" i="2" s="1"/>
  <c r="E2321" i="2"/>
  <c r="N2321" i="2" s="1"/>
  <c r="E2322" i="2"/>
  <c r="N2322" i="2" s="1"/>
  <c r="E2323" i="2"/>
  <c r="E2324" i="2"/>
  <c r="E2325" i="2"/>
  <c r="E2326" i="2"/>
  <c r="E2327" i="2"/>
  <c r="E2328" i="2"/>
  <c r="E2329" i="2"/>
  <c r="E2330" i="2"/>
  <c r="E2331" i="2"/>
  <c r="E2332" i="2"/>
  <c r="E2333" i="2"/>
  <c r="N2333" i="2" s="1"/>
  <c r="E2334" i="2"/>
  <c r="N2334" i="2" s="1"/>
  <c r="E2335" i="2"/>
  <c r="E2336" i="2"/>
  <c r="E2337" i="2"/>
  <c r="E2338" i="2"/>
  <c r="E2339" i="2"/>
  <c r="E2340" i="2"/>
  <c r="E2341" i="2"/>
  <c r="E2342" i="2"/>
  <c r="N2342" i="2" s="1"/>
  <c r="E2343" i="2"/>
  <c r="E2344" i="2"/>
  <c r="N2344" i="2" s="1"/>
  <c r="E2345" i="2"/>
  <c r="N2345" i="2" s="1"/>
  <c r="E2346" i="2"/>
  <c r="E2347" i="2"/>
  <c r="E2348" i="2"/>
  <c r="E2349" i="2"/>
  <c r="E2350" i="2"/>
  <c r="E2351" i="2"/>
  <c r="N2351" i="2" s="1"/>
  <c r="E2352" i="2"/>
  <c r="E2353" i="2"/>
  <c r="E2354" i="2"/>
  <c r="E2355" i="2"/>
  <c r="N2355" i="2" s="1"/>
  <c r="E2356" i="2"/>
  <c r="N2356" i="2" s="1"/>
  <c r="E2357" i="2"/>
  <c r="N2357" i="2" s="1"/>
  <c r="E2358" i="2"/>
  <c r="E2359" i="2"/>
  <c r="E2360" i="2"/>
  <c r="E2361" i="2"/>
  <c r="N2361" i="2" s="1"/>
  <c r="E2362" i="2"/>
  <c r="E2363" i="2"/>
  <c r="E2364" i="2"/>
  <c r="E2365" i="2"/>
  <c r="E2366" i="2"/>
  <c r="N2366" i="2" s="1"/>
  <c r="E2367" i="2"/>
  <c r="E2368" i="2"/>
  <c r="N2386" i="2" s="1"/>
  <c r="E2369" i="2"/>
  <c r="E2370" i="2"/>
  <c r="N1327" i="2" s="1"/>
  <c r="E2371" i="2"/>
  <c r="E2372" i="2"/>
  <c r="E2373" i="2"/>
  <c r="E2374" i="2"/>
  <c r="N2374" i="2" s="1"/>
  <c r="E2375" i="2"/>
  <c r="N2375" i="2" s="1"/>
  <c r="E2376" i="2"/>
  <c r="E2377" i="2"/>
  <c r="E2378" i="2"/>
  <c r="E2379" i="2"/>
  <c r="N2379" i="2" s="1"/>
  <c r="E2380" i="2"/>
  <c r="N2380" i="2" s="1"/>
  <c r="E2381" i="2"/>
  <c r="N2381" i="2" s="1"/>
  <c r="E2382" i="2"/>
  <c r="N2382" i="2" s="1"/>
  <c r="E2383" i="2"/>
  <c r="E2384" i="2"/>
  <c r="N2384" i="2" s="1"/>
  <c r="E2385" i="2"/>
  <c r="E2386" i="2"/>
  <c r="E2387" i="2"/>
  <c r="E2388" i="2"/>
  <c r="E2389" i="2"/>
  <c r="E2390" i="2"/>
  <c r="N2390" i="2" s="1"/>
  <c r="E2391" i="2"/>
  <c r="E2392" i="2"/>
  <c r="E2393" i="2"/>
  <c r="N2393" i="2" s="1"/>
  <c r="E2394" i="2"/>
  <c r="N2394" i="2" s="1"/>
  <c r="E2395" i="2"/>
  <c r="E2396" i="2"/>
  <c r="E2397" i="2"/>
  <c r="E2398" i="2"/>
  <c r="E2399" i="2"/>
  <c r="N2399" i="2" s="1"/>
  <c r="E2400" i="2"/>
  <c r="E2401" i="2"/>
  <c r="E2402" i="2"/>
  <c r="N2402" i="2" s="1"/>
  <c r="E2403" i="2"/>
  <c r="N2403" i="2" s="1"/>
  <c r="E2404" i="2"/>
  <c r="N2404" i="2" s="1"/>
  <c r="E2405" i="2"/>
  <c r="N2405" i="2" s="1"/>
  <c r="E2406" i="2"/>
  <c r="N2406" i="2" s="1"/>
  <c r="E2407" i="2"/>
  <c r="E2408" i="2"/>
  <c r="E2409" i="2"/>
  <c r="E2410" i="2"/>
  <c r="E2411" i="2"/>
  <c r="N2411" i="2" s="1"/>
  <c r="E2412" i="2"/>
  <c r="E2413" i="2"/>
  <c r="E2414" i="2"/>
  <c r="N2414" i="2" s="1"/>
  <c r="E2415" i="2"/>
  <c r="N2415" i="2" s="1"/>
  <c r="E2416" i="2"/>
  <c r="E2417" i="2"/>
  <c r="N2417" i="2" s="1"/>
  <c r="E2418" i="2"/>
  <c r="E2419" i="2"/>
  <c r="E2420" i="2"/>
  <c r="N2420" i="2" s="1"/>
  <c r="E2421" i="2"/>
  <c r="E2422" i="2"/>
  <c r="E2423" i="2"/>
  <c r="N2423" i="2" s="1"/>
  <c r="E2424" i="2"/>
  <c r="E2425" i="2"/>
  <c r="E2426" i="2"/>
  <c r="N2426" i="2" s="1"/>
  <c r="E2427" i="2"/>
  <c r="E2428" i="2"/>
  <c r="N2428" i="2" s="1"/>
  <c r="E2429" i="2"/>
  <c r="N2429" i="2" s="1"/>
  <c r="E2430" i="2"/>
  <c r="E2431" i="2"/>
  <c r="E2432" i="2"/>
  <c r="E2433" i="2"/>
  <c r="E2434" i="2"/>
  <c r="E2435" i="2"/>
  <c r="E2436" i="2"/>
  <c r="E2437" i="2"/>
  <c r="E2438" i="2"/>
  <c r="N2438" i="2" s="1"/>
  <c r="E2439" i="2"/>
  <c r="N2439" i="2" s="1"/>
  <c r="E2440" i="2"/>
  <c r="N2440" i="2" s="1"/>
  <c r="E2441" i="2"/>
  <c r="N2441" i="2" s="1"/>
  <c r="E2442" i="2"/>
  <c r="N2442" i="2" s="1"/>
  <c r="E2443" i="2"/>
  <c r="E2444" i="2"/>
  <c r="E2445" i="2"/>
  <c r="E2446" i="2"/>
  <c r="E2447" i="2"/>
  <c r="N2447" i="2" s="1"/>
  <c r="E2448" i="2"/>
  <c r="E2449" i="2"/>
  <c r="E2450" i="2"/>
  <c r="N2450" i="2" s="1"/>
  <c r="E2451" i="2"/>
  <c r="N2451" i="2" s="1"/>
  <c r="E2452" i="2"/>
  <c r="E2453" i="2"/>
  <c r="E2454" i="2"/>
  <c r="N2454" i="2" s="1"/>
  <c r="E2455" i="2"/>
  <c r="E2456" i="2"/>
  <c r="E2457" i="2"/>
  <c r="E2458" i="2"/>
  <c r="E2459" i="2"/>
  <c r="N1952" i="2" s="1"/>
  <c r="E2460" i="2"/>
  <c r="E2461" i="2"/>
  <c r="E2462" i="2"/>
  <c r="N2462" i="2" s="1"/>
  <c r="E2463" i="2"/>
  <c r="N2463" i="2" s="1"/>
  <c r="E2464" i="2"/>
  <c r="N2464" i="2" s="1"/>
  <c r="E2465" i="2"/>
  <c r="N2465" i="2" s="1"/>
  <c r="E2466" i="2"/>
  <c r="E2467" i="2"/>
  <c r="E2468" i="2"/>
  <c r="E2469" i="2"/>
  <c r="E2470" i="2"/>
  <c r="E2471" i="2"/>
  <c r="N2471" i="2" s="1"/>
  <c r="E2472" i="2"/>
  <c r="E2473" i="2"/>
  <c r="E2474" i="2"/>
  <c r="N2474" i="2" s="1"/>
  <c r="E2475" i="2"/>
  <c r="N2475" i="2" s="1"/>
  <c r="E2476" i="2"/>
  <c r="N2476" i="2" s="1"/>
  <c r="E2477" i="2"/>
  <c r="E2478" i="2"/>
  <c r="N2478" i="2" s="1"/>
  <c r="E2479" i="2"/>
  <c r="E2480" i="2"/>
  <c r="N2480" i="2" s="1"/>
  <c r="E2481" i="2"/>
  <c r="E2482" i="2"/>
  <c r="E2483" i="2"/>
  <c r="N2483" i="2" s="1"/>
  <c r="E2484" i="2"/>
  <c r="E2485" i="2"/>
  <c r="E2486" i="2"/>
  <c r="E2487" i="2"/>
  <c r="N2487" i="2" s="1"/>
  <c r="E2488" i="2"/>
  <c r="E2489" i="2"/>
  <c r="N2489" i="2" s="1"/>
  <c r="E2490" i="2"/>
  <c r="N2490" i="2" s="1"/>
  <c r="E2491" i="2"/>
  <c r="E2492" i="2"/>
  <c r="E2493" i="2"/>
  <c r="E2494" i="2"/>
  <c r="E2495" i="2"/>
  <c r="N2495" i="2" s="1"/>
  <c r="N164" i="2"/>
  <c r="N307" i="2"/>
  <c r="N427" i="2"/>
  <c r="N439" i="2"/>
  <c r="N449" i="2"/>
  <c r="N451" i="2"/>
  <c r="N463" i="2"/>
  <c r="N475" i="2"/>
  <c r="N487" i="2"/>
  <c r="N499" i="2"/>
  <c r="N511" i="2"/>
  <c r="N523" i="2"/>
  <c r="N535" i="2"/>
  <c r="N547" i="2"/>
  <c r="N559" i="2"/>
  <c r="N566" i="2"/>
  <c r="N571" i="2"/>
  <c r="N581" i="2"/>
  <c r="N583" i="2"/>
  <c r="N584" i="2"/>
  <c r="N595" i="2"/>
  <c r="N607" i="2"/>
  <c r="N619" i="2"/>
  <c r="N620" i="2"/>
  <c r="N627" i="2"/>
  <c r="N651" i="2"/>
  <c r="N667" i="2"/>
  <c r="N739" i="2"/>
  <c r="N751" i="2"/>
  <c r="N763" i="2"/>
  <c r="N775" i="2"/>
  <c r="N787" i="2"/>
  <c r="N799" i="2"/>
  <c r="N811" i="2"/>
  <c r="N819" i="2"/>
  <c r="N823" i="2"/>
  <c r="N835" i="2"/>
  <c r="N847" i="2"/>
  <c r="N859" i="2"/>
  <c r="N863" i="2"/>
  <c r="N907" i="2"/>
  <c r="N915" i="2"/>
  <c r="N931" i="2"/>
  <c r="N955" i="2"/>
  <c r="N980" i="2"/>
  <c r="N991" i="2"/>
  <c r="N1003" i="2"/>
  <c r="N1015" i="2"/>
  <c r="N1039" i="2"/>
  <c r="N1063" i="2"/>
  <c r="N1070" i="2"/>
  <c r="N1071" i="2"/>
  <c r="N1075" i="2"/>
  <c r="N1087" i="2"/>
  <c r="N1111" i="2"/>
  <c r="N1135" i="2"/>
  <c r="N1136" i="2"/>
  <c r="N1147" i="2"/>
  <c r="N1159" i="2"/>
  <c r="N1171" i="2"/>
  <c r="N1195" i="2"/>
  <c r="N1207" i="2"/>
  <c r="N1208" i="2"/>
  <c r="N1231" i="2"/>
  <c r="N1255" i="2"/>
  <c r="N1267" i="2"/>
  <c r="N1279" i="2"/>
  <c r="N1291" i="2"/>
  <c r="N1303" i="2"/>
  <c r="N1315" i="2"/>
  <c r="N1323" i="2"/>
  <c r="N1328" i="2"/>
  <c r="N1352" i="2"/>
  <c r="N1363" i="2"/>
  <c r="N1387" i="2"/>
  <c r="N1399" i="2"/>
  <c r="N1423" i="2"/>
  <c r="N1447" i="2"/>
  <c r="N1459" i="2"/>
  <c r="N1471" i="2"/>
  <c r="N1491" i="2"/>
  <c r="N1495" i="2"/>
  <c r="N1507" i="2"/>
  <c r="N1519" i="2"/>
  <c r="N1531" i="2"/>
  <c r="N1543" i="2"/>
  <c r="N1555" i="2"/>
  <c r="N1567" i="2"/>
  <c r="N1574" i="2"/>
  <c r="N1575" i="2"/>
  <c r="N1579" i="2"/>
  <c r="N1580" i="2"/>
  <c r="N1627" i="2"/>
  <c r="N1639" i="2"/>
  <c r="N1663" i="2"/>
  <c r="N1675" i="2"/>
  <c r="N1687" i="2"/>
  <c r="N1699" i="2"/>
  <c r="N1711" i="2"/>
  <c r="N1712" i="2"/>
  <c r="N1718" i="2"/>
  <c r="N1735" i="2"/>
  <c r="N1747" i="2"/>
  <c r="N1771" i="2"/>
  <c r="N1772" i="2"/>
  <c r="N1783" i="2"/>
  <c r="N1784" i="2"/>
  <c r="N1790" i="2"/>
  <c r="N1795" i="2"/>
  <c r="N1802" i="2"/>
  <c r="N1807" i="2"/>
  <c r="N1819" i="2"/>
  <c r="N1831" i="2"/>
  <c r="N1832" i="2"/>
  <c r="N1843" i="2"/>
  <c r="N1844" i="2"/>
  <c r="N1850" i="2"/>
  <c r="N1851" i="2"/>
  <c r="N1855" i="2"/>
  <c r="N1867" i="2"/>
  <c r="N1879" i="2"/>
  <c r="N1891" i="2"/>
  <c r="N1903" i="2"/>
  <c r="N1916" i="2"/>
  <c r="N1927" i="2"/>
  <c r="N1928" i="2"/>
  <c r="N1939" i="2"/>
  <c r="N1951" i="2"/>
  <c r="N1975" i="2"/>
  <c r="N1999" i="2"/>
  <c r="N2011" i="2"/>
  <c r="N2047" i="2"/>
  <c r="N2048" i="2"/>
  <c r="N2060" i="2"/>
  <c r="N2066" i="2"/>
  <c r="N2071" i="2"/>
  <c r="N2095" i="2"/>
  <c r="N2096" i="2"/>
  <c r="N2107" i="2"/>
  <c r="N2108" i="2"/>
  <c r="N2131" i="2"/>
  <c r="N2132" i="2"/>
  <c r="N2143" i="2"/>
  <c r="N2155" i="2"/>
  <c r="N2156" i="2"/>
  <c r="N2168" i="2"/>
  <c r="N2180" i="2"/>
  <c r="N2203" i="2"/>
  <c r="N2215" i="2"/>
  <c r="N2227" i="2"/>
  <c r="N2229" i="2"/>
  <c r="N2230" i="2"/>
  <c r="N2239" i="2"/>
  <c r="N2240" i="2"/>
  <c r="N2242" i="2"/>
  <c r="N2252" i="2"/>
  <c r="N2263" i="2"/>
  <c r="N2275" i="2"/>
  <c r="N2287" i="2"/>
  <c r="N2299" i="2"/>
  <c r="N2311" i="2"/>
  <c r="N2324" i="2"/>
  <c r="N2347" i="2"/>
  <c r="N2348" i="2"/>
  <c r="N2349" i="2"/>
  <c r="N2350" i="2"/>
  <c r="N2359" i="2"/>
  <c r="N2360" i="2"/>
  <c r="N2371" i="2"/>
  <c r="N2372" i="2"/>
  <c r="N2395" i="2"/>
  <c r="N2396" i="2"/>
  <c r="N2407" i="2"/>
  <c r="N2419" i="2"/>
  <c r="N2431" i="2"/>
  <c r="N2443" i="2"/>
  <c r="N2444" i="2"/>
  <c r="N2455" i="2"/>
  <c r="N2467" i="2"/>
  <c r="N2479" i="2"/>
  <c r="N2491" i="2"/>
  <c r="D3" i="7"/>
  <c r="B3" i="7"/>
  <c r="N1994" i="2" l="1"/>
  <c r="N428" i="2"/>
  <c r="N1226" i="2"/>
  <c r="N359" i="2"/>
  <c r="N1576" i="2"/>
  <c r="N512" i="2"/>
  <c r="N1719" i="2"/>
  <c r="N1667" i="2"/>
  <c r="N2241" i="2"/>
  <c r="N1028" i="2"/>
  <c r="N2336" i="2"/>
  <c r="N1547" i="2"/>
  <c r="N2383" i="2"/>
  <c r="N1603" i="2"/>
  <c r="N2456" i="2"/>
  <c r="N1320" i="2"/>
  <c r="N1635" i="2"/>
  <c r="N905" i="2"/>
  <c r="N1652" i="2"/>
  <c r="N1375" i="2"/>
  <c r="N1577" i="2"/>
  <c r="N953" i="2"/>
  <c r="N2416" i="2"/>
  <c r="N2222" i="2"/>
  <c r="N1910" i="2"/>
  <c r="N1528" i="2"/>
  <c r="N1616" i="2"/>
  <c r="N2162" i="2"/>
  <c r="N1922" i="2"/>
  <c r="N722" i="2"/>
  <c r="N1364" i="2"/>
  <c r="N2385" i="2"/>
  <c r="N1863" i="2"/>
  <c r="N2335" i="2"/>
  <c r="N2377" i="2"/>
  <c r="N655" i="2"/>
  <c r="N2190" i="2"/>
  <c r="N1998" i="2"/>
  <c r="N1206" i="2"/>
  <c r="N1731" i="2"/>
  <c r="N1529" i="2"/>
  <c r="N1038" i="2"/>
  <c r="N978" i="2"/>
  <c r="N930" i="2"/>
  <c r="N750" i="2"/>
  <c r="N669" i="2"/>
  <c r="N594" i="2"/>
  <c r="N2080" i="2"/>
  <c r="N1637" i="2"/>
  <c r="N510" i="2"/>
  <c r="N270" i="2"/>
  <c r="N2466" i="2"/>
  <c r="N2021" i="2"/>
  <c r="N114" i="2"/>
  <c r="N2191" i="2"/>
  <c r="N2468" i="2"/>
  <c r="N2430" i="2"/>
  <c r="N1949" i="2"/>
  <c r="N1601" i="2"/>
  <c r="N1433" i="2"/>
  <c r="N2249" i="2"/>
  <c r="N1205" i="2"/>
  <c r="N1097" i="2"/>
  <c r="N929" i="2"/>
  <c r="N881" i="2"/>
  <c r="N906" i="2"/>
  <c r="N1239" i="2"/>
  <c r="N2117" i="2"/>
  <c r="N641" i="2"/>
  <c r="N545" i="2"/>
  <c r="N2288" i="2"/>
  <c r="N1591" i="2"/>
  <c r="N437" i="2"/>
  <c r="N1987" i="2"/>
  <c r="N1086" i="2"/>
  <c r="N1915" i="2"/>
  <c r="N53" i="2"/>
  <c r="N2370" i="2"/>
  <c r="N2452" i="2"/>
  <c r="N1984" i="2"/>
  <c r="N2378" i="2"/>
  <c r="N1024" i="2"/>
  <c r="N1779" i="2"/>
  <c r="N724" i="2"/>
  <c r="N2152" i="2"/>
  <c r="N1651" i="2"/>
  <c r="N2367" i="2"/>
  <c r="N1611" i="2"/>
  <c r="N2142" i="2"/>
  <c r="N1347" i="2"/>
  <c r="N1251" i="2"/>
  <c r="N999" i="2"/>
  <c r="N951" i="2"/>
  <c r="N879" i="2"/>
  <c r="N2127" i="2"/>
  <c r="N1896" i="2"/>
  <c r="N979" i="2"/>
  <c r="N2373" i="2"/>
  <c r="N1182" i="2"/>
  <c r="N1466" i="2"/>
  <c r="N1913" i="2"/>
  <c r="N656" i="2"/>
  <c r="N1133" i="2"/>
  <c r="N2391" i="2"/>
  <c r="N1892" i="2"/>
  <c r="N2312" i="2"/>
  <c r="N2453" i="2"/>
  <c r="N1219" i="2"/>
  <c r="N260" i="2"/>
  <c r="N2090" i="2"/>
  <c r="N1934" i="2"/>
  <c r="N2212" i="2"/>
  <c r="N998" i="2"/>
  <c r="N2019" i="2"/>
  <c r="N2376" i="2"/>
  <c r="N2362" i="2"/>
  <c r="N1299" i="2"/>
  <c r="N1973" i="2"/>
  <c r="N1963" i="2"/>
  <c r="N1958" i="2"/>
  <c r="N1709" i="2"/>
  <c r="N2286" i="2"/>
  <c r="N2432" i="2"/>
  <c r="N1156" i="2"/>
  <c r="N734" i="2"/>
  <c r="N2220" i="2"/>
  <c r="N2092" i="2"/>
  <c r="N1946" i="2"/>
  <c r="N1456" i="2"/>
  <c r="N1310" i="2"/>
  <c r="N1051" i="2"/>
  <c r="N678" i="2"/>
  <c r="N42" i="2"/>
  <c r="N1145" i="2"/>
  <c r="N2177" i="2"/>
  <c r="N1554" i="2"/>
  <c r="N1759" i="2"/>
  <c r="N197" i="2"/>
  <c r="N1243" i="2"/>
  <c r="N2427" i="2"/>
  <c r="N772" i="2"/>
  <c r="N2225" i="2"/>
  <c r="N867" i="2"/>
  <c r="N1382" i="2"/>
  <c r="N2358" i="2"/>
  <c r="N1424" i="2"/>
  <c r="N1142" i="2"/>
  <c r="N1563" i="2"/>
  <c r="N1455" i="2"/>
  <c r="N246" i="2"/>
  <c r="N30" i="2"/>
  <c r="N1634" i="2"/>
  <c r="N1371" i="2"/>
  <c r="N1490" i="2"/>
  <c r="N1538" i="2"/>
  <c r="N2296" i="2"/>
  <c r="N1073" i="2"/>
  <c r="N785" i="2"/>
  <c r="N2315" i="2"/>
  <c r="N2267" i="2"/>
  <c r="N2135" i="2"/>
  <c r="N1979" i="2"/>
  <c r="N1967" i="2"/>
  <c r="N2250" i="2"/>
  <c r="N1847" i="2"/>
  <c r="N1823" i="2"/>
  <c r="N1556" i="2"/>
  <c r="N1799" i="2"/>
  <c r="N1793" i="2"/>
  <c r="N1566" i="2"/>
  <c r="N2119" i="2"/>
  <c r="N342" i="2"/>
  <c r="N1170" i="2"/>
  <c r="N1888" i="2"/>
  <c r="N2068" i="2"/>
  <c r="N2346" i="2"/>
  <c r="N1421" i="2"/>
  <c r="N679" i="2"/>
  <c r="N926" i="2"/>
  <c r="N2387" i="2"/>
  <c r="N1935" i="2"/>
  <c r="N1250" i="2"/>
  <c r="N1098" i="2"/>
  <c r="N1036" i="2"/>
  <c r="N982" i="2"/>
  <c r="N1359" i="2"/>
  <c r="N322" i="2"/>
  <c r="N1338" i="2"/>
  <c r="N464" i="2"/>
  <c r="N1108" i="2"/>
  <c r="N943" i="2"/>
  <c r="N1336" i="2"/>
  <c r="N1874" i="2"/>
  <c r="N1698" i="2"/>
  <c r="N1552" i="2"/>
  <c r="N2129" i="2"/>
  <c r="N2046" i="2"/>
  <c r="N727" i="2"/>
  <c r="N470" i="2"/>
  <c r="N1265" i="2"/>
  <c r="N2237" i="2"/>
  <c r="N351" i="2"/>
  <c r="N1457" i="2"/>
  <c r="N572" i="2"/>
  <c r="N560" i="2"/>
  <c r="N44" i="2"/>
  <c r="N1506" i="2"/>
  <c r="N857" i="2"/>
  <c r="N1540" i="2"/>
  <c r="N1181" i="2"/>
  <c r="N809" i="2"/>
  <c r="N1623" i="2"/>
  <c r="N643" i="2"/>
  <c r="N1995" i="2"/>
  <c r="N2307" i="2"/>
  <c r="N1287" i="2"/>
  <c r="N1027" i="2"/>
  <c r="N976" i="2"/>
  <c r="N531" i="2"/>
  <c r="N1770" i="2"/>
  <c r="N975" i="2"/>
  <c r="N150" i="2"/>
  <c r="N404" i="2"/>
  <c r="N1595" i="2"/>
  <c r="N903" i="2"/>
  <c r="N1211" i="2"/>
  <c r="N1175" i="2"/>
  <c r="N1115" i="2"/>
  <c r="N1067" i="2"/>
  <c r="N1031" i="2"/>
  <c r="N779" i="2"/>
  <c r="N2435" i="2"/>
  <c r="N2223" i="2"/>
  <c r="N1723" i="2"/>
  <c r="N676" i="2"/>
  <c r="N2270" i="2"/>
  <c r="N2488" i="2"/>
  <c r="N2331" i="2"/>
  <c r="N2353" i="2"/>
  <c r="N887" i="2"/>
  <c r="N839" i="2"/>
  <c r="N1988" i="2"/>
  <c r="N2024" i="2"/>
  <c r="N2392" i="2"/>
  <c r="N1221" i="2"/>
  <c r="N2364" i="2"/>
  <c r="N2039" i="2"/>
  <c r="N615" i="2"/>
  <c r="N786" i="2"/>
  <c r="N1196" i="2"/>
  <c r="N992" i="2"/>
  <c r="N896" i="2"/>
  <c r="N848" i="2"/>
  <c r="N536" i="2"/>
  <c r="N452" i="2"/>
  <c r="N2207" i="2"/>
  <c r="N784" i="2"/>
  <c r="N546" i="2"/>
  <c r="N2111" i="2"/>
  <c r="N2003" i="2"/>
  <c r="N1648" i="2"/>
  <c r="N1568" i="2"/>
  <c r="N1624" i="2"/>
  <c r="N967" i="2"/>
  <c r="N570" i="2"/>
  <c r="N748" i="2"/>
  <c r="N2461" i="2"/>
  <c r="N1909" i="2"/>
  <c r="N1801" i="2"/>
  <c r="N1693" i="2"/>
  <c r="N1597" i="2"/>
  <c r="N1477" i="2"/>
  <c r="N1321" i="2"/>
  <c r="N1237" i="2"/>
  <c r="N1129" i="2"/>
  <c r="N1533" i="2"/>
  <c r="N2340" i="2"/>
  <c r="N2424" i="2"/>
  <c r="N2304" i="2"/>
  <c r="N686" i="2"/>
  <c r="N2064" i="2"/>
  <c r="N1968" i="2"/>
  <c r="N1872" i="2"/>
  <c r="N1764" i="2"/>
  <c r="N1680" i="2"/>
  <c r="N1524" i="2"/>
  <c r="N1404" i="2"/>
  <c r="N1308" i="2"/>
  <c r="N1176" i="2"/>
  <c r="N1068" i="2"/>
  <c r="N972" i="2"/>
  <c r="N888" i="2"/>
  <c r="N768" i="2"/>
  <c r="N624" i="2"/>
  <c r="N540" i="2"/>
  <c r="N2354" i="2"/>
  <c r="N348" i="2"/>
  <c r="N240" i="2"/>
  <c r="N168" i="2"/>
  <c r="N72" i="2"/>
  <c r="N2470" i="2"/>
  <c r="N2434" i="2"/>
  <c r="N2368" i="2"/>
  <c r="N2314" i="2"/>
  <c r="N2266" i="2"/>
  <c r="N2182" i="2"/>
  <c r="N2122" i="2"/>
  <c r="N2038" i="2"/>
  <c r="N2014" i="2"/>
  <c r="N2002" i="2"/>
  <c r="N1990" i="2"/>
  <c r="N1978" i="2"/>
  <c r="N1966" i="2"/>
  <c r="N1954" i="2"/>
  <c r="N1942" i="2"/>
  <c r="N1930" i="2"/>
  <c r="N1918" i="2"/>
  <c r="N1894" i="2"/>
  <c r="N1882" i="2"/>
  <c r="N1870" i="2"/>
  <c r="N2449" i="2"/>
  <c r="N2365" i="2"/>
  <c r="N2281" i="2"/>
  <c r="N2173" i="2"/>
  <c r="N2089" i="2"/>
  <c r="N1957" i="2"/>
  <c r="N1885" i="2"/>
  <c r="N1777" i="2"/>
  <c r="N1681" i="2"/>
  <c r="N1573" i="2"/>
  <c r="N1441" i="2"/>
  <c r="N1309" i="2"/>
  <c r="N1201" i="2"/>
  <c r="N1105" i="2"/>
  <c r="N1906" i="2"/>
  <c r="N1389" i="2"/>
  <c r="N2436" i="2"/>
  <c r="N2328" i="2"/>
  <c r="N2208" i="2"/>
  <c r="N1346" i="2"/>
  <c r="N1956" i="2"/>
  <c r="N1848" i="2"/>
  <c r="N1752" i="2"/>
  <c r="N1644" i="2"/>
  <c r="N1500" i="2"/>
  <c r="N1368" i="2"/>
  <c r="N1200" i="2"/>
  <c r="N1080" i="2"/>
  <c r="N1008" i="2"/>
  <c r="N912" i="2"/>
  <c r="N804" i="2"/>
  <c r="N696" i="2"/>
  <c r="N564" i="2"/>
  <c r="N468" i="2"/>
  <c r="N372" i="2"/>
  <c r="N288" i="2"/>
  <c r="N192" i="2"/>
  <c r="N120" i="2"/>
  <c r="N24" i="2"/>
  <c r="N1546" i="2"/>
  <c r="N2477" i="2"/>
  <c r="N2482" i="2"/>
  <c r="N2446" i="2"/>
  <c r="N2410" i="2"/>
  <c r="N2326" i="2"/>
  <c r="N2290" i="2"/>
  <c r="N2254" i="2"/>
  <c r="N2158" i="2"/>
  <c r="N2098" i="2"/>
  <c r="N2485" i="2"/>
  <c r="N2425" i="2"/>
  <c r="N2389" i="2"/>
  <c r="N2317" i="2"/>
  <c r="N2221" i="2"/>
  <c r="N2161" i="2"/>
  <c r="N2113" i="2"/>
  <c r="N2041" i="2"/>
  <c r="N1993" i="2"/>
  <c r="N1945" i="2"/>
  <c r="N1849" i="2"/>
  <c r="N1789" i="2"/>
  <c r="N1717" i="2"/>
  <c r="N1621" i="2"/>
  <c r="N1525" i="2"/>
  <c r="N1405" i="2"/>
  <c r="N1333" i="2"/>
  <c r="N1261" i="2"/>
  <c r="N1177" i="2"/>
  <c r="N1141" i="2"/>
  <c r="N1615" i="2"/>
  <c r="N1435" i="2"/>
  <c r="N1589" i="2"/>
  <c r="N2484" i="2"/>
  <c r="N2412" i="2"/>
  <c r="N2352" i="2"/>
  <c r="N2280" i="2"/>
  <c r="N2184" i="2"/>
  <c r="N2088" i="2"/>
  <c r="N2004" i="2"/>
  <c r="N1944" i="2"/>
  <c r="N1860" i="2"/>
  <c r="N1776" i="2"/>
  <c r="N1740" i="2"/>
  <c r="N1656" i="2"/>
  <c r="N1560" i="2"/>
  <c r="N1512" i="2"/>
  <c r="N1392" i="2"/>
  <c r="N1296" i="2"/>
  <c r="N1272" i="2"/>
  <c r="N1164" i="2"/>
  <c r="N1056" i="2"/>
  <c r="N984" i="2"/>
  <c r="N948" i="2"/>
  <c r="N876" i="2"/>
  <c r="N1707" i="2"/>
  <c r="N672" i="2"/>
  <c r="N612" i="2"/>
  <c r="N528" i="2"/>
  <c r="N432" i="2"/>
  <c r="N408" i="2"/>
  <c r="N336" i="2"/>
  <c r="N228" i="2"/>
  <c r="N1160" i="2"/>
  <c r="N84" i="2"/>
  <c r="N2458" i="2"/>
  <c r="N2422" i="2"/>
  <c r="N2398" i="2"/>
  <c r="N1280" i="2"/>
  <c r="N2302" i="2"/>
  <c r="N2278" i="2"/>
  <c r="N2194" i="2"/>
  <c r="N2170" i="2"/>
  <c r="N2146" i="2"/>
  <c r="N2074" i="2"/>
  <c r="N2413" i="2"/>
  <c r="N2329" i="2"/>
  <c r="N2245" i="2"/>
  <c r="N2137" i="2"/>
  <c r="N2065" i="2"/>
  <c r="N1969" i="2"/>
  <c r="N1861" i="2"/>
  <c r="N1765" i="2"/>
  <c r="N1669" i="2"/>
  <c r="N1561" i="2"/>
  <c r="N1453" i="2"/>
  <c r="N1297" i="2"/>
  <c r="N1225" i="2"/>
  <c r="N1093" i="2"/>
  <c r="N850" i="2"/>
  <c r="N1647" i="2"/>
  <c r="N2448" i="2"/>
  <c r="N2316" i="2"/>
  <c r="N2196" i="2"/>
  <c r="N2040" i="2"/>
  <c r="N1920" i="2"/>
  <c r="N1824" i="2"/>
  <c r="N1728" i="2"/>
  <c r="N1620" i="2"/>
  <c r="N1488" i="2"/>
  <c r="N1380" i="2"/>
  <c r="N1284" i="2"/>
  <c r="N1152" i="2"/>
  <c r="N1044" i="2"/>
  <c r="N960" i="2"/>
  <c r="N864" i="2"/>
  <c r="N744" i="2"/>
  <c r="N600" i="2"/>
  <c r="N516" i="2"/>
  <c r="N420" i="2"/>
  <c r="N324" i="2"/>
  <c r="N216" i="2"/>
  <c r="N132" i="2"/>
  <c r="N48" i="2"/>
  <c r="N1629" i="2"/>
  <c r="N1791" i="2"/>
  <c r="N2218" i="2"/>
  <c r="N2437" i="2"/>
  <c r="N2341" i="2"/>
  <c r="N2257" i="2"/>
  <c r="N2149" i="2"/>
  <c r="N2077" i="2"/>
  <c r="N2017" i="2"/>
  <c r="N1933" i="2"/>
  <c r="N1837" i="2"/>
  <c r="N1729" i="2"/>
  <c r="N1633" i="2"/>
  <c r="N1537" i="2"/>
  <c r="N1393" i="2"/>
  <c r="N1273" i="2"/>
  <c r="N1165" i="2"/>
  <c r="N973" i="2"/>
  <c r="N517" i="2"/>
  <c r="N2035" i="2"/>
  <c r="N2472" i="2"/>
  <c r="N2388" i="2"/>
  <c r="N2268" i="2"/>
  <c r="N806" i="2"/>
  <c r="N871" i="2"/>
  <c r="N1908" i="2"/>
  <c r="N1812" i="2"/>
  <c r="N1704" i="2"/>
  <c r="N1584" i="2"/>
  <c r="N1452" i="2"/>
  <c r="N1344" i="2"/>
  <c r="N1212" i="2"/>
  <c r="N1092" i="2"/>
  <c r="N1020" i="2"/>
  <c r="N924" i="2"/>
  <c r="N792" i="2"/>
  <c r="N720" i="2"/>
  <c r="N576" i="2"/>
  <c r="N480" i="2"/>
  <c r="N384" i="2"/>
  <c r="N276" i="2"/>
  <c r="N180" i="2"/>
  <c r="N96" i="2"/>
  <c r="N2269" i="2"/>
  <c r="N2473" i="2"/>
  <c r="N2401" i="2"/>
  <c r="N2305" i="2"/>
  <c r="N2197" i="2"/>
  <c r="N2101" i="2"/>
  <c r="N2029" i="2"/>
  <c r="N1741" i="2"/>
  <c r="N1657" i="2"/>
  <c r="N1549" i="2"/>
  <c r="N1417" i="2"/>
  <c r="N1285" i="2"/>
  <c r="N1189" i="2"/>
  <c r="N1210" i="2"/>
  <c r="N1664" i="2"/>
  <c r="N241" i="2"/>
  <c r="N2400" i="2"/>
  <c r="N2292" i="2"/>
  <c r="N2124" i="2"/>
  <c r="N1467" i="2"/>
  <c r="N591" i="2"/>
  <c r="N1800" i="2"/>
  <c r="N1716" i="2"/>
  <c r="N1596" i="2"/>
  <c r="N1440" i="2"/>
  <c r="N1001" i="2"/>
  <c r="N1260" i="2"/>
  <c r="N1104" i="2"/>
  <c r="N996" i="2"/>
  <c r="N900" i="2"/>
  <c r="N780" i="2"/>
  <c r="N660" i="2"/>
  <c r="N552" i="2"/>
  <c r="N456" i="2"/>
  <c r="N360" i="2"/>
  <c r="N264" i="2"/>
  <c r="N144" i="2"/>
  <c r="N60" i="2"/>
  <c r="N2293" i="2"/>
  <c r="N2209" i="2"/>
  <c r="N2125" i="2"/>
  <c r="N2053" i="2"/>
  <c r="N2005" i="2"/>
  <c r="N1921" i="2"/>
  <c r="N1825" i="2"/>
  <c r="N1705" i="2"/>
  <c r="N1609" i="2"/>
  <c r="N1513" i="2"/>
  <c r="N1369" i="2"/>
  <c r="N1249" i="2"/>
  <c r="N1117" i="2"/>
  <c r="N1217" i="2"/>
  <c r="N469" i="2"/>
  <c r="N2460" i="2"/>
  <c r="N782" i="2"/>
  <c r="N2256" i="2"/>
  <c r="N2112" i="2"/>
  <c r="N2363" i="2"/>
  <c r="N1884" i="2"/>
  <c r="N1788" i="2"/>
  <c r="N1692" i="2"/>
  <c r="N1572" i="2"/>
  <c r="N1428" i="2"/>
  <c r="N1332" i="2"/>
  <c r="N1236" i="2"/>
  <c r="N1128" i="2"/>
  <c r="N1032" i="2"/>
  <c r="N936" i="2"/>
  <c r="N816" i="2"/>
  <c r="N732" i="2"/>
  <c r="N588" i="2"/>
  <c r="N492" i="2"/>
  <c r="N396" i="2"/>
  <c r="N312" i="2"/>
  <c r="N204" i="2"/>
  <c r="N108" i="2"/>
  <c r="N36" i="2"/>
  <c r="N1822" i="2"/>
  <c r="N1762" i="2"/>
  <c r="N1678" i="2"/>
  <c r="N2121" i="2"/>
  <c r="N1462" i="2"/>
  <c r="N1390" i="2"/>
  <c r="N1318" i="2"/>
  <c r="N1234" i="2"/>
  <c r="N1186" i="2"/>
  <c r="N1126" i="2"/>
  <c r="N1102" i="2"/>
  <c r="N1090" i="2"/>
  <c r="N1078" i="2"/>
  <c r="N1066" i="2"/>
  <c r="N1042" i="2"/>
  <c r="N1030" i="2"/>
  <c r="N994" i="2"/>
  <c r="N1526" i="2"/>
  <c r="N958" i="2"/>
  <c r="N946" i="2"/>
  <c r="N934" i="2"/>
  <c r="N910" i="2"/>
  <c r="N898" i="2"/>
  <c r="N886" i="2"/>
  <c r="N874" i="2"/>
  <c r="N838" i="2"/>
  <c r="N826" i="2"/>
  <c r="N715" i="2"/>
  <c r="N802" i="2"/>
  <c r="N790" i="2"/>
  <c r="N778" i="2"/>
  <c r="N766" i="2"/>
  <c r="N754" i="2"/>
  <c r="N742" i="2"/>
  <c r="N730" i="2"/>
  <c r="N718" i="2"/>
  <c r="N706" i="2"/>
  <c r="N694" i="2"/>
  <c r="N682" i="2"/>
  <c r="N2185" i="2"/>
  <c r="N646" i="2"/>
  <c r="N634" i="2"/>
  <c r="N622" i="2"/>
  <c r="N610" i="2"/>
  <c r="N598" i="2"/>
  <c r="N586" i="2"/>
  <c r="N574" i="2"/>
  <c r="N562" i="2"/>
  <c r="N550" i="2"/>
  <c r="N526" i="2"/>
  <c r="N514" i="2"/>
  <c r="N502" i="2"/>
  <c r="N490" i="2"/>
  <c r="N478" i="2"/>
  <c r="N454" i="2"/>
  <c r="N442" i="2"/>
  <c r="N430" i="2"/>
  <c r="N418" i="2"/>
  <c r="N406" i="2"/>
  <c r="N394" i="2"/>
  <c r="N382" i="2"/>
  <c r="N370" i="2"/>
  <c r="N358" i="2"/>
  <c r="N959" i="2"/>
  <c r="N334" i="2"/>
  <c r="N2247" i="2"/>
  <c r="N310" i="2"/>
  <c r="N298" i="2"/>
  <c r="N286" i="2"/>
  <c r="N274" i="2"/>
  <c r="N262" i="2"/>
  <c r="N250" i="2"/>
  <c r="N238" i="2"/>
  <c r="N226" i="2"/>
  <c r="N214" i="2"/>
  <c r="N202" i="2"/>
  <c r="N190" i="2"/>
  <c r="N178" i="2"/>
  <c r="N166" i="2"/>
  <c r="N154" i="2"/>
  <c r="N142" i="2"/>
  <c r="N1564" i="2"/>
  <c r="N1983" i="2"/>
  <c r="N2148" i="2"/>
  <c r="N764" i="2"/>
  <c r="N1810" i="2"/>
  <c r="N1726" i="2"/>
  <c r="N1606" i="2"/>
  <c r="N1450" i="2"/>
  <c r="N1342" i="2"/>
  <c r="N1198" i="2"/>
  <c r="N2493" i="2"/>
  <c r="N2481" i="2"/>
  <c r="N2469" i="2"/>
  <c r="N2457" i="2"/>
  <c r="N2445" i="2"/>
  <c r="N2433" i="2"/>
  <c r="N2418" i="2"/>
  <c r="N2409" i="2"/>
  <c r="N1586" i="2"/>
  <c r="N2325" i="2"/>
  <c r="N2313" i="2"/>
  <c r="N2301" i="2"/>
  <c r="N2289" i="2"/>
  <c r="N2277" i="2"/>
  <c r="N2253" i="2"/>
  <c r="N2181" i="2"/>
  <c r="N2169" i="2"/>
  <c r="N2157" i="2"/>
  <c r="N2145" i="2"/>
  <c r="N2133" i="2"/>
  <c r="N2109" i="2"/>
  <c r="N2097" i="2"/>
  <c r="N2085" i="2"/>
  <c r="N2073" i="2"/>
  <c r="N2061" i="2"/>
  <c r="N2049" i="2"/>
  <c r="N2037" i="2"/>
  <c r="N2025" i="2"/>
  <c r="N2001" i="2"/>
  <c r="N1989" i="2"/>
  <c r="N1977" i="2"/>
  <c r="N1965" i="2"/>
  <c r="N1953" i="2"/>
  <c r="N1941" i="2"/>
  <c r="N1917" i="2"/>
  <c r="N1905" i="2"/>
  <c r="N1893" i="2"/>
  <c r="N1881" i="2"/>
  <c r="N1857" i="2"/>
  <c r="N1845" i="2"/>
  <c r="N1833" i="2"/>
  <c r="N1821" i="2"/>
  <c r="N1809" i="2"/>
  <c r="N1797" i="2"/>
  <c r="N1785" i="2"/>
  <c r="N1761" i="2"/>
  <c r="N1749" i="2"/>
  <c r="N1737" i="2"/>
  <c r="N1725" i="2"/>
  <c r="N1786" i="2"/>
  <c r="N1714" i="2"/>
  <c r="N1582" i="2"/>
  <c r="N1426" i="2"/>
  <c r="N1294" i="2"/>
  <c r="N1174" i="2"/>
  <c r="N1834" i="2"/>
  <c r="N1738" i="2"/>
  <c r="N1642" i="2"/>
  <c r="N1486" i="2"/>
  <c r="N1366" i="2"/>
  <c r="N1270" i="2"/>
  <c r="N2136" i="2"/>
  <c r="N1798" i="2"/>
  <c r="N1702" i="2"/>
  <c r="N1570" i="2"/>
  <c r="N1402" i="2"/>
  <c r="N1330" i="2"/>
  <c r="N1222" i="2"/>
  <c r="N1114" i="2"/>
  <c r="N1858" i="2"/>
  <c r="N1774" i="2"/>
  <c r="N1690" i="2"/>
  <c r="N1534" i="2"/>
  <c r="N1354" i="2"/>
  <c r="N1246" i="2"/>
  <c r="N1150" i="2"/>
  <c r="N1846" i="2"/>
  <c r="N1750" i="2"/>
  <c r="N1654" i="2"/>
  <c r="N1510" i="2"/>
  <c r="N1378" i="2"/>
  <c r="N1282" i="2"/>
  <c r="N1138" i="2"/>
  <c r="N2126" i="2"/>
  <c r="N561" i="2"/>
  <c r="N13" i="2"/>
  <c r="N1713" i="2"/>
  <c r="N1701" i="2"/>
  <c r="N1689" i="2"/>
  <c r="N1677" i="2"/>
  <c r="N1665" i="2"/>
  <c r="N1653" i="2"/>
  <c r="N1641" i="2"/>
  <c r="N1593" i="2"/>
  <c r="N1581" i="2"/>
  <c r="N1569" i="2"/>
  <c r="N1521" i="2"/>
  <c r="N1509" i="2"/>
  <c r="N1497" i="2"/>
  <c r="N1485" i="2"/>
  <c r="N1461" i="2"/>
  <c r="N1437" i="2"/>
  <c r="N1425" i="2"/>
  <c r="N1413" i="2"/>
  <c r="N1401" i="2"/>
  <c r="N1377" i="2"/>
  <c r="N1365" i="2"/>
  <c r="N1341" i="2"/>
  <c r="N1329" i="2"/>
  <c r="N1305" i="2"/>
  <c r="N1293" i="2"/>
  <c r="N1281" i="2"/>
  <c r="N1269" i="2"/>
  <c r="N1209" i="2"/>
  <c r="N1197" i="2"/>
  <c r="N1185" i="2"/>
  <c r="N1173" i="2"/>
  <c r="N1161" i="2"/>
  <c r="N1149" i="2"/>
  <c r="N1125" i="2"/>
  <c r="N1113" i="2"/>
  <c r="N1101" i="2"/>
  <c r="N1089" i="2"/>
  <c r="N1077" i="2"/>
  <c r="N1065" i="2"/>
  <c r="N1053" i="2"/>
  <c r="N2160" i="2"/>
  <c r="N1017" i="2"/>
  <c r="N1005" i="2"/>
  <c r="N993" i="2"/>
  <c r="N981" i="2"/>
  <c r="N969" i="2"/>
  <c r="N957" i="2"/>
  <c r="N945" i="2"/>
  <c r="N933" i="2"/>
  <c r="N921" i="2"/>
  <c r="N909" i="2"/>
  <c r="N885" i="2"/>
  <c r="N873" i="2"/>
  <c r="N861" i="2"/>
  <c r="N849" i="2"/>
  <c r="N837" i="2"/>
  <c r="N825" i="2"/>
  <c r="N813" i="2"/>
  <c r="N801" i="2"/>
  <c r="N789" i="2"/>
  <c r="N765" i="2"/>
  <c r="N729" i="2"/>
  <c r="N705" i="2"/>
  <c r="N2343" i="2"/>
  <c r="N681" i="2"/>
  <c r="N657" i="2"/>
  <c r="N645" i="2"/>
  <c r="N633" i="2"/>
  <c r="N621" i="2"/>
  <c r="N609" i="2"/>
  <c r="N597" i="2"/>
  <c r="N1982" i="2"/>
  <c r="N573" i="2"/>
  <c r="N549" i="2"/>
  <c r="N537" i="2"/>
  <c r="N525" i="2"/>
  <c r="N513" i="2"/>
  <c r="N501" i="2"/>
  <c r="N489" i="2"/>
  <c r="N477" i="2"/>
  <c r="N1022" i="2"/>
  <c r="N533" i="2"/>
  <c r="N308" i="2"/>
  <c r="N760" i="2"/>
  <c r="N33" i="2"/>
  <c r="N509" i="2"/>
  <c r="N832" i="2"/>
  <c r="N1040" i="2"/>
  <c r="N1016" i="2"/>
  <c r="N884" i="2"/>
  <c r="N752" i="2"/>
  <c r="N740" i="2"/>
  <c r="N716" i="2"/>
  <c r="N704" i="2"/>
  <c r="N644" i="2"/>
  <c r="N596" i="2"/>
  <c r="N1014" i="2"/>
  <c r="N524" i="2"/>
  <c r="N488" i="2"/>
  <c r="N392" i="2"/>
  <c r="N356" i="2"/>
  <c r="N272" i="2"/>
  <c r="N236" i="2"/>
  <c r="N200" i="2"/>
  <c r="N176" i="2"/>
  <c r="N140" i="2"/>
  <c r="N104" i="2"/>
  <c r="N92" i="2"/>
  <c r="N56" i="2"/>
  <c r="N2086" i="2"/>
  <c r="N1897" i="2"/>
  <c r="N675" i="2"/>
  <c r="N1429" i="2"/>
  <c r="N2026" i="2"/>
  <c r="N1919" i="2"/>
  <c r="N440" i="2"/>
  <c r="N1151" i="2"/>
  <c r="N1489" i="2"/>
  <c r="N1594" i="2"/>
  <c r="N538" i="2"/>
  <c r="N1140" i="2"/>
  <c r="N2042" i="2"/>
  <c r="N1520" i="2"/>
  <c r="N1448" i="2"/>
  <c r="N1388" i="2"/>
  <c r="N318" i="2"/>
  <c r="N1411" i="2"/>
  <c r="N1753" i="2"/>
  <c r="N631" i="2"/>
  <c r="N1608" i="2"/>
  <c r="N367" i="2"/>
  <c r="N1248" i="2"/>
  <c r="N1052" i="2"/>
  <c r="N852" i="2"/>
  <c r="N2243" i="2"/>
  <c r="N840" i="2"/>
  <c r="N2028" i="2"/>
  <c r="N1940" i="2"/>
  <c r="N1751" i="2"/>
  <c r="N1523" i="2"/>
  <c r="N810" i="2"/>
  <c r="N1986" i="2"/>
  <c r="N2059" i="2"/>
  <c r="N814" i="2"/>
  <c r="N128" i="2"/>
  <c r="N1869" i="2"/>
  <c r="N1483" i="2"/>
  <c r="N2265" i="2"/>
  <c r="N2134" i="2"/>
  <c r="N2076" i="2"/>
  <c r="N2057" i="2"/>
  <c r="N1828" i="2"/>
  <c r="N1351" i="2"/>
  <c r="N1034" i="2"/>
  <c r="N693" i="2"/>
  <c r="N585" i="2"/>
  <c r="N1501" i="2"/>
  <c r="N1037" i="2"/>
  <c r="N1619" i="2"/>
  <c r="N1357" i="2"/>
  <c r="N1981" i="2"/>
  <c r="N1166" i="2"/>
  <c r="N708" i="2"/>
  <c r="N688" i="2"/>
  <c r="N1449" i="2"/>
  <c r="N684" i="2"/>
  <c r="N1727" i="2"/>
  <c r="N1600" i="2"/>
  <c r="N1679" i="2"/>
  <c r="N1162" i="2"/>
  <c r="N922" i="2"/>
  <c r="N522" i="2"/>
  <c r="N1836" i="2"/>
  <c r="N677" i="2"/>
  <c r="N1245" i="2"/>
  <c r="N2087" i="2"/>
  <c r="N897" i="2"/>
  <c r="N1668" i="2"/>
  <c r="N777" i="2"/>
  <c r="N691" i="2"/>
  <c r="N753" i="2"/>
  <c r="N1082" i="2"/>
  <c r="N2201" i="2"/>
  <c r="N2494" i="2"/>
  <c r="N2421" i="2"/>
  <c r="N2369" i="2"/>
  <c r="N2330" i="2"/>
  <c r="N2056" i="2"/>
  <c r="N828" i="2"/>
  <c r="N116" i="2"/>
  <c r="N1585" i="2"/>
  <c r="N1904" i="2"/>
  <c r="N1153" i="2"/>
  <c r="N1058" i="2"/>
  <c r="N1645" i="2"/>
  <c r="N1188" i="2"/>
  <c r="N648" i="2"/>
  <c r="N1469" i="2"/>
  <c r="N300" i="2"/>
  <c r="N1345" i="2"/>
  <c r="N1076" i="2"/>
  <c r="N2327" i="2"/>
  <c r="N1367" i="2"/>
  <c r="N1122" i="2"/>
  <c r="N1235" i="2"/>
  <c r="N1536" i="2"/>
  <c r="N717" i="2"/>
  <c r="N954" i="2"/>
  <c r="N1356" i="2"/>
  <c r="N914" i="2"/>
  <c r="N1498" i="2"/>
  <c r="N703" i="2"/>
  <c r="N1438" i="2"/>
  <c r="N1873" i="2"/>
  <c r="N728" i="2"/>
  <c r="N1006" i="2"/>
  <c r="N670" i="2"/>
  <c r="N767" i="2"/>
  <c r="N346" i="2"/>
  <c r="N1137" i="2"/>
  <c r="N989" i="2"/>
  <c r="N2459" i="2"/>
  <c r="N2172" i="2"/>
  <c r="N2055" i="2"/>
  <c r="N1980" i="2"/>
  <c r="N736" i="2"/>
  <c r="N700" i="2"/>
  <c r="N1213" i="2"/>
  <c r="N1578" i="2"/>
  <c r="N756" i="2"/>
  <c r="N1169" i="2"/>
  <c r="N1306" i="2"/>
  <c r="N252" i="2"/>
  <c r="N1319" i="2"/>
  <c r="N783" i="2"/>
  <c r="N1331" i="2"/>
  <c r="N1094" i="2"/>
  <c r="N1472" i="2"/>
  <c r="N1088" i="2"/>
  <c r="N1054" i="2"/>
  <c r="N1964" i="2"/>
  <c r="N1686" i="2"/>
  <c r="N1099" i="2"/>
  <c r="N1929" i="2"/>
  <c r="N1041" i="2"/>
  <c r="N1029" i="2"/>
  <c r="N1465" i="2"/>
  <c r="N1522" i="2"/>
  <c r="N381" i="2"/>
  <c r="N1464" i="2"/>
  <c r="N2332" i="2"/>
  <c r="N2492" i="2"/>
  <c r="N2210" i="2"/>
  <c r="N2016" i="2"/>
  <c r="N1720" i="2"/>
  <c r="N1050" i="2"/>
  <c r="N1859" i="2"/>
  <c r="N1813" i="2"/>
  <c r="N883" i="2"/>
  <c r="N1081" i="2"/>
  <c r="N1116" i="2"/>
  <c r="N770" i="2"/>
  <c r="N504" i="2"/>
  <c r="N1322" i="2"/>
  <c r="N1787" i="2"/>
  <c r="N248" i="2"/>
  <c r="N1283" i="2"/>
  <c r="N2339" i="2"/>
  <c r="N870" i="2"/>
  <c r="N1055" i="2"/>
  <c r="N2486" i="2"/>
  <c r="N2062" i="2"/>
  <c r="N1084" i="2"/>
  <c r="N2050" i="2"/>
  <c r="N548" i="2"/>
  <c r="N1773" i="2"/>
  <c r="N1666" i="2"/>
  <c r="N1258" i="2"/>
  <c r="N658" i="2"/>
  <c r="N2110" i="2"/>
  <c r="N2397" i="2"/>
  <c r="N2052" i="2"/>
  <c r="N1697" i="2"/>
  <c r="N1605" i="2"/>
  <c r="N1515" i="2"/>
  <c r="N970" i="2"/>
  <c r="N156" i="2"/>
  <c r="N1381" i="2"/>
  <c r="N1121" i="2"/>
  <c r="N12" i="2"/>
  <c r="N1408" i="2"/>
  <c r="N2244" i="2"/>
  <c r="N858" i="2"/>
  <c r="N2255" i="2"/>
  <c r="N1463" i="2"/>
  <c r="N836" i="2"/>
  <c r="N466" i="2"/>
  <c r="N1541" i="2"/>
  <c r="N895" i="2"/>
  <c r="N2013" i="2"/>
  <c r="N1233" i="2"/>
  <c r="N741" i="2"/>
  <c r="N812" i="2"/>
  <c r="N2338" i="2"/>
  <c r="N2116" i="2"/>
  <c r="N1974" i="2"/>
  <c r="N1604" i="2"/>
  <c r="N1550" i="2"/>
  <c r="N860" i="2"/>
  <c r="N632" i="2"/>
  <c r="N332" i="2"/>
  <c r="N444" i="2"/>
  <c r="N20" i="2"/>
  <c r="N484" i="2"/>
  <c r="N41" i="2"/>
  <c r="N317" i="2"/>
  <c r="N31" i="2"/>
  <c r="N69" i="2"/>
  <c r="N647" i="2"/>
  <c r="N385" i="2"/>
  <c r="N194" i="2"/>
  <c r="N339" i="2"/>
  <c r="N424" i="2"/>
  <c r="N263" i="2"/>
  <c r="N287" i="2"/>
  <c r="N913" i="2"/>
  <c r="N399" i="2"/>
  <c r="N401" i="2"/>
  <c r="N139" i="2"/>
  <c r="N129" i="2"/>
  <c r="N225" i="2"/>
  <c r="N143" i="2"/>
  <c r="N229" i="2"/>
  <c r="N337" i="2"/>
  <c r="N541" i="2"/>
  <c r="N87" i="2"/>
  <c r="N315" i="2"/>
  <c r="N327" i="2"/>
  <c r="N436" i="2"/>
  <c r="N189" i="2"/>
  <c r="N539" i="2"/>
  <c r="N361" i="2"/>
  <c r="N493" i="2"/>
  <c r="N519" i="2"/>
  <c r="N292" i="2"/>
  <c r="N185" i="2"/>
  <c r="N245" i="2"/>
  <c r="N117" i="2"/>
  <c r="N165" i="2"/>
  <c r="N393" i="2"/>
  <c r="N155" i="2"/>
  <c r="N599" i="2"/>
  <c r="N457" i="2"/>
  <c r="N685" i="2"/>
  <c r="N829" i="2"/>
  <c r="N865" i="2"/>
  <c r="N494" i="2"/>
  <c r="N159" i="2"/>
  <c r="N604" i="2"/>
  <c r="N113" i="2"/>
  <c r="N103" i="2"/>
  <c r="N201" i="2"/>
  <c r="N313" i="2"/>
  <c r="N14" i="2"/>
  <c r="N362" i="2"/>
  <c r="N543" i="2"/>
  <c r="N55" i="2"/>
  <c r="N465" i="2"/>
  <c r="N455" i="2"/>
  <c r="N625" i="2"/>
  <c r="N314" i="2"/>
  <c r="N171" i="2"/>
  <c r="N232" i="2"/>
  <c r="N556" i="2"/>
  <c r="N213" i="2"/>
  <c r="N309" i="2"/>
  <c r="N441" i="2"/>
  <c r="N410" i="2"/>
  <c r="N530" i="2"/>
  <c r="N39" i="2"/>
  <c r="N196" i="2"/>
  <c r="N403" i="2"/>
  <c r="N251" i="2"/>
  <c r="N85" i="2"/>
  <c r="N170" i="2"/>
  <c r="N255" i="2"/>
  <c r="N568" i="2"/>
  <c r="N91" i="2"/>
  <c r="N153" i="2"/>
  <c r="N853" i="2"/>
  <c r="N43" i="2"/>
  <c r="N553" i="2"/>
  <c r="N326" i="2"/>
  <c r="N208" i="2"/>
  <c r="N376" i="2"/>
  <c r="N527" i="2"/>
  <c r="N649" i="2"/>
  <c r="N302" i="2"/>
  <c r="N374" i="2"/>
  <c r="N283" i="2"/>
  <c r="N57" i="2"/>
  <c r="N431" i="2"/>
  <c r="N683" i="2"/>
  <c r="N61" i="2"/>
  <c r="N157" i="2"/>
  <c r="N901" i="2"/>
  <c r="N62" i="2"/>
  <c r="N551" i="2"/>
  <c r="N623" i="2"/>
  <c r="N40" i="2"/>
  <c r="N217" i="2"/>
  <c r="N289" i="2"/>
  <c r="N793" i="2"/>
  <c r="N925" i="2"/>
  <c r="N338" i="2"/>
  <c r="N423" i="2"/>
  <c r="N101" i="2"/>
  <c r="N163" i="2"/>
  <c r="N415" i="2"/>
  <c r="N141" i="2"/>
  <c r="N131" i="2"/>
  <c r="N227" i="2"/>
  <c r="N347" i="2"/>
  <c r="N349" i="2"/>
  <c r="N206" i="2"/>
  <c r="N386" i="2"/>
  <c r="N446" i="2"/>
  <c r="N27" i="2"/>
  <c r="N311" i="2"/>
  <c r="N889" i="2"/>
  <c r="N254" i="2"/>
  <c r="N207" i="2"/>
  <c r="N417" i="2"/>
  <c r="N709" i="2"/>
  <c r="N520" i="2"/>
  <c r="N125" i="2"/>
  <c r="N23" i="2"/>
  <c r="N265" i="2"/>
  <c r="N88" i="2"/>
  <c r="N304" i="2"/>
  <c r="N161" i="2"/>
  <c r="N341" i="2"/>
  <c r="N127" i="2"/>
  <c r="N97" i="2"/>
  <c r="N589" i="2"/>
  <c r="N590" i="2"/>
  <c r="N63" i="2"/>
  <c r="N243" i="2"/>
  <c r="N447" i="2"/>
  <c r="N333" i="2"/>
  <c r="N383" i="2"/>
  <c r="N503" i="2"/>
  <c r="N575" i="2"/>
  <c r="N277" i="2"/>
  <c r="N601" i="2"/>
  <c r="N613" i="2"/>
  <c r="N805" i="2"/>
  <c r="N460" i="2"/>
  <c r="N379" i="2"/>
  <c r="N297" i="2"/>
  <c r="N71" i="2"/>
  <c r="N191" i="2"/>
  <c r="N169" i="2"/>
  <c r="N123" i="2"/>
  <c r="N64" i="2"/>
  <c r="N400" i="2"/>
  <c r="N65" i="2"/>
  <c r="N211" i="2"/>
  <c r="N1045" i="2"/>
  <c r="N38" i="2"/>
  <c r="N230" i="2"/>
  <c r="N266" i="2"/>
  <c r="N542" i="2"/>
  <c r="N580" i="2"/>
  <c r="N137" i="2"/>
  <c r="N6" i="2"/>
  <c r="N223" i="2"/>
  <c r="N433" i="2"/>
  <c r="N267" i="2"/>
  <c r="N496" i="2"/>
  <c r="N365" i="2"/>
  <c r="N419" i="2"/>
  <c r="N563" i="2"/>
  <c r="N8" i="2"/>
  <c r="N407" i="2"/>
  <c r="N443" i="2"/>
  <c r="N1021" i="2"/>
  <c r="N398" i="2"/>
  <c r="N628" i="2"/>
  <c r="N145" i="2"/>
  <c r="N99" i="2"/>
  <c r="N124" i="2"/>
  <c r="N81" i="2"/>
  <c r="N177" i="2"/>
  <c r="N109" i="2"/>
  <c r="N529" i="2"/>
  <c r="N985" i="2"/>
  <c r="N434" i="2"/>
  <c r="N15" i="2"/>
  <c r="N268" i="2"/>
  <c r="N271" i="2"/>
  <c r="N429" i="2"/>
  <c r="N167" i="2"/>
  <c r="N611" i="2"/>
  <c r="N205" i="2"/>
  <c r="N98" i="2"/>
  <c r="N146" i="2"/>
  <c r="N3" i="2"/>
  <c r="N363" i="2"/>
  <c r="N256" i="2"/>
  <c r="N29" i="2"/>
  <c r="N35" i="2"/>
  <c r="N73" i="2"/>
  <c r="N757" i="2"/>
  <c r="N2" i="2"/>
  <c r="N329" i="2"/>
  <c r="N115" i="2"/>
  <c r="N285" i="2"/>
  <c r="N321" i="2"/>
  <c r="N244" i="2"/>
  <c r="N5" i="2"/>
  <c r="N231" i="2"/>
  <c r="N483" i="2"/>
  <c r="N4" i="2"/>
  <c r="N160" i="2"/>
  <c r="N67" i="2"/>
  <c r="N745" i="2"/>
  <c r="N74" i="2"/>
  <c r="N278" i="2"/>
  <c r="N482" i="2"/>
  <c r="N355" i="2"/>
  <c r="N45" i="2"/>
  <c r="N299" i="2"/>
  <c r="N49" i="2"/>
  <c r="N183" i="2"/>
  <c r="N136" i="2"/>
  <c r="N19" i="2"/>
  <c r="N187" i="2"/>
  <c r="N237" i="2"/>
  <c r="N435" i="2"/>
  <c r="N364" i="2"/>
  <c r="N257" i="2"/>
  <c r="N295" i="2"/>
  <c r="N203" i="2"/>
  <c r="N395" i="2"/>
  <c r="N37" i="2"/>
  <c r="N411" i="2"/>
  <c r="N7" i="2"/>
  <c r="N331" i="2"/>
  <c r="N261" i="2"/>
  <c r="N357" i="2"/>
  <c r="N635" i="2"/>
  <c r="N134" i="2"/>
  <c r="N518" i="2"/>
  <c r="N626" i="2"/>
  <c r="N51" i="2"/>
  <c r="N220" i="2"/>
  <c r="N340" i="2"/>
  <c r="N388" i="2"/>
  <c r="N472" i="2"/>
  <c r="N269" i="2"/>
  <c r="N47" i="2"/>
  <c r="N107" i="2"/>
  <c r="N133" i="2"/>
  <c r="N158" i="2"/>
  <c r="N350" i="2"/>
  <c r="N195" i="2"/>
  <c r="N508" i="2"/>
  <c r="N235" i="2"/>
  <c r="N21" i="2"/>
  <c r="N421" i="2"/>
  <c r="N445" i="2"/>
  <c r="N733" i="2"/>
  <c r="N578" i="2"/>
  <c r="N387" i="2"/>
  <c r="N77" i="2"/>
  <c r="N149" i="2"/>
  <c r="N369" i="2"/>
  <c r="N83" i="2"/>
  <c r="N301" i="2"/>
  <c r="N325" i="2"/>
  <c r="N50" i="2"/>
  <c r="N319" i="2"/>
  <c r="N95" i="2"/>
  <c r="N479" i="2"/>
  <c r="N841" i="2"/>
  <c r="N110" i="2"/>
  <c r="N303" i="2"/>
  <c r="N17" i="2"/>
  <c r="N937" i="2"/>
  <c r="N506" i="2"/>
  <c r="N219" i="2"/>
  <c r="N233" i="2"/>
  <c r="N259" i="2"/>
  <c r="N93" i="2"/>
  <c r="N345" i="2"/>
  <c r="N11" i="2"/>
  <c r="N122" i="2"/>
  <c r="N135" i="2"/>
  <c r="N279" i="2"/>
  <c r="N16" i="2"/>
  <c r="N281" i="2"/>
  <c r="N79" i="2"/>
  <c r="N181" i="2"/>
  <c r="N481" i="2"/>
  <c r="N577" i="2"/>
  <c r="N769" i="2"/>
  <c r="N422" i="2"/>
  <c r="N614" i="2"/>
  <c r="N151" i="2"/>
  <c r="N391" i="2"/>
  <c r="N721" i="2"/>
  <c r="N1057" i="2"/>
  <c r="N182" i="2"/>
  <c r="N218" i="2"/>
  <c r="N105" i="2"/>
  <c r="N130" i="2"/>
  <c r="N467" i="2"/>
  <c r="N659" i="2"/>
  <c r="N121" i="2"/>
  <c r="N253" i="2"/>
  <c r="N673" i="2"/>
  <c r="N817" i="2"/>
  <c r="N291" i="2"/>
  <c r="N459" i="2"/>
  <c r="N118" i="2"/>
  <c r="N335" i="2"/>
  <c r="N193" i="2"/>
  <c r="N373" i="2"/>
  <c r="N565" i="2"/>
  <c r="N781" i="2"/>
  <c r="N1033" i="2"/>
  <c r="N544" i="2"/>
  <c r="N175" i="2"/>
  <c r="N249" i="2"/>
  <c r="N273" i="2"/>
  <c r="N106" i="2"/>
  <c r="N587" i="2"/>
  <c r="N505" i="2"/>
  <c r="N1009" i="2"/>
  <c r="N26" i="2"/>
  <c r="N375" i="2"/>
  <c r="N471" i="2"/>
  <c r="N94" i="2"/>
  <c r="N119" i="2"/>
  <c r="N239" i="2"/>
  <c r="N275" i="2"/>
  <c r="N371" i="2"/>
  <c r="N697" i="2"/>
  <c r="N290" i="2"/>
  <c r="N458" i="2"/>
  <c r="N554" i="2"/>
  <c r="N100" i="2"/>
  <c r="N592" i="2"/>
  <c r="N389" i="2"/>
  <c r="N247" i="2"/>
  <c r="N82" i="2"/>
  <c r="N215" i="2"/>
  <c r="N409" i="2"/>
  <c r="N637" i="2"/>
  <c r="N112" i="2"/>
  <c r="N352" i="2"/>
  <c r="N343" i="2"/>
  <c r="N70" i="2"/>
  <c r="N949" i="2"/>
  <c r="N602" i="2"/>
  <c r="N52" i="2"/>
  <c r="N448" i="2"/>
  <c r="N616" i="2"/>
  <c r="N413" i="2"/>
  <c r="N405" i="2"/>
  <c r="N58" i="2"/>
  <c r="N397" i="2"/>
  <c r="N997" i="2"/>
  <c r="N28" i="2"/>
  <c r="N172" i="2"/>
  <c r="N280" i="2"/>
  <c r="N209" i="2"/>
  <c r="N221" i="2"/>
  <c r="N199" i="2"/>
  <c r="N46" i="2"/>
  <c r="N671" i="2"/>
  <c r="N1069" i="2"/>
  <c r="N242" i="2"/>
  <c r="N453" i="2"/>
  <c r="N34" i="2"/>
  <c r="N179" i="2"/>
  <c r="N495" i="2"/>
  <c r="N76" i="2"/>
  <c r="N412" i="2"/>
  <c r="N22" i="2"/>
  <c r="N661" i="2"/>
  <c r="N111" i="2"/>
  <c r="N316" i="2"/>
  <c r="N532" i="2"/>
  <c r="N293" i="2"/>
  <c r="N377" i="2"/>
  <c r="N10" i="2"/>
  <c r="N877" i="2"/>
  <c r="N961" i="2"/>
  <c r="N86" i="2"/>
  <c r="N75" i="2"/>
  <c r="R5"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331F44-B60D-4F47-A0A4-DB20495A9A2F}" keepAlive="1" name="Query - attendance_raw_dataset" description="Connection to the 'attendance_raw_dataset' query in the workbook." type="5" refreshedVersion="8" background="1" saveData="1">
    <dbPr connection="Provider=Microsoft.Mashup.OleDb.1;Data Source=$Workbook$;Location=attendance_raw_dataset;Extended Properties=&quot;&quot;" command="SELECT * FROM [attendance_raw_dataset]"/>
  </connection>
  <connection id="2" xr16:uid="{C17308AB-8277-455B-8B21-B2E147E01F1D}" keepAlive="1" name="Query - attendance_raw_dataset (2)" description="Connection to the 'attendance_raw_dataset (2)' query in the workbook." type="5" refreshedVersion="8" background="1" saveData="1">
    <dbPr connection="Provider=Microsoft.Mashup.OleDb.1;Data Source=$Workbook$;Location=&quot;attendance_raw_dataset (2)&quot;;Extended Properties=&quot;&quot;" command="SELECT * FROM [attendance_raw_dataset (2)]"/>
  </connection>
</connections>
</file>

<file path=xl/sharedStrings.xml><?xml version="1.0" encoding="utf-8"?>
<sst xmlns="http://schemas.openxmlformats.org/spreadsheetml/2006/main" count="33156" uniqueCount="515">
  <si>
    <t>Employee_ID</t>
  </si>
  <si>
    <t>Employee_Name</t>
  </si>
  <si>
    <t>Department</t>
  </si>
  <si>
    <t>Attendance_Date</t>
  </si>
  <si>
    <t>Check_In_Time</t>
  </si>
  <si>
    <t>Check_Out_Time</t>
  </si>
  <si>
    <t>Attendance_Status</t>
  </si>
  <si>
    <t>Shift_Type</t>
  </si>
  <si>
    <t>Location</t>
  </si>
  <si>
    <t>E1056</t>
  </si>
  <si>
    <t>Employee_56</t>
  </si>
  <si>
    <t xml:space="preserve">HR  </t>
  </si>
  <si>
    <t>2024-03-15</t>
  </si>
  <si>
    <t>Work From Home</t>
  </si>
  <si>
    <t>Evening</t>
  </si>
  <si>
    <t>Office</t>
  </si>
  <si>
    <t>E1048</t>
  </si>
  <si>
    <t>Employee_48</t>
  </si>
  <si>
    <t>IT</t>
  </si>
  <si>
    <t>11/03/2024</t>
  </si>
  <si>
    <t>Present</t>
  </si>
  <si>
    <t>Remote</t>
  </si>
  <si>
    <t>E1012</t>
  </si>
  <si>
    <t>Employee_12</t>
  </si>
  <si>
    <t>HR</t>
  </si>
  <si>
    <t>2024-02-03</t>
  </si>
  <si>
    <t>Late</t>
  </si>
  <si>
    <t>Morning</t>
  </si>
  <si>
    <t>E1023</t>
  </si>
  <si>
    <t>Employee_23</t>
  </si>
  <si>
    <t>18/01/2024</t>
  </si>
  <si>
    <t>E1040</t>
  </si>
  <si>
    <t>Employee_40</t>
  </si>
  <si>
    <t>2024-02-09</t>
  </si>
  <si>
    <t>E1041</t>
  </si>
  <si>
    <t>Employee_41</t>
  </si>
  <si>
    <t>2024-03-07</t>
  </si>
  <si>
    <t>E1031</t>
  </si>
  <si>
    <t>Employee_31</t>
  </si>
  <si>
    <t>02/01/2024</t>
  </si>
  <si>
    <t>E1002</t>
  </si>
  <si>
    <t>Employee_2</t>
  </si>
  <si>
    <t>Operations</t>
  </si>
  <si>
    <t>02-10-2024</t>
  </si>
  <si>
    <t>Absent</t>
  </si>
  <si>
    <t>E1015</t>
  </si>
  <si>
    <t>Employee_15</t>
  </si>
  <si>
    <t>19/03/2024</t>
  </si>
  <si>
    <t>E1014</t>
  </si>
  <si>
    <t>Employee_14</t>
  </si>
  <si>
    <t>01-31-2024</t>
  </si>
  <si>
    <t>absent</t>
  </si>
  <si>
    <t>E1049</t>
  </si>
  <si>
    <t>Employee_49</t>
  </si>
  <si>
    <t>24/01/2024</t>
  </si>
  <si>
    <t>E1024</t>
  </si>
  <si>
    <t>Employee_24</t>
  </si>
  <si>
    <t>05/02/2024</t>
  </si>
  <si>
    <t>E1018</t>
  </si>
  <si>
    <t>Employee_18</t>
  </si>
  <si>
    <t>Sales</t>
  </si>
  <si>
    <t>03-09-2024</t>
  </si>
  <si>
    <t>E1059</t>
  </si>
  <si>
    <t>Employee_59</t>
  </si>
  <si>
    <t>Finance</t>
  </si>
  <si>
    <t>24/03/2024</t>
  </si>
  <si>
    <t>E1036</t>
  </si>
  <si>
    <t>Employee_36</t>
  </si>
  <si>
    <t>26/01/2024</t>
  </si>
  <si>
    <t>E1058</t>
  </si>
  <si>
    <t>Employee_58</t>
  </si>
  <si>
    <t>2024-02-10</t>
  </si>
  <si>
    <t>E1035</t>
  </si>
  <si>
    <t>Employee_35</t>
  </si>
  <si>
    <t>02-09-2024</t>
  </si>
  <si>
    <t>E1043</t>
  </si>
  <si>
    <t>Employee_43</t>
  </si>
  <si>
    <t>28/02/2024</t>
  </si>
  <si>
    <t>E1042</t>
  </si>
  <si>
    <t>Employee_42</t>
  </si>
  <si>
    <t>2024-01-01</t>
  </si>
  <si>
    <t>E1047</t>
  </si>
  <si>
    <t>Employee_47</t>
  </si>
  <si>
    <t>09/03/2024</t>
  </si>
  <si>
    <t>E1038</t>
  </si>
  <si>
    <t>Employee_38</t>
  </si>
  <si>
    <t>2024-02-01</t>
  </si>
  <si>
    <t>E1011</t>
  </si>
  <si>
    <t>Employee_11</t>
  </si>
  <si>
    <t>2024-01-19</t>
  </si>
  <si>
    <t>E1032</t>
  </si>
  <si>
    <t>Employee_32</t>
  </si>
  <si>
    <t>2024-01-15</t>
  </si>
  <si>
    <t>E1026</t>
  </si>
  <si>
    <t>Employee_26</t>
  </si>
  <si>
    <t>2024-03-10</t>
  </si>
  <si>
    <t>E1037</t>
  </si>
  <si>
    <t>Employee_37</t>
  </si>
  <si>
    <t>2024-01-17</t>
  </si>
  <si>
    <t>E1022</t>
  </si>
  <si>
    <t>Employee_22</t>
  </si>
  <si>
    <t>2024-02-13</t>
  </si>
  <si>
    <t>E1045</t>
  </si>
  <si>
    <t>Employee_45</t>
  </si>
  <si>
    <t>12/02/2024</t>
  </si>
  <si>
    <t>18/03/2024</t>
  </si>
  <si>
    <t>02-28-2024</t>
  </si>
  <si>
    <t>2024-01-12</t>
  </si>
  <si>
    <t>03-08-2024</t>
  </si>
  <si>
    <t>E1016</t>
  </si>
  <si>
    <t>Employee_16</t>
  </si>
  <si>
    <t>03-30-2024</t>
  </si>
  <si>
    <t>E1054</t>
  </si>
  <si>
    <t>Employee_54</t>
  </si>
  <si>
    <t>01-07-2024</t>
  </si>
  <si>
    <t>E1030</t>
  </si>
  <si>
    <t>Employee_30</t>
  </si>
  <si>
    <t>2024-03-23</t>
  </si>
  <si>
    <t>15/02/2024</t>
  </si>
  <si>
    <t>E1033</t>
  </si>
  <si>
    <t>Employee_33</t>
  </si>
  <si>
    <t>30/03/2024</t>
  </si>
  <si>
    <t>E1010</t>
  </si>
  <si>
    <t>Employee_10</t>
  </si>
  <si>
    <t>08/01/2024</t>
  </si>
  <si>
    <t/>
  </si>
  <si>
    <t>27/02/2024</t>
  </si>
  <si>
    <t xml:space="preserve">IT  </t>
  </si>
  <si>
    <t>2024-02-19</t>
  </si>
  <si>
    <t>11/01/2024</t>
  </si>
  <si>
    <t>E1025</t>
  </si>
  <si>
    <t>Employee_25</t>
  </si>
  <si>
    <t>2024-01-31</t>
  </si>
  <si>
    <t>2024-02-02</t>
  </si>
  <si>
    <t>E1003</t>
  </si>
  <si>
    <t>Employee_3</t>
  </si>
  <si>
    <t>01-29-2024</t>
  </si>
  <si>
    <t>04/02/2024</t>
  </si>
  <si>
    <t>E1008</t>
  </si>
  <si>
    <t>Employee_8</t>
  </si>
  <si>
    <t>02/02/2024</t>
  </si>
  <si>
    <t>E1034</t>
  </si>
  <si>
    <t>Employee_34</t>
  </si>
  <si>
    <t xml:space="preserve">Finance  </t>
  </si>
  <si>
    <t>25/01/2024</t>
  </si>
  <si>
    <t>09/01/2024</t>
  </si>
  <si>
    <t>E1052</t>
  </si>
  <si>
    <t>Employee_52</t>
  </si>
  <si>
    <t>01-30-2024</t>
  </si>
  <si>
    <t>late</t>
  </si>
  <si>
    <t>E1039</t>
  </si>
  <si>
    <t>Employee_39</t>
  </si>
  <si>
    <t>02-21-2024</t>
  </si>
  <si>
    <t>14/02/2024</t>
  </si>
  <si>
    <t>E1005</t>
  </si>
  <si>
    <t>Employee_5</t>
  </si>
  <si>
    <t>02-16-2024</t>
  </si>
  <si>
    <t>E1006</t>
  </si>
  <si>
    <t>Employee_6</t>
  </si>
  <si>
    <t>2024-01-29</t>
  </si>
  <si>
    <t>2024-03-02</t>
  </si>
  <si>
    <t>2024-01-08</t>
  </si>
  <si>
    <t>06/02/2024</t>
  </si>
  <si>
    <t>08/02/2024</t>
  </si>
  <si>
    <t>14/03/2024</t>
  </si>
  <si>
    <t>E1051</t>
  </si>
  <si>
    <t>Employee_51</t>
  </si>
  <si>
    <t xml:space="preserve">Operations  </t>
  </si>
  <si>
    <t>03-25-2024</t>
  </si>
  <si>
    <t>21/01/2024</t>
  </si>
  <si>
    <t>present</t>
  </si>
  <si>
    <t>E1013</t>
  </si>
  <si>
    <t>Employee_13</t>
  </si>
  <si>
    <t>03-04-2024</t>
  </si>
  <si>
    <t>2024-03-01</t>
  </si>
  <si>
    <t>E1055</t>
  </si>
  <si>
    <t>Employee_55</t>
  </si>
  <si>
    <t>07/02/2024</t>
  </si>
  <si>
    <t>26/02/2024</t>
  </si>
  <si>
    <t>2024-01-11</t>
  </si>
  <si>
    <t>03-27-2024</t>
  </si>
  <si>
    <t>2024-02-24</t>
  </si>
  <si>
    <t>15/01/2024</t>
  </si>
  <si>
    <t>01/02/2024</t>
  </si>
  <si>
    <t>29/03/2024</t>
  </si>
  <si>
    <t>01-06-2024</t>
  </si>
  <si>
    <t>01-10-2024</t>
  </si>
  <si>
    <t>E1001</t>
  </si>
  <si>
    <t>Employee_1</t>
  </si>
  <si>
    <t>01-23-2024</t>
  </si>
  <si>
    <t>03-12-2024</t>
  </si>
  <si>
    <t>E1017</t>
  </si>
  <si>
    <t>Employee_17</t>
  </si>
  <si>
    <t>11/02/2024</t>
  </si>
  <si>
    <t>E1046</t>
  </si>
  <si>
    <t>Employee_46</t>
  </si>
  <si>
    <t>2024-01-16</t>
  </si>
  <si>
    <t>E1028</t>
  </si>
  <si>
    <t>Employee_28</t>
  </si>
  <si>
    <t>2024-02-22</t>
  </si>
  <si>
    <t>E1044</t>
  </si>
  <si>
    <t>Employee_44</t>
  </si>
  <si>
    <t>02-03-2024</t>
  </si>
  <si>
    <t>02-05-2024</t>
  </si>
  <si>
    <t>E1020</t>
  </si>
  <si>
    <t>Employee_20</t>
  </si>
  <si>
    <t>09/02/2024</t>
  </si>
  <si>
    <t>01-05-2024</t>
  </si>
  <si>
    <t>2024-02-25</t>
  </si>
  <si>
    <t>02-08-2024</t>
  </si>
  <si>
    <t>2024-03-09</t>
  </si>
  <si>
    <t>2024-03-30</t>
  </si>
  <si>
    <t>01-11-2024</t>
  </si>
  <si>
    <t>E1053</t>
  </si>
  <si>
    <t>Employee_53</t>
  </si>
  <si>
    <t>17/03/2024</t>
  </si>
  <si>
    <t>E1019</t>
  </si>
  <si>
    <t>Employee_19</t>
  </si>
  <si>
    <t>23/01/2024</t>
  </si>
  <si>
    <t>02-02-2024</t>
  </si>
  <si>
    <t>17/02/2024</t>
  </si>
  <si>
    <t>2024-03-20</t>
  </si>
  <si>
    <t>2024-01-03</t>
  </si>
  <si>
    <t>2024-02-20</t>
  </si>
  <si>
    <t>E1009</t>
  </si>
  <si>
    <t>Employee_9</t>
  </si>
  <si>
    <t>08/03/2024</t>
  </si>
  <si>
    <t>03/01/2024</t>
  </si>
  <si>
    <t>02-17-2024</t>
  </si>
  <si>
    <t>2024-01-30</t>
  </si>
  <si>
    <t>2024-03-24</t>
  </si>
  <si>
    <t>03-26-2024</t>
  </si>
  <si>
    <t>05/01/2024</t>
  </si>
  <si>
    <t>10/02/2024</t>
  </si>
  <si>
    <t>22/01/2024</t>
  </si>
  <si>
    <t>19/02/2024</t>
  </si>
  <si>
    <t>E1004</t>
  </si>
  <si>
    <t>Employee_4</t>
  </si>
  <si>
    <t>03-10-2024</t>
  </si>
  <si>
    <t xml:space="preserve">Sales  </t>
  </si>
  <si>
    <t>03-22-2024</t>
  </si>
  <si>
    <t>01-18-2024</t>
  </si>
  <si>
    <t>02-07-2024</t>
  </si>
  <si>
    <t>2024-03-22</t>
  </si>
  <si>
    <t>06/01/2024</t>
  </si>
  <si>
    <t>10/03/2024</t>
  </si>
  <si>
    <t>E1027</t>
  </si>
  <si>
    <t>Employee_27</t>
  </si>
  <si>
    <t>02-12-2024</t>
  </si>
  <si>
    <t>2024-02-27</t>
  </si>
  <si>
    <t>E1050</t>
  </si>
  <si>
    <t>Employee_50</t>
  </si>
  <si>
    <t>24/02/2024</t>
  </si>
  <si>
    <t>2024-01-09</t>
  </si>
  <si>
    <t>2024-01-02</t>
  </si>
  <si>
    <t>2024-01-24</t>
  </si>
  <si>
    <t>03-03-2024</t>
  </si>
  <si>
    <t>02-24-2024</t>
  </si>
  <si>
    <t>30/01/2024</t>
  </si>
  <si>
    <t>2024-01-27</t>
  </si>
  <si>
    <t>2024-03-17</t>
  </si>
  <si>
    <t>2024-01-18</t>
  </si>
  <si>
    <t>01-17-2024</t>
  </si>
  <si>
    <t>01-28-2024</t>
  </si>
  <si>
    <t>03-17-2024</t>
  </si>
  <si>
    <t>02-23-2024</t>
  </si>
  <si>
    <t>01-24-2024</t>
  </si>
  <si>
    <t>2024-02-14</t>
  </si>
  <si>
    <t>01-08-2024</t>
  </si>
  <si>
    <t>E1007</t>
  </si>
  <si>
    <t>Employee_7</t>
  </si>
  <si>
    <t>2024-03-12</t>
  </si>
  <si>
    <t>20/02/2024</t>
  </si>
  <si>
    <t>27/03/2024</t>
  </si>
  <si>
    <t>work from home</t>
  </si>
  <si>
    <t>2024-02-08</t>
  </si>
  <si>
    <t>23/02/2024</t>
  </si>
  <si>
    <t>03/03/2024</t>
  </si>
  <si>
    <t>2024-03-06</t>
  </si>
  <si>
    <t>2024-01-10</t>
  </si>
  <si>
    <t>01-13-2024</t>
  </si>
  <si>
    <t>01-22-2024</t>
  </si>
  <si>
    <t>03-01-2024</t>
  </si>
  <si>
    <t>02-13-2024</t>
  </si>
  <si>
    <t>2024-03-11</t>
  </si>
  <si>
    <t>03-16-2024</t>
  </si>
  <si>
    <t>16/03/2024</t>
  </si>
  <si>
    <t>03-21-2024</t>
  </si>
  <si>
    <t>02-18-2024</t>
  </si>
  <si>
    <t>2024-02-26</t>
  </si>
  <si>
    <t>2024-03-21</t>
  </si>
  <si>
    <t>E1021</t>
  </si>
  <si>
    <t>Employee_21</t>
  </si>
  <si>
    <t>06/03/2024</t>
  </si>
  <si>
    <t>01-09-2024</t>
  </si>
  <si>
    <t>01-20-2024</t>
  </si>
  <si>
    <t>12/03/2024</t>
  </si>
  <si>
    <t>2024-01-20</t>
  </si>
  <si>
    <t>2024-02-16</t>
  </si>
  <si>
    <t>01-15-2024</t>
  </si>
  <si>
    <t>21/03/2024</t>
  </si>
  <si>
    <t>29/02/2024</t>
  </si>
  <si>
    <t>2024-02-23</t>
  </si>
  <si>
    <t>16/01/2024</t>
  </si>
  <si>
    <t>28/03/2024</t>
  </si>
  <si>
    <t>02-04-2024</t>
  </si>
  <si>
    <t>2024-01-25</t>
  </si>
  <si>
    <t>14/01/2024</t>
  </si>
  <si>
    <t>07/01/2024</t>
  </si>
  <si>
    <t>20/01/2024</t>
  </si>
  <si>
    <t>01-02-2024</t>
  </si>
  <si>
    <t>02-19-2024</t>
  </si>
  <si>
    <t>2024-02-04</t>
  </si>
  <si>
    <t>02-11-2024</t>
  </si>
  <si>
    <t>21/02/2024</t>
  </si>
  <si>
    <t>E1057</t>
  </si>
  <si>
    <t>Employee_57</t>
  </si>
  <si>
    <t>2024-01-13</t>
  </si>
  <si>
    <t>01/01/2024</t>
  </si>
  <si>
    <t>01-01-2024</t>
  </si>
  <si>
    <t>02-22-2024</t>
  </si>
  <si>
    <t>18/02/2024</t>
  </si>
  <si>
    <t>03-06-2024</t>
  </si>
  <si>
    <t>13/03/2024</t>
  </si>
  <si>
    <t>02-20-2024</t>
  </si>
  <si>
    <t>2024-03-05</t>
  </si>
  <si>
    <t>01/03/2024</t>
  </si>
  <si>
    <t>03-20-2024</t>
  </si>
  <si>
    <t>2024-02-15</t>
  </si>
  <si>
    <t>01-14-2024</t>
  </si>
  <si>
    <t>02/03/2024</t>
  </si>
  <si>
    <t>01-12-2024</t>
  </si>
  <si>
    <t>03-18-2024</t>
  </si>
  <si>
    <t>25/02/2024</t>
  </si>
  <si>
    <t>01-19-2024</t>
  </si>
  <si>
    <t>2024-03-26</t>
  </si>
  <si>
    <t>01-03-2024</t>
  </si>
  <si>
    <t>01-27-2024</t>
  </si>
  <si>
    <t>E1000</t>
  </si>
  <si>
    <t>Employee_0</t>
  </si>
  <si>
    <t>2024-02-05</t>
  </si>
  <si>
    <t>03-29-2024</t>
  </si>
  <si>
    <t>2024-02-29</t>
  </si>
  <si>
    <t>02-25-2024</t>
  </si>
  <si>
    <t>27/01/2024</t>
  </si>
  <si>
    <t>22/03/2024</t>
  </si>
  <si>
    <t>10/01/2024</t>
  </si>
  <si>
    <t>2024-03-03</t>
  </si>
  <si>
    <t>2024-01-22</t>
  </si>
  <si>
    <t>15/03/2024</t>
  </si>
  <si>
    <t>01-21-2024</t>
  </si>
  <si>
    <t>04/01/2024</t>
  </si>
  <si>
    <t>03-28-2024</t>
  </si>
  <si>
    <t>03-02-2024</t>
  </si>
  <si>
    <t>16/02/2024</t>
  </si>
  <si>
    <t>22/02/2024</t>
  </si>
  <si>
    <t>03-11-2024</t>
  </si>
  <si>
    <t>26/03/2024</t>
  </si>
  <si>
    <t>03-05-2024</t>
  </si>
  <si>
    <t>03-23-2024</t>
  </si>
  <si>
    <t>03-19-2024</t>
  </si>
  <si>
    <t>25/03/2024</t>
  </si>
  <si>
    <t>E1029</t>
  </si>
  <si>
    <t>Employee_29</t>
  </si>
  <si>
    <t>20/03/2024</t>
  </si>
  <si>
    <t>2024-02-12</t>
  </si>
  <si>
    <t>29/01/2024</t>
  </si>
  <si>
    <t>31/01/2024</t>
  </si>
  <si>
    <t>23/03/2024</t>
  </si>
  <si>
    <t>13/01/2024</t>
  </si>
  <si>
    <t>2024-01-21</t>
  </si>
  <si>
    <t>2024-03-18</t>
  </si>
  <si>
    <t>2024-03-16</t>
  </si>
  <si>
    <t>2024-03-13</t>
  </si>
  <si>
    <t>2024-02-21</t>
  </si>
  <si>
    <t>12/01/2024</t>
  </si>
  <si>
    <t>03-15-2024</t>
  </si>
  <si>
    <t>2024-03-08</t>
  </si>
  <si>
    <t>02-15-2024</t>
  </si>
  <si>
    <t>02-14-2024</t>
  </si>
  <si>
    <t>05/03/2024</t>
  </si>
  <si>
    <t>17/01/2024</t>
  </si>
  <si>
    <t>2024-03-19</t>
  </si>
  <si>
    <t>28/01/2024</t>
  </si>
  <si>
    <t>01-25-2024</t>
  </si>
  <si>
    <t>2024-01-07</t>
  </si>
  <si>
    <t>03/02/2024</t>
  </si>
  <si>
    <t>2024-01-28</t>
  </si>
  <si>
    <t>2024-01-23</t>
  </si>
  <si>
    <t>2024-01-06</t>
  </si>
  <si>
    <t>2024-03-04</t>
  </si>
  <si>
    <t>04/03/2024</t>
  </si>
  <si>
    <t>03-13-2024</t>
  </si>
  <si>
    <t>2024-03-27</t>
  </si>
  <si>
    <t>2024-03-25</t>
  </si>
  <si>
    <t>2024-01-14</t>
  </si>
  <si>
    <t>03-07-2024</t>
  </si>
  <si>
    <t>02-06-2024</t>
  </si>
  <si>
    <t>19/01/2024</t>
  </si>
  <si>
    <t>2024-02-28</t>
  </si>
  <si>
    <t>03-24-2024</t>
  </si>
  <si>
    <t>2024-03-28</t>
  </si>
  <si>
    <t>2024-02-11</t>
  </si>
  <si>
    <t>2024-01-05</t>
  </si>
  <si>
    <t>02-01-2024</t>
  </si>
  <si>
    <t>2024-03-29</t>
  </si>
  <si>
    <t>01-04-2024</t>
  </si>
  <si>
    <t>2024-03-14</t>
  </si>
  <si>
    <t>02-27-2024</t>
  </si>
  <si>
    <t>02-29-2024</t>
  </si>
  <si>
    <t>2024-02-17</t>
  </si>
  <si>
    <t>2024-02-18</t>
  </si>
  <si>
    <t>2024-01-26</t>
  </si>
  <si>
    <t>01-26-2024</t>
  </si>
  <si>
    <t>2024-02-07</t>
  </si>
  <si>
    <t>03-14-2024</t>
  </si>
  <si>
    <t>2024-02-06</t>
  </si>
  <si>
    <t>13/02/2024</t>
  </si>
  <si>
    <t>2024-01-04</t>
  </si>
  <si>
    <t>07/03/2024</t>
  </si>
  <si>
    <t>01-16-2024</t>
  </si>
  <si>
    <t>02-26-2024</t>
  </si>
  <si>
    <t>Total Records</t>
  </si>
  <si>
    <t>Duplicate_Flag</t>
  </si>
  <si>
    <t>Duplicate Records</t>
  </si>
  <si>
    <t>Hr</t>
  </si>
  <si>
    <t>It</t>
  </si>
  <si>
    <t>Month</t>
  </si>
  <si>
    <t>Year</t>
  </si>
  <si>
    <t>Attendance_Flag</t>
  </si>
  <si>
    <t>Late Flag</t>
  </si>
  <si>
    <t>Row Labels</t>
  </si>
  <si>
    <t>Grand Total</t>
  </si>
  <si>
    <t>Attendance_Percentage</t>
  </si>
  <si>
    <t>January</t>
  </si>
  <si>
    <t>February</t>
  </si>
  <si>
    <t>March</t>
  </si>
  <si>
    <t>April</t>
  </si>
  <si>
    <t>May</t>
  </si>
  <si>
    <t>June</t>
  </si>
  <si>
    <t>July</t>
  </si>
  <si>
    <t>August</t>
  </si>
  <si>
    <t>September</t>
  </si>
  <si>
    <t>October</t>
  </si>
  <si>
    <t>November</t>
  </si>
  <si>
    <t>December</t>
  </si>
  <si>
    <t>Column Labels</t>
  </si>
  <si>
    <t>Average of Late Flag</t>
  </si>
  <si>
    <t>Overall Attendance %</t>
  </si>
  <si>
    <t>Overall Late %</t>
  </si>
  <si>
    <t>Metric</t>
  </si>
  <si>
    <t>Value</t>
  </si>
  <si>
    <t>Total Raw Records</t>
  </si>
  <si>
    <t>Duplicate Records Identified</t>
  </si>
  <si>
    <t>Final Clean Records</t>
  </si>
  <si>
    <t>Total Departments</t>
  </si>
  <si>
    <t>Time Period Covered</t>
  </si>
  <si>
    <t>January – December</t>
  </si>
  <si>
    <t>Check Criteria</t>
  </si>
  <si>
    <t>Result</t>
  </si>
  <si>
    <t>Duplicate Detection Basis</t>
  </si>
  <si>
    <t>Employee_ID + Attendance_Date</t>
  </si>
  <si>
    <t>Duplicate Records Found</t>
  </si>
  <si>
    <t>Action Taken</t>
  </si>
  <si>
    <t>Removed duplicates</t>
  </si>
  <si>
    <t>Impact</t>
  </si>
  <si>
    <t>Prevented double counting in KPI calculations</t>
  </si>
  <si>
    <t>1️⃣ Dataset Summary Table</t>
  </si>
  <si>
    <t>2️⃣ Duplicate Analysis</t>
  </si>
  <si>
    <t>Column Name</t>
  </si>
  <si>
    <t>Missing Values Found</t>
  </si>
  <si>
    <t>Yes (multiple rows)</t>
  </si>
  <si>
    <t>Classified as Absent if both times missing</t>
  </si>
  <si>
    <t>Inconsistent casing</t>
  </si>
  <si>
    <t>Standardized text format</t>
  </si>
  <si>
    <t>None</t>
  </si>
  <si>
    <t>No action required</t>
  </si>
  <si>
    <t>3️⃣ Missing Value Analysis</t>
  </si>
  <si>
    <t>Issue Identified</t>
  </si>
  <si>
    <t>Resolution</t>
  </si>
  <si>
    <t>Date format inconsistency</t>
  </si>
  <si>
    <t>Standardized to uniform format</t>
  </si>
  <si>
    <t>Text inconsistency ("absent" vs "Absent")</t>
  </si>
  <si>
    <t>Standardized capitalization</t>
  </si>
  <si>
    <t>Percentage display as decimals</t>
  </si>
  <si>
    <t>Formatted as %</t>
  </si>
  <si>
    <t>Excel 1900 date formatting issue</t>
  </si>
  <si>
    <t>Corrected cell formatting</t>
  </si>
  <si>
    <t>Duplicate rows</t>
  </si>
  <si>
    <t>Removed</t>
  </si>
  <si>
    <t>4️⃣ Data Standardization Actions</t>
  </si>
  <si>
    <t>5️⃣ Feature Engineering Summary</t>
  </si>
  <si>
    <t>New Column Created</t>
  </si>
  <si>
    <t>Purpose</t>
  </si>
  <si>
    <t>Monthly trend analysis</t>
  </si>
  <si>
    <t>Time-based grouping</t>
  </si>
  <si>
    <t>Attendance_Flag (1/0)</t>
  </si>
  <si>
    <t>Attendance % calculation</t>
  </si>
  <si>
    <t>Late_Flag (1/0)</t>
  </si>
  <si>
    <t>Late % calculation</t>
  </si>
  <si>
    <t>6️⃣ Final Dataset Status</t>
  </si>
  <si>
    <t>Validation Check</t>
  </si>
  <si>
    <t>Status</t>
  </si>
  <si>
    <t>Critical Missing Values</t>
  </si>
  <si>
    <t>Resolved</t>
  </si>
  <si>
    <t>KPI Calculations</t>
  </si>
  <si>
    <t>Verified</t>
  </si>
  <si>
    <t>Dashboard Integration</t>
  </si>
  <si>
    <t>Successful</t>
  </si>
  <si>
    <t>Key Insights</t>
  </si>
  <si>
    <r>
      <t xml:space="preserve">• </t>
    </r>
    <r>
      <rPr>
        <b/>
        <sz val="11"/>
        <color theme="1"/>
        <rFont val="Calibri"/>
        <family val="2"/>
        <scheme val="minor"/>
      </rPr>
      <t>Overall attendance rate is 76.66%</t>
    </r>
    <r>
      <rPr>
        <sz val="11"/>
        <color theme="1"/>
        <rFont val="Calibri"/>
        <family val="2"/>
        <scheme val="minor"/>
      </rPr>
      <t>, indicating stable workforce presence across the year.</t>
    </r>
  </si>
  <si>
    <r>
      <t xml:space="preserve">• </t>
    </r>
    <r>
      <rPr>
        <b/>
        <sz val="11"/>
        <color theme="1"/>
        <rFont val="Calibri"/>
        <family val="2"/>
        <scheme val="minor"/>
      </rPr>
      <t>December recorded the highest attendance (≈82%)</t>
    </r>
    <r>
      <rPr>
        <sz val="11"/>
        <color theme="1"/>
        <rFont val="Calibri"/>
        <family val="2"/>
        <scheme val="minor"/>
      </rPr>
      <t>, showing strong year-end workforce performance.</t>
    </r>
  </si>
  <si>
    <r>
      <t xml:space="preserve">• </t>
    </r>
    <r>
      <rPr>
        <b/>
        <sz val="11"/>
        <color theme="1"/>
        <rFont val="Calibri"/>
        <family val="2"/>
        <scheme val="minor"/>
      </rPr>
      <t>May recorded the lowest attendance (≈70%)</t>
    </r>
    <r>
      <rPr>
        <sz val="11"/>
        <color theme="1"/>
        <rFont val="Calibri"/>
        <family val="2"/>
        <scheme val="minor"/>
      </rPr>
      <t>, suggesting possible seasonal or operational impact.</t>
    </r>
  </si>
  <si>
    <r>
      <t xml:space="preserve">• The </t>
    </r>
    <r>
      <rPr>
        <b/>
        <sz val="11"/>
        <color theme="1"/>
        <rFont val="Calibri"/>
        <family val="2"/>
        <scheme val="minor"/>
      </rPr>
      <t>average late percentage is 26.18%</t>
    </r>
    <r>
      <rPr>
        <sz val="11"/>
        <color theme="1"/>
        <rFont val="Calibri"/>
        <family val="2"/>
        <scheme val="minor"/>
      </rPr>
      <t>, meaning roughly 1 in 4 attendance entries involve late reporting.</t>
    </r>
  </si>
  <si>
    <t>• Certain departments consistently maintain attendance above 75%, while others show higher variability, indicating performance gaps across teams.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</si>
</sst>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4"/>
      <color theme="1"/>
      <name val="Calibri"/>
      <family val="2"/>
      <scheme val="minor"/>
    </font>
    <font>
      <sz val="14"/>
      <color theme="4" tint="-0.499984740745262"/>
      <name val="Calibri"/>
      <family val="2"/>
      <scheme val="minor"/>
    </font>
    <font>
      <b/>
      <sz val="28"/>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wrapText="1"/>
    </xf>
    <xf numFmtId="164" fontId="0" fillId="0" borderId="0" xfId="0" applyNumberFormat="1" applyAlignment="1">
      <alignment horizontal="center" vertical="center"/>
    </xf>
    <xf numFmtId="0"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2" fillId="2" borderId="1" xfId="0" applyFont="1" applyFill="1" applyBorder="1"/>
    <xf numFmtId="10" fontId="0" fillId="0" borderId="0" xfId="0" applyNumberFormat="1"/>
    <xf numFmtId="0" fontId="2" fillId="2" borderId="0" xfId="0" applyFont="1" applyFill="1"/>
    <xf numFmtId="10" fontId="0" fillId="0" borderId="0" xfId="0" applyNumberFormat="1" applyAlignment="1">
      <alignment vertical="center" wrapText="1"/>
    </xf>
    <xf numFmtId="0" fontId="4" fillId="0" borderId="0" xfId="0" applyFont="1"/>
    <xf numFmtId="0" fontId="5" fillId="0" borderId="0" xfId="0" applyFont="1"/>
    <xf numFmtId="10" fontId="0" fillId="0" borderId="0" xfId="1" applyNumberFormat="1" applyFont="1" applyAlignment="1">
      <alignment vertical="center" wrapText="1"/>
    </xf>
    <xf numFmtId="9" fontId="6" fillId="3" borderId="0" xfId="1" applyFont="1" applyFill="1" applyAlignment="1">
      <alignment vertical="center" wrapText="1"/>
    </xf>
    <xf numFmtId="0" fontId="6" fillId="3" borderId="0" xfId="0" applyFont="1" applyFill="1"/>
    <xf numFmtId="10" fontId="2" fillId="2" borderId="2" xfId="0" applyNumberFormat="1" applyFont="1" applyFill="1" applyBorder="1"/>
    <xf numFmtId="0" fontId="7" fillId="0" borderId="0" xfId="0" applyFont="1" applyAlignment="1">
      <alignment vertical="center"/>
    </xf>
  </cellXfs>
  <cellStyles count="2">
    <cellStyle name="Normal" xfId="0" builtinId="0"/>
    <cellStyle name="Percent" xfId="1" builtinId="5"/>
  </cellStyles>
  <dxfs count="25">
    <dxf>
      <numFmt numFmtId="0" formatCode="General"/>
    </dxf>
    <dxf>
      <numFmt numFmtId="0" formatCode="General"/>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F400]h:mm:ss\ AM/PM"/>
      <alignment horizontal="center" vertical="center" textRotation="0" wrapText="0" indent="0" justifyLastLine="0" shrinkToFit="0" readingOrder="0"/>
    </dxf>
    <dxf>
      <numFmt numFmtId="164" formatCode="[$-F400]h:mm:ss\ AM/PM"/>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F400]h:mm:ss\ AM/PM"/>
      <alignment horizontal="center" vertical="center" textRotation="0" wrapText="0" indent="0" justifyLastLine="0" shrinkToFit="0" readingOrder="0"/>
    </dxf>
    <dxf>
      <numFmt numFmtId="164" formatCode="[$-F400]h:mm:ss\ AM/PM"/>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r>
              <a:rPr lang="en-IN" b="1">
                <a:solidFill>
                  <a:schemeClr val="tx1"/>
                </a:solidFill>
              </a:rPr>
              <a:t>Monthly Attendance Trend</a:t>
            </a:r>
            <a:r>
              <a:rPr lang="en-IN" b="1" baseline="0">
                <a:solidFill>
                  <a:schemeClr val="tx1"/>
                </a:solidFill>
              </a:rPr>
              <a:t>  %</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2225" cap="rnd" cmpd="sng" algn="ctr">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'Monthly Attendance % Trend'!$P$4:$AA$4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Attendance % Trend'!$P$5:$AA$5</c:f>
              <c:numCache>
                <c:formatCode>0.00%</c:formatCode>
                <c:ptCount val="12"/>
                <c:pt idx="0">
                  <c:v>0.78</c:v>
                </c:pt>
                <c:pt idx="1">
                  <c:v>0.77947932618683002</c:v>
                </c:pt>
                <c:pt idx="2">
                  <c:v>0.7455357142857143</c:v>
                </c:pt>
                <c:pt idx="3">
                  <c:v>0.75</c:v>
                </c:pt>
                <c:pt idx="4">
                  <c:v>0.7</c:v>
                </c:pt>
                <c:pt idx="5">
                  <c:v>0.7407407407407407</c:v>
                </c:pt>
                <c:pt idx="6">
                  <c:v>0.79069767441860461</c:v>
                </c:pt>
                <c:pt idx="7">
                  <c:v>0.76666666666666672</c:v>
                </c:pt>
                <c:pt idx="8">
                  <c:v>0.73239436619718312</c:v>
                </c:pt>
                <c:pt idx="9">
                  <c:v>0.78846153846153844</c:v>
                </c:pt>
                <c:pt idx="10">
                  <c:v>0.75</c:v>
                </c:pt>
                <c:pt idx="11">
                  <c:v>0.82352941176470584</c:v>
                </c:pt>
              </c:numCache>
            </c:numRef>
          </c:val>
          <c:smooth val="0"/>
          <c:extLst>
            <c:ext xmlns:c16="http://schemas.microsoft.com/office/drawing/2014/chart" uri="{C3380CC4-5D6E-409C-BE32-E72D297353CC}">
              <c16:uniqueId val="{00000000-EBB0-4656-B3DF-6F09979B9C2C}"/>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222811711"/>
        <c:axId val="222802111"/>
      </c:lineChart>
      <c:catAx>
        <c:axId val="22281171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22802111"/>
        <c:crosses val="autoZero"/>
        <c:auto val="1"/>
        <c:lblAlgn val="ctr"/>
        <c:lblOffset val="100"/>
        <c:noMultiLvlLbl val="0"/>
      </c:catAx>
      <c:valAx>
        <c:axId val="2228021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2281171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Department-wise Attendance %</a:t>
            </a:r>
          </a:p>
        </c:rich>
      </c:tx>
      <c:layout>
        <c:manualLayout>
          <c:xMode val="edge"/>
          <c:yMode val="edge"/>
          <c:x val="0.16926843732920283"/>
          <c:y val="2.01169714770648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'Monthly Attendance % Trend'!$A$16:$A$20</c:f>
              <c:strCache>
                <c:ptCount val="5"/>
                <c:pt idx="0">
                  <c:v>Finance</c:v>
                </c:pt>
                <c:pt idx="1">
                  <c:v>Hr</c:v>
                </c:pt>
                <c:pt idx="2">
                  <c:v>It</c:v>
                </c:pt>
                <c:pt idx="3">
                  <c:v>Operations</c:v>
                </c:pt>
                <c:pt idx="4">
                  <c:v>Sales</c:v>
                </c:pt>
              </c:strCache>
            </c:strRef>
          </c:cat>
          <c:val>
            <c:numRef>
              <c:f>'Monthly Attendance % Trend'!$B$16:$B$20</c:f>
              <c:numCache>
                <c:formatCode>0.00%</c:formatCode>
                <c:ptCount val="5"/>
                <c:pt idx="0">
                  <c:v>0.75334608030592731</c:v>
                </c:pt>
                <c:pt idx="1">
                  <c:v>0.77412731006160163</c:v>
                </c:pt>
                <c:pt idx="2">
                  <c:v>0.77661795407098122</c:v>
                </c:pt>
                <c:pt idx="3">
                  <c:v>0.74481327800829877</c:v>
                </c:pt>
                <c:pt idx="4">
                  <c:v>0.78393881453154879</c:v>
                </c:pt>
              </c:numCache>
            </c:numRef>
          </c:val>
          <c:extLst>
            <c:ext xmlns:c16="http://schemas.microsoft.com/office/drawing/2014/chart" uri="{C3380CC4-5D6E-409C-BE32-E72D297353CC}">
              <c16:uniqueId val="{00000000-4BC5-4B64-BCEB-D9BF9AC08DF6}"/>
            </c:ext>
          </c:extLst>
        </c:ser>
        <c:dLbls>
          <c:showLegendKey val="0"/>
          <c:showVal val="0"/>
          <c:showCatName val="0"/>
          <c:showSerName val="0"/>
          <c:showPercent val="0"/>
          <c:showBubbleSize val="0"/>
        </c:dLbls>
        <c:gapWidth val="219"/>
        <c:overlap val="-27"/>
        <c:axId val="219642879"/>
        <c:axId val="219644799"/>
      </c:barChart>
      <c:catAx>
        <c:axId val="21964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44799"/>
        <c:crosses val="autoZero"/>
        <c:auto val="1"/>
        <c:lblAlgn val="ctr"/>
        <c:lblOffset val="100"/>
        <c:noMultiLvlLbl val="0"/>
      </c:catAx>
      <c:valAx>
        <c:axId val="219644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4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xdr:colOff>
      <xdr:row>2</xdr:row>
      <xdr:rowOff>7620</xdr:rowOff>
    </xdr:from>
    <xdr:to>
      <xdr:col>2</xdr:col>
      <xdr:colOff>30480</xdr:colOff>
      <xdr:row>3</xdr:row>
      <xdr:rowOff>0</xdr:rowOff>
    </xdr:to>
    <xdr:sp macro="" textlink="B3">
      <xdr:nvSpPr>
        <xdr:cNvPr id="2" name="Rectangle 1">
          <a:extLst>
            <a:ext uri="{FF2B5EF4-FFF2-40B4-BE49-F238E27FC236}">
              <a16:creationId xmlns:a16="http://schemas.microsoft.com/office/drawing/2014/main" id="{EBE845D2-8FE1-53DB-BCB7-6C50FB08C397}"/>
            </a:ext>
          </a:extLst>
        </xdr:cNvPr>
        <xdr:cNvSpPr/>
      </xdr:nvSpPr>
      <xdr:spPr>
        <a:xfrm>
          <a:off x="617220" y="419100"/>
          <a:ext cx="1630680" cy="541020"/>
        </a:xfrm>
        <a:prstGeom prst="rect">
          <a:avLst/>
        </a:prstGeom>
        <a:solidFill>
          <a:schemeClr val="accent1">
            <a:lumMod val="20000"/>
            <a:lumOff val="80000"/>
          </a:schemeClr>
        </a:solidFill>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AE8C9E38-430D-4DB6-80D0-B120EBFBAFFE}" type="TxLink">
            <a:rPr lang="en-US" sz="2800" b="1" i="0" u="none" strike="noStrike">
              <a:solidFill>
                <a:srgbClr val="000000"/>
              </a:solidFill>
              <a:latin typeface="Calibri"/>
              <a:ea typeface="Calibri"/>
              <a:cs typeface="Calibri"/>
            </a:rPr>
            <a:pPr algn="ctr"/>
            <a:t>76.66%</a:t>
          </a:fld>
          <a:endParaRPr lang="en-IN" sz="2800" b="1"/>
        </a:p>
      </xdr:txBody>
    </xdr:sp>
    <xdr:clientData/>
  </xdr:twoCellAnchor>
  <xdr:twoCellAnchor>
    <xdr:from>
      <xdr:col>0</xdr:col>
      <xdr:colOff>594361</xdr:colOff>
      <xdr:row>7</xdr:row>
      <xdr:rowOff>7619</xdr:rowOff>
    </xdr:from>
    <xdr:to>
      <xdr:col>5</xdr:col>
      <xdr:colOff>556260</xdr:colOff>
      <xdr:row>21</xdr:row>
      <xdr:rowOff>7620</xdr:rowOff>
    </xdr:to>
    <xdr:graphicFrame macro="">
      <xdr:nvGraphicFramePr>
        <xdr:cNvPr id="3" name="Chart 2">
          <a:extLst>
            <a:ext uri="{FF2B5EF4-FFF2-40B4-BE49-F238E27FC236}">
              <a16:creationId xmlns:a16="http://schemas.microsoft.com/office/drawing/2014/main" id="{A67EDA2E-AC6B-4EB9-BAFA-F8A8BA49E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1023620</xdr:colOff>
      <xdr:row>7</xdr:row>
      <xdr:rowOff>0</xdr:rowOff>
    </xdr:from>
    <xdr:to>
      <xdr:col>11</xdr:col>
      <xdr:colOff>583260</xdr:colOff>
      <xdr:row>21</xdr:row>
      <xdr:rowOff>22860</xdr:rowOff>
    </xdr:to>
    <xdr:graphicFrame macro="">
      <xdr:nvGraphicFramePr>
        <xdr:cNvPr id="4" name="Chart 3">
          <a:extLst>
            <a:ext uri="{FF2B5EF4-FFF2-40B4-BE49-F238E27FC236}">
              <a16:creationId xmlns:a16="http://schemas.microsoft.com/office/drawing/2014/main" id="{0922C816-B8CA-498B-B82E-EC19A7D73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423333</xdr:colOff>
      <xdr:row>7</xdr:row>
      <xdr:rowOff>18815</xdr:rowOff>
    </xdr:from>
    <xdr:to>
      <xdr:col>15</xdr:col>
      <xdr:colOff>390972</xdr:colOff>
      <xdr:row>20</xdr:row>
      <xdr:rowOff>169332</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7FD88F15-A67F-48B5-89E9-3B51B29A4AB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282296" y="1599259"/>
              <a:ext cx="1802083" cy="2474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7</xdr:row>
      <xdr:rowOff>0</xdr:rowOff>
    </xdr:from>
    <xdr:to>
      <xdr:col>18</xdr:col>
      <xdr:colOff>592667</xdr:colOff>
      <xdr:row>20</xdr:row>
      <xdr:rowOff>159925</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24EFDFE7-85F3-4D6A-9C41-2A8D85813E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304889" y="1580444"/>
              <a:ext cx="1815630" cy="2483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LIPSA PATI" refreshedDate="46075.117726736113" createdVersion="8" refreshedVersion="8" minRefreshableVersion="3" recordCount="2494" xr:uid="{2411CF5E-84B5-436B-9CE5-B9663A55CD09}">
  <cacheSource type="worksheet">
    <worksheetSource name="attendance_raw_dataset"/>
  </cacheSource>
  <cacheFields count="15">
    <cacheField name="Employee_ID" numFmtId="0">
      <sharedItems/>
    </cacheField>
    <cacheField name="Employee_Name" numFmtId="0">
      <sharedItems/>
    </cacheField>
    <cacheField name="Department" numFmtId="0">
      <sharedItems count="5">
        <s v="Hr"/>
        <s v="It"/>
        <s v="Operations"/>
        <s v="Sales"/>
        <s v="Finance"/>
      </sharedItems>
    </cacheField>
    <cacheField name="Attendance_Date" numFmtId="14">
      <sharedItems containsSemiMixedTypes="0" containsNonDate="0" containsDate="1" containsString="0" minDate="2024-01-01T00:00:00" maxDate="2024-12-04T00:00:00"/>
    </cacheField>
    <cacheField name="Month" numFmtId="14">
      <sharedItems count="12">
        <s v="March"/>
        <s v="November"/>
        <s v="January"/>
        <s v="September"/>
        <s v="July"/>
        <s v="February"/>
        <s v="May"/>
        <s v="October"/>
        <s v="December"/>
        <s v="August"/>
        <s v="April"/>
        <s v="June"/>
      </sharedItems>
    </cacheField>
    <cacheField name="Year" numFmtId="0">
      <sharedItems containsSemiMixedTypes="0" containsString="0" containsNumber="1" containsInteger="1" minValue="2024" maxValue="2024"/>
    </cacheField>
    <cacheField name="Attendance_Flag" numFmtId="0">
      <sharedItems containsSemiMixedTypes="0" containsString="0" containsNumber="1" containsInteger="1" minValue="0" maxValue="1"/>
    </cacheField>
    <cacheField name="Late Flag" numFmtId="0">
      <sharedItems containsSemiMixedTypes="0" containsString="0" containsNumber="1" containsInteger="1" minValue="0" maxValue="1"/>
    </cacheField>
    <cacheField name="Check_In_Time" numFmtId="164">
      <sharedItems containsNonDate="0" containsDate="1" containsString="0" containsBlank="1" minDate="1899-12-30T08:00:00" maxDate="1899-12-30T11:59:00"/>
    </cacheField>
    <cacheField name="Check_Out_Time" numFmtId="164">
      <sharedItems containsNonDate="0" containsDate="1" containsString="0" containsBlank="1" minDate="1899-12-30T16:00:00" maxDate="1899-12-30T20:59:00"/>
    </cacheField>
    <cacheField name="Attendance_Status" numFmtId="0">
      <sharedItems/>
    </cacheField>
    <cacheField name="Shift_Type" numFmtId="0">
      <sharedItems/>
    </cacheField>
    <cacheField name="Location" numFmtId="0">
      <sharedItems/>
    </cacheField>
    <cacheField name="Duplicate_Flag" numFmtId="0">
      <sharedItems containsSemiMixedTypes="0" containsString="0" containsNumber="1" containsInteger="1" minValue="0" maxValue="0"/>
    </cacheField>
    <cacheField name="Attendance %" numFmtId="0" formula="Attendance_Flag /Employee_ID" databaseField="0"/>
  </cacheFields>
  <extLst>
    <ext xmlns:x14="http://schemas.microsoft.com/office/spreadsheetml/2009/9/main" uri="{725AE2AE-9491-48be-B2B4-4EB974FC3084}">
      <x14:pivotCacheDefinition pivotCacheId="4568769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4">
  <r>
    <s v="E1056"/>
    <s v="Employee_56"/>
    <x v="0"/>
    <d v="2024-03-15T00:00:00"/>
    <x v="0"/>
    <n v="2024"/>
    <n v="1"/>
    <n v="0"/>
    <d v="1899-12-30T11:53:00"/>
    <d v="1899-12-30T16:29:00"/>
    <s v="Work From Home"/>
    <s v="Evening"/>
    <s v="Office"/>
    <n v="0"/>
  </r>
  <r>
    <s v="E1048"/>
    <s v="Employee_48"/>
    <x v="1"/>
    <d v="2024-11-03T00:00:00"/>
    <x v="1"/>
    <n v="2024"/>
    <n v="1"/>
    <n v="0"/>
    <d v="1899-12-30T10:11:00"/>
    <d v="1899-12-30T19:17:00"/>
    <s v="Present"/>
    <s v="Evening"/>
    <s v="Remote"/>
    <n v="0"/>
  </r>
  <r>
    <s v="E1012"/>
    <s v="Employee_12"/>
    <x v="0"/>
    <d v="2024-03-02T00:00:00"/>
    <x v="0"/>
    <n v="2024"/>
    <n v="1"/>
    <n v="1"/>
    <d v="1899-12-30T10:22:00"/>
    <d v="1899-12-30T20:56:00"/>
    <s v="Late"/>
    <s v="Morning"/>
    <s v="Office"/>
    <n v="0"/>
  </r>
  <r>
    <s v="E1023"/>
    <s v="Employee_23"/>
    <x v="0"/>
    <d v="2024-01-18T00:00:00"/>
    <x v="2"/>
    <n v="2024"/>
    <n v="1"/>
    <n v="1"/>
    <d v="1899-12-30T10:39:00"/>
    <d v="1899-12-30T17:24:00"/>
    <s v="Late"/>
    <s v="Evening"/>
    <s v="Office"/>
    <n v="0"/>
  </r>
  <r>
    <s v="E1040"/>
    <s v="Employee_40"/>
    <x v="1"/>
    <d v="2024-09-02T00:00:00"/>
    <x v="3"/>
    <n v="2024"/>
    <n v="1"/>
    <n v="0"/>
    <d v="1899-12-30T09:17:00"/>
    <d v="1899-12-30T16:22:00"/>
    <s v="Work From Home"/>
    <s v="Evening"/>
    <s v="Remote"/>
    <n v="0"/>
  </r>
  <r>
    <s v="E1041"/>
    <s v="Employee_41"/>
    <x v="1"/>
    <d v="2024-07-03T00:00:00"/>
    <x v="4"/>
    <n v="2024"/>
    <n v="1"/>
    <n v="1"/>
    <d v="1899-12-30T11:47:00"/>
    <d v="1899-12-30T20:06:00"/>
    <s v="Late"/>
    <s v="Evening"/>
    <s v="Remote"/>
    <n v="0"/>
  </r>
  <r>
    <s v="E1031"/>
    <s v="Employee_31"/>
    <x v="1"/>
    <d v="2024-02-01T00:00:00"/>
    <x v="5"/>
    <n v="2024"/>
    <n v="1"/>
    <n v="1"/>
    <d v="1899-12-30T10:12:00"/>
    <d v="1899-12-30T16:19:00"/>
    <s v="Late"/>
    <s v="Morning"/>
    <s v="Office"/>
    <n v="0"/>
  </r>
  <r>
    <s v="E1002"/>
    <s v="Employee_2"/>
    <x v="2"/>
    <d v="2024-02-10T00:00:00"/>
    <x v="5"/>
    <n v="2024"/>
    <n v="0"/>
    <n v="0"/>
    <m/>
    <m/>
    <s v="Absent"/>
    <s v="Evening"/>
    <s v="Remote"/>
    <n v="0"/>
  </r>
  <r>
    <s v="E1015"/>
    <s v="Employee_15"/>
    <x v="2"/>
    <d v="2024-03-19T00:00:00"/>
    <x v="0"/>
    <n v="2024"/>
    <n v="1"/>
    <n v="0"/>
    <d v="1899-12-30T09:35:00"/>
    <d v="1899-12-30T20:37:00"/>
    <s v="Present"/>
    <s v="Evening"/>
    <s v="Remote"/>
    <n v="0"/>
  </r>
  <r>
    <s v="E1014"/>
    <s v="Employee_14"/>
    <x v="1"/>
    <d v="2024-01-31T00:00:00"/>
    <x v="2"/>
    <n v="2024"/>
    <n v="0"/>
    <n v="0"/>
    <m/>
    <m/>
    <s v="Absent"/>
    <s v="Evening"/>
    <s v="Office"/>
    <n v="0"/>
  </r>
  <r>
    <s v="E1049"/>
    <s v="Employee_49"/>
    <x v="0"/>
    <d v="2024-01-24T00:00:00"/>
    <x v="2"/>
    <n v="2024"/>
    <n v="1"/>
    <n v="0"/>
    <d v="1899-12-30T09:35:00"/>
    <d v="1899-12-30T18:54:00"/>
    <s v="Work From Home"/>
    <s v="Morning"/>
    <s v="Remote"/>
    <n v="0"/>
  </r>
  <r>
    <s v="E1024"/>
    <s v="Employee_24"/>
    <x v="2"/>
    <d v="2024-05-02T00:00:00"/>
    <x v="6"/>
    <n v="2024"/>
    <n v="1"/>
    <n v="0"/>
    <d v="1899-12-30T08:30:00"/>
    <d v="1899-12-30T17:43:00"/>
    <s v="Present"/>
    <s v="Morning"/>
    <s v="Office"/>
    <n v="0"/>
  </r>
  <r>
    <s v="E1018"/>
    <s v="Employee_18"/>
    <x v="3"/>
    <d v="2024-03-09T00:00:00"/>
    <x v="0"/>
    <n v="2024"/>
    <n v="1"/>
    <n v="0"/>
    <d v="1899-12-30T09:16:00"/>
    <d v="1899-12-30T18:41:00"/>
    <s v="Present"/>
    <s v="Evening"/>
    <s v="Office"/>
    <n v="0"/>
  </r>
  <r>
    <s v="E1059"/>
    <s v="Employee_59"/>
    <x v="4"/>
    <d v="2024-03-24T00:00:00"/>
    <x v="0"/>
    <n v="2024"/>
    <n v="1"/>
    <n v="1"/>
    <d v="1899-12-30T10:57:00"/>
    <d v="1899-12-30T16:55:00"/>
    <s v="Late"/>
    <s v="Evening"/>
    <s v="Remote"/>
    <n v="0"/>
  </r>
  <r>
    <s v="E1036"/>
    <s v="Employee_36"/>
    <x v="1"/>
    <d v="2024-01-26T00:00:00"/>
    <x v="2"/>
    <n v="2024"/>
    <n v="0"/>
    <n v="0"/>
    <m/>
    <m/>
    <s v="Absent"/>
    <s v="Morning"/>
    <s v="Office"/>
    <n v="0"/>
  </r>
  <r>
    <s v="E1058"/>
    <s v="Employee_58"/>
    <x v="2"/>
    <d v="2024-10-02T00:00:00"/>
    <x v="7"/>
    <n v="2024"/>
    <n v="1"/>
    <n v="0"/>
    <d v="1899-12-30T11:04:00"/>
    <d v="1899-12-30T20:01:00"/>
    <s v="Present"/>
    <s v="Morning"/>
    <s v="Remote"/>
    <n v="0"/>
  </r>
  <r>
    <s v="E1035"/>
    <s v="Employee_35"/>
    <x v="4"/>
    <d v="2024-02-09T00:00:00"/>
    <x v="5"/>
    <n v="2024"/>
    <n v="1"/>
    <n v="0"/>
    <d v="1899-12-30T08:38:00"/>
    <d v="1899-12-30T19:47:00"/>
    <s v="Present"/>
    <s v="Morning"/>
    <s v="Remote"/>
    <n v="0"/>
  </r>
  <r>
    <s v="E1043"/>
    <s v="Employee_43"/>
    <x v="1"/>
    <d v="2024-02-28T00:00:00"/>
    <x v="5"/>
    <n v="2024"/>
    <n v="0"/>
    <n v="0"/>
    <m/>
    <m/>
    <s v="Absent"/>
    <s v="Morning"/>
    <s v="Remote"/>
    <n v="0"/>
  </r>
  <r>
    <s v="E1042"/>
    <s v="Employee_42"/>
    <x v="3"/>
    <d v="2024-01-01T00:00:00"/>
    <x v="2"/>
    <n v="2024"/>
    <n v="0"/>
    <n v="0"/>
    <m/>
    <m/>
    <s v="Absent"/>
    <s v="Evening"/>
    <s v="Office"/>
    <n v="0"/>
  </r>
  <r>
    <s v="E1047"/>
    <s v="Employee_47"/>
    <x v="3"/>
    <d v="2024-09-03T00:00:00"/>
    <x v="3"/>
    <n v="2024"/>
    <n v="1"/>
    <n v="0"/>
    <d v="1899-12-30T11:03:00"/>
    <d v="1899-12-30T20:46:00"/>
    <s v="Work From Home"/>
    <s v="Evening"/>
    <s v="Office"/>
    <n v="0"/>
  </r>
  <r>
    <s v="E1038"/>
    <s v="Employee_38"/>
    <x v="4"/>
    <d v="2024-01-02T00:00:00"/>
    <x v="2"/>
    <n v="2024"/>
    <n v="1"/>
    <n v="0"/>
    <d v="1899-12-30T09:40:00"/>
    <d v="1899-12-30T16:06:00"/>
    <s v="Work From Home"/>
    <s v="Morning"/>
    <s v="Office"/>
    <n v="0"/>
  </r>
  <r>
    <s v="E1011"/>
    <s v="Employee_11"/>
    <x v="3"/>
    <d v="2024-01-19T00:00:00"/>
    <x v="2"/>
    <n v="2024"/>
    <n v="1"/>
    <n v="0"/>
    <d v="1899-12-30T09:45:00"/>
    <d v="1899-12-30T20:33:00"/>
    <s v="Present"/>
    <s v="Morning"/>
    <s v="Remote"/>
    <n v="0"/>
  </r>
  <r>
    <s v="E1032"/>
    <s v="Employee_32"/>
    <x v="1"/>
    <d v="2024-01-15T00:00:00"/>
    <x v="2"/>
    <n v="2024"/>
    <n v="1"/>
    <n v="0"/>
    <d v="1899-12-30T09:48:00"/>
    <d v="1899-12-30T20:12:00"/>
    <s v="Present"/>
    <s v="Morning"/>
    <s v="Office"/>
    <n v="0"/>
  </r>
  <r>
    <s v="E1026"/>
    <s v="Employee_26"/>
    <x v="0"/>
    <d v="2024-10-03T00:00:00"/>
    <x v="7"/>
    <n v="2024"/>
    <n v="1"/>
    <n v="0"/>
    <d v="1899-12-30T11:26:00"/>
    <d v="1899-12-30T19:39:00"/>
    <s v="Present"/>
    <s v="Evening"/>
    <s v="Office"/>
    <n v="0"/>
  </r>
  <r>
    <s v="E1037"/>
    <s v="Employee_37"/>
    <x v="2"/>
    <d v="2024-01-17T00:00:00"/>
    <x v="2"/>
    <n v="2024"/>
    <n v="0"/>
    <n v="0"/>
    <m/>
    <m/>
    <s v="Absent"/>
    <s v="Evening"/>
    <s v="Remote"/>
    <n v="0"/>
  </r>
  <r>
    <s v="E1022"/>
    <s v="Employee_22"/>
    <x v="3"/>
    <d v="2024-02-13T00:00:00"/>
    <x v="5"/>
    <n v="2024"/>
    <n v="1"/>
    <n v="0"/>
    <d v="1899-12-30T11:15:00"/>
    <d v="1899-12-30T17:37:00"/>
    <s v="Present"/>
    <s v="Evening"/>
    <s v="Remote"/>
    <n v="0"/>
  </r>
  <r>
    <s v="E1045"/>
    <s v="Employee_45"/>
    <x v="1"/>
    <d v="2024-12-02T00:00:00"/>
    <x v="8"/>
    <n v="2024"/>
    <n v="1"/>
    <n v="0"/>
    <d v="1899-12-30T09:14:00"/>
    <d v="1899-12-30T18:08:00"/>
    <s v="Present"/>
    <s v="Morning"/>
    <s v="Office"/>
    <n v="0"/>
  </r>
  <r>
    <s v="E1056"/>
    <s v="Employee_56"/>
    <x v="1"/>
    <d v="2024-03-18T00:00:00"/>
    <x v="0"/>
    <n v="2024"/>
    <n v="1"/>
    <n v="1"/>
    <d v="1899-12-30T10:24:00"/>
    <d v="1899-12-30T18:49:00"/>
    <s v="Late"/>
    <s v="Evening"/>
    <s v="Remote"/>
    <n v="0"/>
  </r>
  <r>
    <s v="E1049"/>
    <s v="Employee_49"/>
    <x v="0"/>
    <d v="2024-02-28T00:00:00"/>
    <x v="5"/>
    <n v="2024"/>
    <n v="1"/>
    <n v="0"/>
    <d v="1899-12-30T10:59:00"/>
    <d v="1899-12-30T17:38:00"/>
    <s v="Present"/>
    <s v="Morning"/>
    <s v="Remote"/>
    <n v="0"/>
  </r>
  <r>
    <s v="E1026"/>
    <s v="Employee_26"/>
    <x v="0"/>
    <d v="2024-12-01T00:00:00"/>
    <x v="8"/>
    <n v="2024"/>
    <n v="0"/>
    <n v="0"/>
    <m/>
    <m/>
    <s v="Absent"/>
    <s v="Evening"/>
    <s v="Office"/>
    <n v="0"/>
  </r>
  <r>
    <s v="E1035"/>
    <s v="Employee_35"/>
    <x v="4"/>
    <d v="2024-03-08T00:00:00"/>
    <x v="0"/>
    <n v="2024"/>
    <n v="1"/>
    <n v="0"/>
    <d v="1899-12-30T10:16:00"/>
    <d v="1899-12-30T20:21:00"/>
    <s v="Work From Home"/>
    <s v="Evening"/>
    <s v="Office"/>
    <n v="0"/>
  </r>
  <r>
    <s v="E1016"/>
    <s v="Employee_16"/>
    <x v="0"/>
    <d v="2024-03-30T00:00:00"/>
    <x v="0"/>
    <n v="2024"/>
    <n v="1"/>
    <n v="0"/>
    <d v="1899-12-30T09:44:00"/>
    <d v="1899-12-30T19:05:00"/>
    <s v="Present"/>
    <s v="Evening"/>
    <s v="Remote"/>
    <n v="0"/>
  </r>
  <r>
    <s v="E1054"/>
    <s v="Employee_54"/>
    <x v="3"/>
    <d v="2024-07-03T00:00:00"/>
    <x v="4"/>
    <n v="2024"/>
    <n v="1"/>
    <n v="0"/>
    <d v="1899-12-30T11:45:00"/>
    <d v="1899-12-30T17:38:00"/>
    <s v="Present"/>
    <s v="Evening"/>
    <s v="Office"/>
    <n v="0"/>
  </r>
  <r>
    <s v="E1056"/>
    <s v="Employee_56"/>
    <x v="4"/>
    <d v="2024-01-07T00:00:00"/>
    <x v="2"/>
    <n v="2024"/>
    <n v="1"/>
    <n v="1"/>
    <d v="1899-12-30T11:35:00"/>
    <d v="1899-12-30T18:23:00"/>
    <s v="Late"/>
    <s v="Evening"/>
    <s v="Office"/>
    <n v="0"/>
  </r>
  <r>
    <s v="E1030"/>
    <s v="Employee_30"/>
    <x v="4"/>
    <d v="2024-03-23T00:00:00"/>
    <x v="0"/>
    <n v="2024"/>
    <n v="1"/>
    <n v="0"/>
    <d v="1899-12-30T10:20:00"/>
    <d v="1899-12-30T17:36:00"/>
    <s v="Present"/>
    <s v="Morning"/>
    <s v="Office"/>
    <n v="0"/>
  </r>
  <r>
    <s v="E1030"/>
    <s v="Employee_30"/>
    <x v="3"/>
    <d v="2024-02-15T00:00:00"/>
    <x v="5"/>
    <n v="2024"/>
    <n v="0"/>
    <n v="0"/>
    <m/>
    <m/>
    <s v="Absent"/>
    <s v="Evening"/>
    <s v="Office"/>
    <n v="0"/>
  </r>
  <r>
    <s v="E1033"/>
    <s v="Employee_33"/>
    <x v="1"/>
    <d v="2024-09-02T00:00:00"/>
    <x v="3"/>
    <n v="2024"/>
    <n v="0"/>
    <n v="0"/>
    <m/>
    <m/>
    <s v="Absent"/>
    <s v="Morning"/>
    <s v="Office"/>
    <n v="0"/>
  </r>
  <r>
    <s v="E1024"/>
    <s v="Employee_24"/>
    <x v="1"/>
    <d v="2024-03-30T00:00:00"/>
    <x v="0"/>
    <n v="2024"/>
    <n v="1"/>
    <n v="0"/>
    <d v="1899-12-30T08:41:00"/>
    <d v="1899-12-30T16:52:00"/>
    <s v="Present"/>
    <s v="Evening"/>
    <s v="Remote"/>
    <n v="0"/>
  </r>
  <r>
    <s v="E1010"/>
    <s v="Employee_10"/>
    <x v="1"/>
    <d v="2024-08-01T00:00:00"/>
    <x v="9"/>
    <n v="2024"/>
    <n v="1"/>
    <n v="0"/>
    <d v="1899-12-30T11:26:00"/>
    <d v="1899-12-30T18:56:00"/>
    <s v="Present"/>
    <s v="Evening"/>
    <s v="Office"/>
    <n v="0"/>
  </r>
  <r>
    <s v="E1026"/>
    <s v="Employee_26"/>
    <x v="4"/>
    <d v="2024-02-27T00:00:00"/>
    <x v="5"/>
    <n v="2024"/>
    <n v="1"/>
    <n v="1"/>
    <d v="1899-12-30T10:54:00"/>
    <d v="1899-12-30T20:28:00"/>
    <s v="Late"/>
    <s v="Evening"/>
    <s v="Office"/>
    <n v="0"/>
  </r>
  <r>
    <s v="E1045"/>
    <s v="Employee_45"/>
    <x v="1"/>
    <d v="2024-02-13T00:00:00"/>
    <x v="5"/>
    <n v="2024"/>
    <n v="1"/>
    <n v="0"/>
    <d v="1899-12-30T11:33:00"/>
    <d v="1899-12-30T20:36:00"/>
    <s v="Work From Home"/>
    <s v="Evening"/>
    <s v="Office"/>
    <n v="0"/>
  </r>
  <r>
    <s v="E1002"/>
    <s v="Employee_2"/>
    <x v="1"/>
    <d v="2024-02-19T00:00:00"/>
    <x v="5"/>
    <n v="2024"/>
    <n v="1"/>
    <n v="1"/>
    <d v="1899-12-30T09:56:00"/>
    <d v="1899-12-30T17:30:00"/>
    <s v="Late"/>
    <s v="Evening"/>
    <s v="Remote"/>
    <n v="0"/>
  </r>
  <r>
    <s v="E1032"/>
    <s v="Employee_32"/>
    <x v="2"/>
    <d v="2024-11-01T00:00:00"/>
    <x v="1"/>
    <n v="2024"/>
    <n v="1"/>
    <n v="0"/>
    <d v="1899-12-30T11:32:00"/>
    <d v="1899-12-30T17:16:00"/>
    <s v="Present"/>
    <s v="Evening"/>
    <s v="Office"/>
    <n v="0"/>
  </r>
  <r>
    <s v="E1025"/>
    <s v="Employee_25"/>
    <x v="2"/>
    <d v="2024-01-31T00:00:00"/>
    <x v="2"/>
    <n v="2024"/>
    <n v="1"/>
    <n v="0"/>
    <d v="1899-12-30T09:39:00"/>
    <d v="1899-12-30T17:20:00"/>
    <s v="Work From Home"/>
    <s v="Evening"/>
    <s v="Remote"/>
    <n v="0"/>
  </r>
  <r>
    <s v="E1045"/>
    <s v="Employee_45"/>
    <x v="3"/>
    <d v="2024-02-02T00:00:00"/>
    <x v="5"/>
    <n v="2024"/>
    <n v="1"/>
    <n v="0"/>
    <d v="1899-12-30T11:29:00"/>
    <d v="1899-12-30T19:53:00"/>
    <s v="Work From Home"/>
    <s v="Morning"/>
    <s v="Remote"/>
    <n v="0"/>
  </r>
  <r>
    <s v="E1003"/>
    <s v="Employee_3"/>
    <x v="3"/>
    <d v="2024-10-03T00:00:00"/>
    <x v="7"/>
    <n v="2024"/>
    <n v="1"/>
    <n v="0"/>
    <d v="1899-12-30T08:14:00"/>
    <d v="1899-12-30T16:03:00"/>
    <s v="Present"/>
    <s v="Evening"/>
    <s v="Office"/>
    <n v="0"/>
  </r>
  <r>
    <s v="E1048"/>
    <s v="Employee_48"/>
    <x v="1"/>
    <d v="2024-01-29T00:00:00"/>
    <x v="2"/>
    <n v="2024"/>
    <n v="1"/>
    <n v="0"/>
    <d v="1899-12-30T11:39:00"/>
    <d v="1899-12-30T20:41:00"/>
    <s v="Present"/>
    <s v="Evening"/>
    <s v="Office"/>
    <n v="0"/>
  </r>
  <r>
    <s v="E1025"/>
    <s v="Employee_25"/>
    <x v="4"/>
    <d v="2024-04-02T00:00:00"/>
    <x v="10"/>
    <n v="2024"/>
    <n v="1"/>
    <n v="0"/>
    <d v="1899-12-30T10:35:00"/>
    <d v="1899-12-30T20:53:00"/>
    <s v="Present"/>
    <s v="Morning"/>
    <s v="Office"/>
    <n v="0"/>
  </r>
  <r>
    <s v="E1008"/>
    <s v="Employee_8"/>
    <x v="0"/>
    <d v="2024-02-02T00:00:00"/>
    <x v="5"/>
    <n v="2024"/>
    <n v="1"/>
    <n v="1"/>
    <d v="1899-12-30T08:05:00"/>
    <d v="1899-12-30T18:58:00"/>
    <s v="Late"/>
    <s v="Evening"/>
    <s v="Remote"/>
    <n v="0"/>
  </r>
  <r>
    <s v="E1041"/>
    <s v="Employee_41"/>
    <x v="4"/>
    <d v="2024-02-13T00:00:00"/>
    <x v="5"/>
    <n v="2024"/>
    <n v="1"/>
    <n v="0"/>
    <d v="1899-12-30T11:15:00"/>
    <d v="1899-12-30T19:00:00"/>
    <s v="Work From Home"/>
    <s v="Evening"/>
    <s v="Office"/>
    <n v="0"/>
  </r>
  <r>
    <s v="E1034"/>
    <s v="Employee_34"/>
    <x v="4"/>
    <d v="2024-01-25T00:00:00"/>
    <x v="2"/>
    <n v="2024"/>
    <n v="1"/>
    <n v="0"/>
    <d v="1899-12-30T08:34:00"/>
    <d v="1899-12-30T16:58:00"/>
    <s v="Work From Home"/>
    <s v="Morning"/>
    <s v="Remote"/>
    <n v="0"/>
  </r>
  <r>
    <s v="E1016"/>
    <s v="Employee_16"/>
    <x v="2"/>
    <d v="2024-09-01T00:00:00"/>
    <x v="3"/>
    <n v="2024"/>
    <n v="1"/>
    <n v="0"/>
    <d v="1899-12-30T11:23:00"/>
    <d v="1899-12-30T17:53:00"/>
    <s v="Present"/>
    <s v="Evening"/>
    <s v="Office"/>
    <n v="0"/>
  </r>
  <r>
    <s v="E1052"/>
    <s v="Employee_52"/>
    <x v="3"/>
    <d v="2024-01-30T00:00:00"/>
    <x v="2"/>
    <n v="2024"/>
    <n v="1"/>
    <n v="1"/>
    <d v="1899-12-30T10:10:00"/>
    <d v="1899-12-30T19:00:00"/>
    <s v="Late"/>
    <s v="Morning"/>
    <s v="Remote"/>
    <n v="0"/>
  </r>
  <r>
    <s v="E1039"/>
    <s v="Employee_39"/>
    <x v="0"/>
    <d v="2024-02-21T00:00:00"/>
    <x v="5"/>
    <n v="2024"/>
    <n v="1"/>
    <n v="0"/>
    <d v="1899-12-30T08:41:00"/>
    <d v="1899-12-30T19:53:00"/>
    <s v="Present"/>
    <s v="Evening"/>
    <s v="Remote"/>
    <n v="0"/>
  </r>
  <r>
    <s v="E1042"/>
    <s v="Employee_42"/>
    <x v="3"/>
    <d v="2024-02-14T00:00:00"/>
    <x v="5"/>
    <n v="2024"/>
    <n v="1"/>
    <n v="0"/>
    <d v="1899-12-30T09:49:00"/>
    <d v="1899-12-30T19:21:00"/>
    <s v="Work From Home"/>
    <s v="Morning"/>
    <s v="Office"/>
    <n v="0"/>
  </r>
  <r>
    <s v="E1005"/>
    <s v="Employee_5"/>
    <x v="0"/>
    <d v="2024-02-14T00:00:00"/>
    <x v="5"/>
    <n v="2024"/>
    <n v="1"/>
    <n v="0"/>
    <d v="1899-12-30T10:45:00"/>
    <d v="1899-12-30T17:22:00"/>
    <s v="Present"/>
    <s v="Evening"/>
    <s v="Office"/>
    <n v="0"/>
  </r>
  <r>
    <s v="E1034"/>
    <s v="Employee_34"/>
    <x v="1"/>
    <d v="2024-02-16T00:00:00"/>
    <x v="5"/>
    <n v="2024"/>
    <n v="0"/>
    <n v="0"/>
    <m/>
    <m/>
    <s v="Absent"/>
    <s v="Morning"/>
    <s v="Remote"/>
    <n v="0"/>
  </r>
  <r>
    <s v="E1006"/>
    <s v="Employee_6"/>
    <x v="4"/>
    <d v="2024-02-16T00:00:00"/>
    <x v="5"/>
    <n v="2024"/>
    <n v="1"/>
    <n v="0"/>
    <d v="1899-12-30T09:13:00"/>
    <d v="1899-12-30T19:02:00"/>
    <s v="Present"/>
    <s v="Evening"/>
    <s v="Office"/>
    <n v="0"/>
  </r>
  <r>
    <s v="E1042"/>
    <s v="Employee_42"/>
    <x v="4"/>
    <d v="2024-01-29T00:00:00"/>
    <x v="2"/>
    <n v="2024"/>
    <n v="1"/>
    <n v="0"/>
    <d v="1899-12-30T09:56:00"/>
    <d v="1899-12-30T20:24:00"/>
    <s v="Present"/>
    <s v="Morning"/>
    <s v="Remote"/>
    <n v="0"/>
  </r>
  <r>
    <s v="E1005"/>
    <s v="Employee_5"/>
    <x v="4"/>
    <d v="2024-02-03T00:00:00"/>
    <x v="5"/>
    <n v="2024"/>
    <n v="1"/>
    <n v="1"/>
    <d v="1899-12-30T09:58:00"/>
    <d v="1899-12-30T19:25:00"/>
    <s v="Late"/>
    <s v="Evening"/>
    <s v="Remote"/>
    <n v="0"/>
  </r>
  <r>
    <s v="E1005"/>
    <s v="Employee_5"/>
    <x v="2"/>
    <d v="2024-08-01T00:00:00"/>
    <x v="9"/>
    <n v="2024"/>
    <n v="1"/>
    <n v="0"/>
    <d v="1899-12-30T10:42:00"/>
    <d v="1899-12-30T20:13:00"/>
    <s v="Work From Home"/>
    <s v="Morning"/>
    <s v="Office"/>
    <n v="0"/>
  </r>
  <r>
    <s v="E1032"/>
    <s v="Employee_32"/>
    <x v="2"/>
    <d v="2024-06-02T00:00:00"/>
    <x v="11"/>
    <n v="2024"/>
    <n v="1"/>
    <n v="0"/>
    <d v="1899-12-30T09:47:00"/>
    <d v="1899-12-30T17:41:00"/>
    <s v="Present"/>
    <s v="Evening"/>
    <s v="Office"/>
    <n v="0"/>
  </r>
  <r>
    <s v="E1033"/>
    <s v="Employee_33"/>
    <x v="4"/>
    <d v="2024-08-02T00:00:00"/>
    <x v="9"/>
    <n v="2024"/>
    <n v="1"/>
    <n v="1"/>
    <d v="1899-12-30T08:19:00"/>
    <d v="1899-12-30T19:29:00"/>
    <s v="Late"/>
    <s v="Evening"/>
    <s v="Remote"/>
    <n v="0"/>
  </r>
  <r>
    <s v="E1033"/>
    <s v="Employee_33"/>
    <x v="4"/>
    <d v="2024-03-14T00:00:00"/>
    <x v="0"/>
    <n v="2024"/>
    <n v="0"/>
    <n v="0"/>
    <m/>
    <m/>
    <s v="Absent"/>
    <s v="Morning"/>
    <s v="Remote"/>
    <n v="0"/>
  </r>
  <r>
    <s v="E1051"/>
    <s v="Employee_51"/>
    <x v="2"/>
    <d v="2024-03-25T00:00:00"/>
    <x v="0"/>
    <n v="2024"/>
    <n v="1"/>
    <n v="1"/>
    <d v="1899-12-30T11:49:00"/>
    <d v="1899-12-30T18:26:00"/>
    <s v="Late"/>
    <s v="Morning"/>
    <s v="Office"/>
    <n v="0"/>
  </r>
  <r>
    <s v="E1012"/>
    <s v="Employee_12"/>
    <x v="1"/>
    <d v="2024-01-21T00:00:00"/>
    <x v="2"/>
    <n v="2024"/>
    <n v="1"/>
    <n v="0"/>
    <d v="1899-12-30T11:27:00"/>
    <d v="1899-12-30T16:31:00"/>
    <s v="Present"/>
    <s v="Morning"/>
    <s v="Office"/>
    <n v="0"/>
  </r>
  <r>
    <s v="E1013"/>
    <s v="Employee_13"/>
    <x v="4"/>
    <d v="2024-03-04T00:00:00"/>
    <x v="0"/>
    <n v="2024"/>
    <n v="0"/>
    <n v="0"/>
    <m/>
    <m/>
    <s v="Absent"/>
    <s v="Evening"/>
    <s v="Remote"/>
    <n v="0"/>
  </r>
  <r>
    <s v="E1026"/>
    <s v="Employee_26"/>
    <x v="2"/>
    <d v="2024-09-03T00:00:00"/>
    <x v="3"/>
    <n v="2024"/>
    <n v="1"/>
    <n v="1"/>
    <d v="1899-12-30T09:37:00"/>
    <d v="1899-12-30T17:10:00"/>
    <s v="Late"/>
    <s v="Morning"/>
    <s v="Office"/>
    <n v="0"/>
  </r>
  <r>
    <s v="E1013"/>
    <s v="Employee_13"/>
    <x v="4"/>
    <d v="2024-01-03T00:00:00"/>
    <x v="2"/>
    <n v="2024"/>
    <n v="1"/>
    <n v="0"/>
    <d v="1899-12-30T10:01:00"/>
    <d v="1899-12-30T17:54:00"/>
    <s v="Work From Home"/>
    <s v="Morning"/>
    <s v="Remote"/>
    <n v="0"/>
  </r>
  <r>
    <s v="E1055"/>
    <s v="Employee_55"/>
    <x v="3"/>
    <d v="2024-07-02T00:00:00"/>
    <x v="4"/>
    <n v="2024"/>
    <n v="1"/>
    <n v="0"/>
    <d v="1899-12-30T08:28:00"/>
    <d v="1899-12-30T19:27:00"/>
    <s v="Present"/>
    <s v="Evening"/>
    <s v="Remote"/>
    <n v="0"/>
  </r>
  <r>
    <s v="E1008"/>
    <s v="Employee_8"/>
    <x v="1"/>
    <d v="2024-03-04T00:00:00"/>
    <x v="0"/>
    <n v="2024"/>
    <n v="1"/>
    <n v="0"/>
    <d v="1899-12-30T09:03:00"/>
    <d v="1899-12-30T20:13:00"/>
    <s v="Present"/>
    <s v="Evening"/>
    <s v="Remote"/>
    <n v="0"/>
  </r>
  <r>
    <s v="E1056"/>
    <s v="Employee_56"/>
    <x v="1"/>
    <d v="2024-02-26T00:00:00"/>
    <x v="5"/>
    <n v="2024"/>
    <n v="1"/>
    <n v="0"/>
    <d v="1899-12-30T11:57:00"/>
    <d v="1899-12-30T16:37:00"/>
    <s v="Present"/>
    <s v="Morning"/>
    <s v="Remote"/>
    <n v="0"/>
  </r>
  <r>
    <s v="E1012"/>
    <s v="Employee_12"/>
    <x v="4"/>
    <d v="2024-11-01T00:00:00"/>
    <x v="1"/>
    <n v="2024"/>
    <n v="1"/>
    <n v="0"/>
    <d v="1899-12-30T11:23:00"/>
    <d v="1899-12-30T17:31:00"/>
    <s v="Present"/>
    <s v="Morning"/>
    <s v="Office"/>
    <n v="0"/>
  </r>
  <r>
    <s v="E1015"/>
    <s v="Employee_15"/>
    <x v="0"/>
    <d v="2024-03-27T00:00:00"/>
    <x v="0"/>
    <n v="2024"/>
    <n v="1"/>
    <n v="1"/>
    <d v="1899-12-30T08:06:00"/>
    <d v="1899-12-30T20:44:00"/>
    <s v="Late"/>
    <s v="Morning"/>
    <s v="Remote"/>
    <n v="0"/>
  </r>
  <r>
    <s v="E1038"/>
    <s v="Employee_38"/>
    <x v="4"/>
    <d v="2024-02-24T00:00:00"/>
    <x v="5"/>
    <n v="2024"/>
    <n v="1"/>
    <n v="1"/>
    <d v="1899-12-30T08:24:00"/>
    <d v="1899-12-30T20:28:00"/>
    <s v="Late"/>
    <s v="Morning"/>
    <s v="Remote"/>
    <n v="0"/>
  </r>
  <r>
    <s v="E1008"/>
    <s v="Employee_8"/>
    <x v="4"/>
    <d v="2024-01-15T00:00:00"/>
    <x v="2"/>
    <n v="2024"/>
    <n v="0"/>
    <n v="0"/>
    <m/>
    <m/>
    <s v="Absent"/>
    <s v="Morning"/>
    <s v="Remote"/>
    <n v="0"/>
  </r>
  <r>
    <s v="E1045"/>
    <s v="Employee_45"/>
    <x v="1"/>
    <d v="2024-01-02T00:00:00"/>
    <x v="2"/>
    <n v="2024"/>
    <n v="1"/>
    <n v="0"/>
    <d v="1899-12-30T08:22:00"/>
    <d v="1899-12-30T20:03:00"/>
    <s v="Present"/>
    <s v="Evening"/>
    <s v="Office"/>
    <n v="0"/>
  </r>
  <r>
    <s v="E1036"/>
    <s v="Employee_36"/>
    <x v="4"/>
    <d v="2024-03-29T00:00:00"/>
    <x v="0"/>
    <n v="2024"/>
    <n v="0"/>
    <n v="0"/>
    <m/>
    <m/>
    <s v="Absent"/>
    <s v="Evening"/>
    <s v="Remote"/>
    <n v="0"/>
  </r>
  <r>
    <s v="E1025"/>
    <s v="Employee_25"/>
    <x v="2"/>
    <d v="2024-01-06T00:00:00"/>
    <x v="2"/>
    <n v="2024"/>
    <n v="1"/>
    <n v="1"/>
    <d v="1899-12-30T09:51:00"/>
    <d v="1899-12-30T20:43:00"/>
    <s v="Late"/>
    <s v="Evening"/>
    <s v="Office"/>
    <n v="0"/>
  </r>
  <r>
    <s v="E1059"/>
    <s v="Employee_59"/>
    <x v="0"/>
    <d v="2024-01-10T00:00:00"/>
    <x v="2"/>
    <n v="2024"/>
    <n v="1"/>
    <n v="0"/>
    <d v="1899-12-30T08:06:00"/>
    <d v="1899-12-30T19:38:00"/>
    <s v="Present"/>
    <s v="Evening"/>
    <s v="Office"/>
    <n v="0"/>
  </r>
  <r>
    <s v="E1001"/>
    <s v="Employee_1"/>
    <x v="1"/>
    <d v="2024-01-01T00:00:00"/>
    <x v="2"/>
    <n v="2024"/>
    <n v="0"/>
    <n v="0"/>
    <m/>
    <m/>
    <s v="Absent"/>
    <s v="Evening"/>
    <s v="Remote"/>
    <n v="0"/>
  </r>
  <r>
    <s v="E1008"/>
    <s v="Employee_8"/>
    <x v="3"/>
    <d v="2024-01-23T00:00:00"/>
    <x v="2"/>
    <n v="2024"/>
    <n v="1"/>
    <n v="0"/>
    <d v="1899-12-30T11:41:00"/>
    <d v="1899-12-30T18:58:00"/>
    <s v="Work From Home"/>
    <s v="Morning"/>
    <s v="Office"/>
    <n v="0"/>
  </r>
  <r>
    <s v="E1014"/>
    <s v="Employee_14"/>
    <x v="4"/>
    <d v="2024-03-12T00:00:00"/>
    <x v="0"/>
    <n v="2024"/>
    <n v="1"/>
    <n v="1"/>
    <d v="1899-12-30T08:12:00"/>
    <d v="1899-12-30T20:47:00"/>
    <s v="Late"/>
    <s v="Evening"/>
    <s v="Remote"/>
    <n v="0"/>
  </r>
  <r>
    <s v="E1017"/>
    <s v="Employee_17"/>
    <x v="1"/>
    <d v="2024-11-02T00:00:00"/>
    <x v="1"/>
    <n v="2024"/>
    <n v="0"/>
    <n v="0"/>
    <m/>
    <m/>
    <s v="Absent"/>
    <s v="Morning"/>
    <s v="Office"/>
    <n v="0"/>
  </r>
  <r>
    <s v="E1015"/>
    <s v="Employee_15"/>
    <x v="3"/>
    <d v="2024-03-14T00:00:00"/>
    <x v="0"/>
    <n v="2024"/>
    <n v="1"/>
    <n v="0"/>
    <d v="1899-12-30T09:46:00"/>
    <d v="1899-12-30T18:58:00"/>
    <s v="Work From Home"/>
    <s v="Evening"/>
    <s v="Remote"/>
    <n v="0"/>
  </r>
  <r>
    <s v="E1046"/>
    <s v="Employee_46"/>
    <x v="0"/>
    <d v="2024-01-16T00:00:00"/>
    <x v="2"/>
    <n v="2024"/>
    <n v="0"/>
    <n v="0"/>
    <m/>
    <m/>
    <s v="Absent"/>
    <s v="Morning"/>
    <s v="Office"/>
    <n v="0"/>
  </r>
  <r>
    <s v="E1032"/>
    <s v="Employee_32"/>
    <x v="1"/>
    <d v="2024-03-29T00:00:00"/>
    <x v="0"/>
    <n v="2024"/>
    <n v="1"/>
    <n v="0"/>
    <d v="1899-12-30T08:14:00"/>
    <d v="1899-12-30T18:45:00"/>
    <s v="Work From Home"/>
    <s v="Evening"/>
    <s v="Remote"/>
    <n v="0"/>
  </r>
  <r>
    <s v="E1028"/>
    <s v="Employee_28"/>
    <x v="4"/>
    <d v="2024-02-09T00:00:00"/>
    <x v="5"/>
    <n v="2024"/>
    <n v="0"/>
    <n v="0"/>
    <m/>
    <m/>
    <s v="Absent"/>
    <s v="Evening"/>
    <s v="Office"/>
    <n v="0"/>
  </r>
  <r>
    <s v="E1002"/>
    <s v="Employee_2"/>
    <x v="0"/>
    <d v="2024-02-22T00:00:00"/>
    <x v="5"/>
    <n v="2024"/>
    <n v="1"/>
    <n v="0"/>
    <d v="1899-12-30T08:29:00"/>
    <d v="1899-12-30T19:11:00"/>
    <s v="Work From Home"/>
    <s v="Evening"/>
    <s v="Remote"/>
    <n v="0"/>
  </r>
  <r>
    <s v="E1044"/>
    <s v="Employee_44"/>
    <x v="2"/>
    <d v="2024-02-03T00:00:00"/>
    <x v="5"/>
    <n v="2024"/>
    <n v="1"/>
    <n v="1"/>
    <d v="1899-12-30T11:01:00"/>
    <d v="1899-12-30T18:07:00"/>
    <s v="Late"/>
    <s v="Evening"/>
    <s v="Office"/>
    <n v="0"/>
  </r>
  <r>
    <s v="E1042"/>
    <s v="Employee_42"/>
    <x v="4"/>
    <d v="2024-02-05T00:00:00"/>
    <x v="5"/>
    <n v="2024"/>
    <n v="0"/>
    <n v="0"/>
    <m/>
    <m/>
    <s v="Absent"/>
    <s v="Morning"/>
    <s v="Office"/>
    <n v="0"/>
  </r>
  <r>
    <s v="E1014"/>
    <s v="Employee_14"/>
    <x v="3"/>
    <d v="2024-02-03T00:00:00"/>
    <x v="5"/>
    <n v="2024"/>
    <n v="1"/>
    <n v="0"/>
    <d v="1899-12-30T08:45:00"/>
    <d v="1899-12-30T19:52:00"/>
    <s v="Present"/>
    <s v="Evening"/>
    <s v="Remote"/>
    <n v="0"/>
  </r>
  <r>
    <s v="E1035"/>
    <s v="Employee_35"/>
    <x v="1"/>
    <d v="2024-01-10T00:00:00"/>
    <x v="2"/>
    <n v="2024"/>
    <n v="1"/>
    <n v="0"/>
    <d v="1899-12-30T09:08:00"/>
    <d v="1899-12-30T16:04:00"/>
    <s v="Work From Home"/>
    <s v="Morning"/>
    <s v="Remote"/>
    <n v="0"/>
  </r>
  <r>
    <s v="E1020"/>
    <s v="Employee_20"/>
    <x v="3"/>
    <d v="2024-09-02T00:00:00"/>
    <x v="3"/>
    <n v="2024"/>
    <n v="0"/>
    <n v="0"/>
    <m/>
    <m/>
    <s v="Absent"/>
    <s v="Evening"/>
    <s v="Remote"/>
    <n v="0"/>
  </r>
  <r>
    <s v="E1040"/>
    <s v="Employee_40"/>
    <x v="4"/>
    <d v="2024-01-05T00:00:00"/>
    <x v="2"/>
    <n v="2024"/>
    <n v="1"/>
    <n v="0"/>
    <d v="1899-12-30T11:03:00"/>
    <d v="1899-12-30T19:12:00"/>
    <s v="Present"/>
    <s v="Morning"/>
    <s v="Remote"/>
    <n v="0"/>
  </r>
  <r>
    <s v="E1032"/>
    <s v="Employee_32"/>
    <x v="1"/>
    <d v="2024-02-25T00:00:00"/>
    <x v="5"/>
    <n v="2024"/>
    <n v="0"/>
    <n v="0"/>
    <m/>
    <m/>
    <s v="Absent"/>
    <s v="Morning"/>
    <s v="Office"/>
    <n v="0"/>
  </r>
  <r>
    <s v="E1048"/>
    <s v="Employee_48"/>
    <x v="1"/>
    <d v="2024-02-08T00:00:00"/>
    <x v="5"/>
    <n v="2024"/>
    <n v="0"/>
    <n v="0"/>
    <m/>
    <m/>
    <s v="Absent"/>
    <s v="Evening"/>
    <s v="Office"/>
    <n v="0"/>
  </r>
  <r>
    <s v="E1049"/>
    <s v="Employee_49"/>
    <x v="2"/>
    <d v="2024-03-09T00:00:00"/>
    <x v="0"/>
    <n v="2024"/>
    <n v="1"/>
    <n v="1"/>
    <d v="1899-12-30T08:31:00"/>
    <d v="1899-12-30T18:04:00"/>
    <s v="Late"/>
    <s v="Evening"/>
    <s v="Office"/>
    <n v="0"/>
  </r>
  <r>
    <s v="E1001"/>
    <s v="Employee_1"/>
    <x v="2"/>
    <d v="2024-10-02T00:00:00"/>
    <x v="7"/>
    <n v="2024"/>
    <n v="0"/>
    <n v="0"/>
    <m/>
    <m/>
    <s v="Absent"/>
    <s v="Morning"/>
    <s v="Remote"/>
    <n v="0"/>
  </r>
  <r>
    <s v="E1022"/>
    <s v="Employee_22"/>
    <x v="4"/>
    <d v="2024-09-03T00:00:00"/>
    <x v="3"/>
    <n v="2024"/>
    <n v="0"/>
    <n v="0"/>
    <m/>
    <m/>
    <s v="Absent"/>
    <s v="Evening"/>
    <s v="Office"/>
    <n v="0"/>
  </r>
  <r>
    <s v="E1030"/>
    <s v="Employee_30"/>
    <x v="1"/>
    <d v="2024-03-30T00:00:00"/>
    <x v="0"/>
    <n v="2024"/>
    <n v="1"/>
    <n v="1"/>
    <d v="1899-12-30T09:58:00"/>
    <d v="1899-12-30T17:44:00"/>
    <s v="Late"/>
    <s v="Evening"/>
    <s v="Office"/>
    <n v="0"/>
  </r>
  <r>
    <s v="E1018"/>
    <s v="Employee_18"/>
    <x v="1"/>
    <d v="2024-01-11T00:00:00"/>
    <x v="2"/>
    <n v="2024"/>
    <n v="1"/>
    <n v="0"/>
    <d v="1899-12-30T10:30:00"/>
    <d v="1899-12-30T16:35:00"/>
    <s v="Present"/>
    <s v="Evening"/>
    <s v="Remote"/>
    <n v="0"/>
  </r>
  <r>
    <s v="E1053"/>
    <s v="Employee_53"/>
    <x v="1"/>
    <d v="2024-03-17T00:00:00"/>
    <x v="0"/>
    <n v="2024"/>
    <n v="1"/>
    <n v="0"/>
    <d v="1899-12-30T08:56:00"/>
    <d v="1899-12-30T16:18:00"/>
    <s v="Work From Home"/>
    <s v="Evening"/>
    <s v="Remote"/>
    <n v="0"/>
  </r>
  <r>
    <s v="E1019"/>
    <s v="Employee_19"/>
    <x v="3"/>
    <d v="2024-01-23T00:00:00"/>
    <x v="2"/>
    <n v="2024"/>
    <n v="1"/>
    <n v="0"/>
    <d v="1899-12-30T10:50:00"/>
    <d v="1899-12-30T20:51:00"/>
    <s v="Work From Home"/>
    <s v="Evening"/>
    <s v="Remote"/>
    <n v="0"/>
  </r>
  <r>
    <s v="E1037"/>
    <s v="Employee_37"/>
    <x v="1"/>
    <d v="2024-01-23T00:00:00"/>
    <x v="2"/>
    <n v="2024"/>
    <n v="1"/>
    <n v="1"/>
    <d v="1899-12-30T10:33:00"/>
    <d v="1899-12-30T16:13:00"/>
    <s v="Late"/>
    <s v="Evening"/>
    <s v="Office"/>
    <n v="0"/>
  </r>
  <r>
    <s v="E1003"/>
    <s v="Employee_3"/>
    <x v="2"/>
    <d v="2024-02-02T00:00:00"/>
    <x v="5"/>
    <n v="2024"/>
    <n v="1"/>
    <n v="0"/>
    <d v="1899-12-30T11:35:00"/>
    <d v="1899-12-30T19:57:00"/>
    <s v="Work From Home"/>
    <s v="Morning"/>
    <s v="Office"/>
    <n v="0"/>
  </r>
  <r>
    <s v="E1023"/>
    <s v="Employee_23"/>
    <x v="2"/>
    <d v="2024-02-17T00:00:00"/>
    <x v="5"/>
    <n v="2024"/>
    <n v="1"/>
    <n v="0"/>
    <d v="1899-12-30T08:34:00"/>
    <d v="1899-12-30T18:07:00"/>
    <s v="Present"/>
    <s v="Morning"/>
    <s v="Remote"/>
    <n v="0"/>
  </r>
  <r>
    <s v="E1059"/>
    <s v="Employee_59"/>
    <x v="1"/>
    <d v="2024-03-20T00:00:00"/>
    <x v="0"/>
    <n v="2024"/>
    <n v="1"/>
    <n v="0"/>
    <d v="1899-12-30T11:53:00"/>
    <d v="1899-12-30T18:24:00"/>
    <s v="Work From Home"/>
    <s v="Morning"/>
    <s v="Remote"/>
    <n v="0"/>
  </r>
  <r>
    <s v="E1020"/>
    <s v="Employee_20"/>
    <x v="2"/>
    <d v="2024-01-31T00:00:00"/>
    <x v="2"/>
    <n v="2024"/>
    <n v="1"/>
    <n v="0"/>
    <d v="1899-12-30T08:33:00"/>
    <d v="1899-12-30T20:40:00"/>
    <s v="Present"/>
    <s v="Evening"/>
    <s v="Remote"/>
    <n v="0"/>
  </r>
  <r>
    <s v="E1038"/>
    <s v="Employee_38"/>
    <x v="1"/>
    <d v="2024-03-14T00:00:00"/>
    <x v="0"/>
    <n v="2024"/>
    <n v="1"/>
    <n v="0"/>
    <d v="1899-12-30T11:07:00"/>
    <d v="1899-12-30T20:30:00"/>
    <s v="Work From Home"/>
    <s v="Evening"/>
    <s v="Remote"/>
    <n v="0"/>
  </r>
  <r>
    <s v="E1013"/>
    <s v="Employee_13"/>
    <x v="1"/>
    <d v="2024-02-13T00:00:00"/>
    <x v="5"/>
    <n v="2024"/>
    <n v="1"/>
    <n v="0"/>
    <d v="1899-12-30T11:07:00"/>
    <d v="1899-12-30T19:01:00"/>
    <s v="Work From Home"/>
    <s v="Evening"/>
    <s v="Remote"/>
    <n v="0"/>
  </r>
  <r>
    <s v="E1018"/>
    <s v="Employee_18"/>
    <x v="0"/>
    <d v="2024-03-01T00:00:00"/>
    <x v="0"/>
    <n v="2024"/>
    <n v="1"/>
    <n v="0"/>
    <d v="1899-12-30T10:22:00"/>
    <d v="1899-12-30T16:28:00"/>
    <s v="Work From Home"/>
    <s v="Morning"/>
    <s v="Office"/>
    <n v="0"/>
  </r>
  <r>
    <s v="E1037"/>
    <s v="Employee_37"/>
    <x v="0"/>
    <d v="2024-02-20T00:00:00"/>
    <x v="5"/>
    <n v="2024"/>
    <n v="1"/>
    <n v="0"/>
    <d v="1899-12-30T11:33:00"/>
    <d v="1899-12-30T17:15:00"/>
    <s v="Work From Home"/>
    <s v="Evening"/>
    <s v="Office"/>
    <n v="0"/>
  </r>
  <r>
    <s v="E1009"/>
    <s v="Employee_9"/>
    <x v="2"/>
    <d v="2024-08-03T00:00:00"/>
    <x v="9"/>
    <n v="2024"/>
    <n v="1"/>
    <n v="0"/>
    <d v="1899-12-30T11:07:00"/>
    <d v="1899-12-30T16:39:00"/>
    <s v="Work From Home"/>
    <s v="Morning"/>
    <s v="Office"/>
    <n v="0"/>
  </r>
  <r>
    <s v="E1028"/>
    <s v="Employee_28"/>
    <x v="1"/>
    <d v="2024-01-01T00:00:00"/>
    <x v="2"/>
    <n v="2024"/>
    <n v="1"/>
    <n v="1"/>
    <d v="1899-12-30T11:22:00"/>
    <d v="1899-12-30T19:32:00"/>
    <s v="Late"/>
    <s v="Evening"/>
    <s v="Office"/>
    <n v="0"/>
  </r>
  <r>
    <s v="E1052"/>
    <s v="Employee_52"/>
    <x v="1"/>
    <d v="2024-03-01T00:00:00"/>
    <x v="0"/>
    <n v="2024"/>
    <n v="1"/>
    <n v="0"/>
    <d v="1899-12-30T08:42:00"/>
    <d v="1899-12-30T19:59:00"/>
    <s v="Present"/>
    <s v="Evening"/>
    <s v="Office"/>
    <n v="0"/>
  </r>
  <r>
    <s v="E1053"/>
    <s v="Employee_53"/>
    <x v="2"/>
    <d v="2024-02-17T00:00:00"/>
    <x v="5"/>
    <n v="2024"/>
    <n v="1"/>
    <n v="0"/>
    <d v="1899-12-30T09:02:00"/>
    <d v="1899-12-30T19:19:00"/>
    <s v="Present"/>
    <s v="Morning"/>
    <s v="Office"/>
    <n v="0"/>
  </r>
  <r>
    <s v="E1035"/>
    <s v="Employee_35"/>
    <x v="1"/>
    <d v="2024-01-30T00:00:00"/>
    <x v="2"/>
    <n v="2024"/>
    <n v="1"/>
    <n v="0"/>
    <d v="1899-12-30T11:20:00"/>
    <d v="1899-12-30T16:42:00"/>
    <s v="Work From Home"/>
    <s v="Morning"/>
    <s v="Office"/>
    <n v="0"/>
  </r>
  <r>
    <s v="E1040"/>
    <s v="Employee_40"/>
    <x v="3"/>
    <d v="2024-03-24T00:00:00"/>
    <x v="0"/>
    <n v="2024"/>
    <n v="1"/>
    <n v="0"/>
    <d v="1899-12-30T10:20:00"/>
    <d v="1899-12-30T17:16:00"/>
    <s v="Work From Home"/>
    <s v="Evening"/>
    <s v="Remote"/>
    <n v="0"/>
  </r>
  <r>
    <s v="E1019"/>
    <s v="Employee_19"/>
    <x v="2"/>
    <d v="2024-03-26T00:00:00"/>
    <x v="0"/>
    <n v="2024"/>
    <n v="1"/>
    <n v="0"/>
    <d v="1899-12-30T08:21:00"/>
    <d v="1899-12-30T17:04:00"/>
    <s v="Present"/>
    <s v="Evening"/>
    <s v="Office"/>
    <n v="0"/>
  </r>
  <r>
    <s v="E1014"/>
    <s v="Employee_14"/>
    <x v="1"/>
    <d v="2024-05-01T00:00:00"/>
    <x v="6"/>
    <n v="2024"/>
    <n v="1"/>
    <n v="1"/>
    <d v="1899-12-30T10:17:00"/>
    <d v="1899-12-30T17:11:00"/>
    <s v="Late"/>
    <s v="Evening"/>
    <s v="Office"/>
    <n v="0"/>
  </r>
  <r>
    <s v="E1055"/>
    <s v="Employee_55"/>
    <x v="3"/>
    <d v="2024-10-02T00:00:00"/>
    <x v="7"/>
    <n v="2024"/>
    <n v="1"/>
    <n v="1"/>
    <d v="1899-12-30T10:52:00"/>
    <d v="1899-12-30T19:59:00"/>
    <s v="Late"/>
    <s v="Evening"/>
    <s v="Office"/>
    <n v="0"/>
  </r>
  <r>
    <s v="E1059"/>
    <s v="Employee_59"/>
    <x v="3"/>
    <d v="2024-01-22T00:00:00"/>
    <x v="2"/>
    <n v="2024"/>
    <n v="1"/>
    <n v="0"/>
    <d v="1899-12-30T11:45:00"/>
    <d v="1899-12-30T18:09:00"/>
    <s v="Work From Home"/>
    <s v="Morning"/>
    <s v="Remote"/>
    <n v="0"/>
  </r>
  <r>
    <s v="E1011"/>
    <s v="Employee_11"/>
    <x v="1"/>
    <d v="2024-02-19T00:00:00"/>
    <x v="5"/>
    <n v="2024"/>
    <n v="1"/>
    <n v="0"/>
    <d v="1899-12-30T09:04:00"/>
    <d v="1899-12-30T20:27:00"/>
    <s v="Work From Home"/>
    <s v="Evening"/>
    <s v="Office"/>
    <n v="0"/>
  </r>
  <r>
    <s v="E1004"/>
    <s v="Employee_4"/>
    <x v="1"/>
    <d v="2024-03-10T00:00:00"/>
    <x v="0"/>
    <n v="2024"/>
    <n v="1"/>
    <n v="0"/>
    <d v="1899-12-30T11:00:00"/>
    <d v="1899-12-30T16:29:00"/>
    <s v="Present"/>
    <s v="Morning"/>
    <s v="Remote"/>
    <n v="0"/>
  </r>
  <r>
    <s v="E1032"/>
    <s v="Employee_32"/>
    <x v="1"/>
    <d v="2024-02-16T00:00:00"/>
    <x v="5"/>
    <n v="2024"/>
    <n v="1"/>
    <n v="0"/>
    <d v="1899-12-30T09:11:00"/>
    <d v="1899-12-30T18:23:00"/>
    <s v="Work From Home"/>
    <s v="Evening"/>
    <s v="Office"/>
    <n v="0"/>
  </r>
  <r>
    <s v="E1019"/>
    <s v="Employee_19"/>
    <x v="1"/>
    <d v="2024-01-29T00:00:00"/>
    <x v="2"/>
    <n v="2024"/>
    <n v="1"/>
    <n v="1"/>
    <d v="1899-12-30T08:07:00"/>
    <d v="1899-12-30T16:54:00"/>
    <s v="Late"/>
    <s v="Morning"/>
    <s v="Office"/>
    <n v="0"/>
  </r>
  <r>
    <s v="E1046"/>
    <s v="Employee_46"/>
    <x v="3"/>
    <d v="2024-03-22T00:00:00"/>
    <x v="0"/>
    <n v="2024"/>
    <n v="0"/>
    <n v="0"/>
    <m/>
    <m/>
    <s v="Absent"/>
    <s v="Morning"/>
    <s v="Office"/>
    <n v="0"/>
  </r>
  <r>
    <s v="E1019"/>
    <s v="Employee_19"/>
    <x v="0"/>
    <d v="2024-01-30T00:00:00"/>
    <x v="2"/>
    <n v="2024"/>
    <n v="1"/>
    <n v="0"/>
    <d v="1899-12-30T11:58:00"/>
    <d v="1899-12-30T18:35:00"/>
    <s v="Work From Home"/>
    <s v="Evening"/>
    <s v="Office"/>
    <n v="0"/>
  </r>
  <r>
    <s v="E1022"/>
    <s v="Employee_22"/>
    <x v="0"/>
    <d v="2024-02-28T00:00:00"/>
    <x v="5"/>
    <n v="2024"/>
    <n v="0"/>
    <n v="0"/>
    <m/>
    <m/>
    <s v="Absent"/>
    <s v="Evening"/>
    <s v="Remote"/>
    <n v="0"/>
  </r>
  <r>
    <s v="E1038"/>
    <s v="Employee_38"/>
    <x v="4"/>
    <d v="2024-01-07T00:00:00"/>
    <x v="2"/>
    <n v="2024"/>
    <n v="0"/>
    <n v="0"/>
    <m/>
    <m/>
    <s v="Absent"/>
    <s v="Morning"/>
    <s v="Office"/>
    <n v="0"/>
  </r>
  <r>
    <s v="E1003"/>
    <s v="Employee_3"/>
    <x v="4"/>
    <d v="2024-01-18T00:00:00"/>
    <x v="2"/>
    <n v="2024"/>
    <n v="1"/>
    <n v="0"/>
    <d v="1899-12-30T09:28:00"/>
    <d v="1899-12-30T18:00:00"/>
    <s v="Present"/>
    <s v="Evening"/>
    <s v="Office"/>
    <n v="0"/>
  </r>
  <r>
    <s v="E1041"/>
    <s v="Employee_41"/>
    <x v="0"/>
    <d v="2024-02-07T00:00:00"/>
    <x v="5"/>
    <n v="2024"/>
    <n v="0"/>
    <n v="0"/>
    <m/>
    <m/>
    <s v="Absent"/>
    <s v="Morning"/>
    <s v="Office"/>
    <n v="0"/>
  </r>
  <r>
    <s v="E1014"/>
    <s v="Employee_14"/>
    <x v="2"/>
    <d v="2024-01-30T00:00:00"/>
    <x v="2"/>
    <n v="2024"/>
    <n v="1"/>
    <n v="1"/>
    <d v="1899-12-30T11:32:00"/>
    <d v="1899-12-30T16:29:00"/>
    <s v="Late"/>
    <s v="Morning"/>
    <s v="Office"/>
    <n v="0"/>
  </r>
  <r>
    <s v="E1043"/>
    <s v="Employee_43"/>
    <x v="3"/>
    <d v="2024-01-31T00:00:00"/>
    <x v="2"/>
    <n v="2024"/>
    <n v="1"/>
    <n v="1"/>
    <d v="1899-12-30T10:15:00"/>
    <d v="1899-12-30T16:32:00"/>
    <s v="Late"/>
    <s v="Morning"/>
    <s v="Remote"/>
    <n v="0"/>
  </r>
  <r>
    <s v="E1040"/>
    <s v="Employee_40"/>
    <x v="4"/>
    <d v="2024-03-22T00:00:00"/>
    <x v="0"/>
    <n v="2024"/>
    <n v="1"/>
    <n v="0"/>
    <d v="1899-12-30T08:38:00"/>
    <d v="1899-12-30T16:56:00"/>
    <s v="Present"/>
    <s v="Evening"/>
    <s v="Office"/>
    <n v="0"/>
  </r>
  <r>
    <s v="E1036"/>
    <s v="Employee_36"/>
    <x v="0"/>
    <d v="2024-06-01T00:00:00"/>
    <x v="11"/>
    <n v="2024"/>
    <n v="0"/>
    <n v="0"/>
    <m/>
    <m/>
    <s v="Absent"/>
    <s v="Morning"/>
    <s v="Office"/>
    <n v="0"/>
  </r>
  <r>
    <s v="E1046"/>
    <s v="Employee_46"/>
    <x v="4"/>
    <d v="2024-02-28T00:00:00"/>
    <x v="5"/>
    <n v="2024"/>
    <n v="0"/>
    <n v="0"/>
    <m/>
    <m/>
    <s v="Absent"/>
    <s v="Evening"/>
    <s v="Remote"/>
    <n v="0"/>
  </r>
  <r>
    <s v="E1030"/>
    <s v="Employee_30"/>
    <x v="1"/>
    <d v="2024-05-01T00:00:00"/>
    <x v="6"/>
    <n v="2024"/>
    <n v="1"/>
    <n v="0"/>
    <d v="1899-12-30T10:53:00"/>
    <d v="1899-12-30T17:44:00"/>
    <s v="Work From Home"/>
    <s v="Evening"/>
    <s v="Remote"/>
    <n v="0"/>
  </r>
  <r>
    <s v="E1022"/>
    <s v="Employee_22"/>
    <x v="1"/>
    <d v="2024-03-04T00:00:00"/>
    <x v="0"/>
    <n v="2024"/>
    <n v="1"/>
    <n v="0"/>
    <d v="1899-12-30T09:14:00"/>
    <d v="1899-12-30T18:28:00"/>
    <s v="Work From Home"/>
    <s v="Morning"/>
    <s v="Remote"/>
    <n v="0"/>
  </r>
  <r>
    <s v="E1013"/>
    <s v="Employee_13"/>
    <x v="1"/>
    <d v="2024-03-15T00:00:00"/>
    <x v="0"/>
    <n v="2024"/>
    <n v="0"/>
    <n v="0"/>
    <m/>
    <m/>
    <s v="Absent"/>
    <s v="Morning"/>
    <s v="Remote"/>
    <n v="0"/>
  </r>
  <r>
    <s v="E1046"/>
    <s v="Employee_46"/>
    <x v="4"/>
    <d v="2024-10-03T00:00:00"/>
    <x v="7"/>
    <n v="2024"/>
    <n v="1"/>
    <n v="0"/>
    <d v="1899-12-30T09:22:00"/>
    <d v="1899-12-30T20:29:00"/>
    <s v="Present"/>
    <s v="Evening"/>
    <s v="Remote"/>
    <n v="0"/>
  </r>
  <r>
    <s v="E1027"/>
    <s v="Employee_27"/>
    <x v="2"/>
    <d v="2024-02-12T00:00:00"/>
    <x v="5"/>
    <n v="2024"/>
    <n v="1"/>
    <n v="0"/>
    <d v="1899-12-30T09:01:00"/>
    <d v="1899-12-30T20:20:00"/>
    <s v="Work From Home"/>
    <s v="Morning"/>
    <s v="Office"/>
    <n v="0"/>
  </r>
  <r>
    <s v="E1049"/>
    <s v="Employee_49"/>
    <x v="0"/>
    <d v="2024-01-16T00:00:00"/>
    <x v="2"/>
    <n v="2024"/>
    <n v="1"/>
    <n v="0"/>
    <d v="1899-12-30T11:17:00"/>
    <d v="1899-12-30T18:50:00"/>
    <s v="Present"/>
    <s v="Evening"/>
    <s v="Office"/>
    <n v="0"/>
  </r>
  <r>
    <s v="E1048"/>
    <s v="Employee_48"/>
    <x v="1"/>
    <d v="2024-02-27T00:00:00"/>
    <x v="5"/>
    <n v="2024"/>
    <n v="1"/>
    <n v="1"/>
    <d v="1899-12-30T11:31:00"/>
    <d v="1899-12-30T16:11:00"/>
    <s v="Late"/>
    <s v="Evening"/>
    <s v="Remote"/>
    <n v="0"/>
  </r>
  <r>
    <s v="E1016"/>
    <s v="Employee_16"/>
    <x v="3"/>
    <d v="2024-03-01T00:00:00"/>
    <x v="0"/>
    <n v="2024"/>
    <n v="1"/>
    <n v="0"/>
    <d v="1899-12-30T10:01:00"/>
    <d v="1899-12-30T16:35:00"/>
    <s v="Present"/>
    <s v="Morning"/>
    <s v="Remote"/>
    <n v="0"/>
  </r>
  <r>
    <s v="E1006"/>
    <s v="Employee_6"/>
    <x v="1"/>
    <d v="2024-01-11T00:00:00"/>
    <x v="2"/>
    <n v="2024"/>
    <n v="1"/>
    <n v="0"/>
    <d v="1899-12-30T10:13:00"/>
    <d v="1899-12-30T19:49:00"/>
    <s v="Present"/>
    <s v="Morning"/>
    <s v="Office"/>
    <n v="0"/>
  </r>
  <r>
    <s v="E1008"/>
    <s v="Employee_8"/>
    <x v="0"/>
    <d v="2024-03-17T00:00:00"/>
    <x v="0"/>
    <n v="2024"/>
    <n v="1"/>
    <n v="1"/>
    <d v="1899-12-30T10:53:00"/>
    <d v="1899-12-30T18:30:00"/>
    <s v="Late"/>
    <s v="Evening"/>
    <s v="Remote"/>
    <n v="0"/>
  </r>
  <r>
    <s v="E1044"/>
    <s v="Employee_44"/>
    <x v="1"/>
    <d v="2024-01-24T00:00:00"/>
    <x v="2"/>
    <n v="2024"/>
    <n v="1"/>
    <n v="0"/>
    <d v="1899-12-30T10:08:00"/>
    <d v="1899-12-30T19:34:00"/>
    <s v="Work From Home"/>
    <s v="Morning"/>
    <s v="Office"/>
    <n v="0"/>
  </r>
  <r>
    <s v="E1050"/>
    <s v="Employee_50"/>
    <x v="3"/>
    <d v="2024-02-24T00:00:00"/>
    <x v="5"/>
    <n v="2024"/>
    <n v="0"/>
    <n v="0"/>
    <m/>
    <m/>
    <s v="Absent"/>
    <s v="Evening"/>
    <s v="Remote"/>
    <n v="0"/>
  </r>
  <r>
    <s v="E1050"/>
    <s v="Employee_50"/>
    <x v="3"/>
    <d v="2024-12-02T00:00:00"/>
    <x v="8"/>
    <n v="2024"/>
    <n v="1"/>
    <n v="0"/>
    <d v="1899-12-30T10:33:00"/>
    <d v="1899-12-30T18:07:00"/>
    <s v="Present"/>
    <s v="Evening"/>
    <s v="Office"/>
    <n v="0"/>
  </r>
  <r>
    <s v="E1044"/>
    <s v="Employee_44"/>
    <x v="2"/>
    <d v="2024-02-03T00:00:00"/>
    <x v="5"/>
    <n v="2024"/>
    <n v="1"/>
    <n v="1"/>
    <d v="1899-12-30T10:37:00"/>
    <d v="1899-12-30T19:57:00"/>
    <s v="Late"/>
    <s v="Evening"/>
    <s v="Office"/>
    <n v="0"/>
  </r>
  <r>
    <s v="E1050"/>
    <s v="Employee_50"/>
    <x v="2"/>
    <d v="2024-03-10T00:00:00"/>
    <x v="0"/>
    <n v="2024"/>
    <n v="1"/>
    <n v="1"/>
    <d v="1899-12-30T10:20:00"/>
    <d v="1899-12-30T17:46:00"/>
    <s v="Late"/>
    <s v="Morning"/>
    <s v="Remote"/>
    <n v="0"/>
  </r>
  <r>
    <s v="E1052"/>
    <s v="Employee_52"/>
    <x v="1"/>
    <d v="2024-01-16T00:00:00"/>
    <x v="2"/>
    <n v="2024"/>
    <n v="1"/>
    <n v="1"/>
    <d v="1899-12-30T11:35:00"/>
    <d v="1899-12-30T20:20:00"/>
    <s v="Late"/>
    <s v="Morning"/>
    <s v="Remote"/>
    <n v="0"/>
  </r>
  <r>
    <s v="E1056"/>
    <s v="Employee_56"/>
    <x v="0"/>
    <d v="2024-01-15T00:00:00"/>
    <x v="2"/>
    <n v="2024"/>
    <n v="1"/>
    <n v="0"/>
    <d v="1899-12-30T11:20:00"/>
    <d v="1899-12-30T20:28:00"/>
    <s v="Work From Home"/>
    <s v="Evening"/>
    <s v="Office"/>
    <n v="0"/>
  </r>
  <r>
    <s v="E1005"/>
    <s v="Employee_5"/>
    <x v="1"/>
    <d v="2024-09-01T00:00:00"/>
    <x v="3"/>
    <n v="2024"/>
    <n v="1"/>
    <n v="0"/>
    <d v="1899-12-30T11:26:00"/>
    <d v="1899-12-30T19:54:00"/>
    <s v="Work From Home"/>
    <s v="Evening"/>
    <s v="Office"/>
    <n v="0"/>
  </r>
  <r>
    <s v="E1003"/>
    <s v="Employee_3"/>
    <x v="0"/>
    <d v="2024-02-01T00:00:00"/>
    <x v="5"/>
    <n v="2024"/>
    <n v="1"/>
    <n v="0"/>
    <d v="1899-12-30T11:23:00"/>
    <d v="1899-12-30T20:38:00"/>
    <s v="Present"/>
    <s v="Morning"/>
    <s v="Office"/>
    <n v="0"/>
  </r>
  <r>
    <s v="E1052"/>
    <s v="Employee_52"/>
    <x v="3"/>
    <d v="2024-01-24T00:00:00"/>
    <x v="2"/>
    <n v="2024"/>
    <n v="1"/>
    <n v="0"/>
    <d v="1899-12-30T09:17:00"/>
    <d v="1899-12-30T19:31:00"/>
    <s v="Work From Home"/>
    <s v="Evening"/>
    <s v="Office"/>
    <n v="0"/>
  </r>
  <r>
    <s v="E1012"/>
    <s v="Employee_12"/>
    <x v="2"/>
    <d v="2024-10-02T00:00:00"/>
    <x v="7"/>
    <n v="2024"/>
    <n v="1"/>
    <n v="0"/>
    <d v="1899-12-30T09:23:00"/>
    <d v="1899-12-30T16:33:00"/>
    <s v="Present"/>
    <s v="Morning"/>
    <s v="Remote"/>
    <n v="0"/>
  </r>
  <r>
    <s v="E1032"/>
    <s v="Employee_32"/>
    <x v="0"/>
    <d v="2024-01-29T00:00:00"/>
    <x v="2"/>
    <n v="2024"/>
    <n v="1"/>
    <n v="1"/>
    <d v="1899-12-30T08:49:00"/>
    <d v="1899-12-30T17:36:00"/>
    <s v="Late"/>
    <s v="Evening"/>
    <s v="Office"/>
    <n v="0"/>
  </r>
  <r>
    <s v="E1027"/>
    <s v="Employee_27"/>
    <x v="2"/>
    <d v="2024-03-03T00:00:00"/>
    <x v="0"/>
    <n v="2024"/>
    <n v="1"/>
    <n v="0"/>
    <d v="1899-12-30T11:42:00"/>
    <d v="1899-12-30T18:56:00"/>
    <s v="Present"/>
    <s v="Morning"/>
    <s v="Office"/>
    <n v="0"/>
  </r>
  <r>
    <s v="E1022"/>
    <s v="Employee_22"/>
    <x v="0"/>
    <d v="2024-08-01T00:00:00"/>
    <x v="9"/>
    <n v="2024"/>
    <n v="1"/>
    <n v="1"/>
    <d v="1899-12-30T08:39:00"/>
    <d v="1899-12-30T18:38:00"/>
    <s v="Late"/>
    <s v="Morning"/>
    <s v="Office"/>
    <n v="0"/>
  </r>
  <r>
    <s v="E1058"/>
    <s v="Employee_58"/>
    <x v="2"/>
    <d v="2024-01-26T00:00:00"/>
    <x v="2"/>
    <n v="2024"/>
    <n v="1"/>
    <n v="1"/>
    <d v="1899-12-30T09:39:00"/>
    <d v="1899-12-30T18:58:00"/>
    <s v="Late"/>
    <s v="Morning"/>
    <s v="Office"/>
    <n v="0"/>
  </r>
  <r>
    <s v="E1052"/>
    <s v="Employee_52"/>
    <x v="3"/>
    <d v="2024-02-24T00:00:00"/>
    <x v="5"/>
    <n v="2024"/>
    <n v="1"/>
    <n v="1"/>
    <d v="1899-12-30T10:29:00"/>
    <d v="1899-12-30T17:59:00"/>
    <s v="Late"/>
    <s v="Morning"/>
    <s v="Office"/>
    <n v="0"/>
  </r>
  <r>
    <s v="E1015"/>
    <s v="Employee_15"/>
    <x v="2"/>
    <d v="2024-01-30T00:00:00"/>
    <x v="2"/>
    <n v="2024"/>
    <n v="0"/>
    <n v="0"/>
    <m/>
    <m/>
    <s v="Absent"/>
    <s v="Morning"/>
    <s v="Office"/>
    <n v="0"/>
  </r>
  <r>
    <s v="E1048"/>
    <s v="Employee_48"/>
    <x v="1"/>
    <d v="2024-02-15T00:00:00"/>
    <x v="5"/>
    <n v="2024"/>
    <n v="1"/>
    <n v="0"/>
    <d v="1899-12-30T11:32:00"/>
    <d v="1899-12-30T17:00:00"/>
    <s v="Present"/>
    <s v="Evening"/>
    <s v="Remote"/>
    <n v="0"/>
  </r>
  <r>
    <s v="E1044"/>
    <s v="Employee_44"/>
    <x v="4"/>
    <d v="2024-01-27T00:00:00"/>
    <x v="2"/>
    <n v="2024"/>
    <n v="0"/>
    <n v="0"/>
    <m/>
    <m/>
    <s v="Absent"/>
    <s v="Evening"/>
    <s v="Remote"/>
    <n v="0"/>
  </r>
  <r>
    <s v="E1055"/>
    <s v="Employee_55"/>
    <x v="4"/>
    <d v="2024-03-17T00:00:00"/>
    <x v="0"/>
    <n v="2024"/>
    <n v="1"/>
    <n v="1"/>
    <d v="1899-12-30T10:44:00"/>
    <d v="1899-12-30T20:21:00"/>
    <s v="Late"/>
    <s v="Morning"/>
    <s v="Remote"/>
    <n v="0"/>
  </r>
  <r>
    <s v="E1017"/>
    <s v="Employee_17"/>
    <x v="4"/>
    <d v="2024-01-18T00:00:00"/>
    <x v="2"/>
    <n v="2024"/>
    <n v="0"/>
    <n v="0"/>
    <m/>
    <m/>
    <s v="Absent"/>
    <s v="Evening"/>
    <s v="Remote"/>
    <n v="0"/>
  </r>
  <r>
    <s v="E1039"/>
    <s v="Employee_39"/>
    <x v="4"/>
    <d v="2024-01-17T00:00:00"/>
    <x v="2"/>
    <n v="2024"/>
    <n v="1"/>
    <n v="0"/>
    <d v="1899-12-30T10:11:00"/>
    <d v="1899-12-30T20:49:00"/>
    <s v="Present"/>
    <s v="Morning"/>
    <s v="Office"/>
    <n v="0"/>
  </r>
  <r>
    <s v="E1045"/>
    <s v="Employee_45"/>
    <x v="2"/>
    <d v="2024-01-30T00:00:00"/>
    <x v="2"/>
    <n v="2024"/>
    <n v="1"/>
    <n v="0"/>
    <d v="1899-12-30T11:06:00"/>
    <d v="1899-12-30T18:18:00"/>
    <s v="Work From Home"/>
    <s v="Evening"/>
    <s v="Office"/>
    <n v="0"/>
  </r>
  <r>
    <s v="E1006"/>
    <s v="Employee_6"/>
    <x v="3"/>
    <d v="2024-01-28T00:00:00"/>
    <x v="2"/>
    <n v="2024"/>
    <n v="0"/>
    <n v="0"/>
    <m/>
    <m/>
    <s v="Absent"/>
    <s v="Evening"/>
    <s v="Office"/>
    <n v="0"/>
  </r>
  <r>
    <s v="E1045"/>
    <s v="Employee_45"/>
    <x v="1"/>
    <d v="2024-02-12T00:00:00"/>
    <x v="5"/>
    <n v="2024"/>
    <n v="1"/>
    <n v="1"/>
    <d v="1899-12-30T11:41:00"/>
    <d v="1899-12-30T18:20:00"/>
    <s v="Late"/>
    <s v="Morning"/>
    <s v="Remote"/>
    <n v="0"/>
  </r>
  <r>
    <s v="E1037"/>
    <s v="Employee_37"/>
    <x v="2"/>
    <d v="2024-09-01T00:00:00"/>
    <x v="3"/>
    <n v="2024"/>
    <n v="1"/>
    <n v="0"/>
    <d v="1899-12-30T10:48:00"/>
    <d v="1899-12-30T17:10:00"/>
    <s v="Present"/>
    <s v="Morning"/>
    <s v="Remote"/>
    <n v="0"/>
  </r>
  <r>
    <s v="E1024"/>
    <s v="Employee_24"/>
    <x v="0"/>
    <d v="2024-02-27T00:00:00"/>
    <x v="5"/>
    <n v="2024"/>
    <n v="1"/>
    <n v="0"/>
    <d v="1899-12-30T11:41:00"/>
    <d v="1899-12-30T18:05:00"/>
    <s v="Work From Home"/>
    <s v="Evening"/>
    <s v="Remote"/>
    <n v="0"/>
  </r>
  <r>
    <s v="E1059"/>
    <s v="Employee_59"/>
    <x v="0"/>
    <d v="2024-03-02T00:00:00"/>
    <x v="0"/>
    <n v="2024"/>
    <n v="1"/>
    <n v="0"/>
    <d v="1899-12-30T09:31:00"/>
    <d v="1899-12-30T17:18:00"/>
    <s v="Work From Home"/>
    <s v="Morning"/>
    <s v="Office"/>
    <n v="0"/>
  </r>
  <r>
    <s v="E1036"/>
    <s v="Employee_36"/>
    <x v="2"/>
    <d v="2024-10-02T00:00:00"/>
    <x v="7"/>
    <n v="2024"/>
    <n v="1"/>
    <n v="1"/>
    <d v="1899-12-30T11:20:00"/>
    <d v="1899-12-30T17:01:00"/>
    <s v="Late"/>
    <s v="Morning"/>
    <s v="Office"/>
    <n v="0"/>
  </r>
  <r>
    <s v="E1054"/>
    <s v="Employee_54"/>
    <x v="3"/>
    <d v="2024-03-17T00:00:00"/>
    <x v="0"/>
    <n v="2024"/>
    <n v="1"/>
    <n v="1"/>
    <d v="1899-12-30T11:12:00"/>
    <d v="1899-12-30T20:28:00"/>
    <s v="Late"/>
    <s v="Morning"/>
    <s v="Remote"/>
    <n v="0"/>
  </r>
  <r>
    <s v="E1046"/>
    <s v="Employee_46"/>
    <x v="1"/>
    <d v="2024-02-23T00:00:00"/>
    <x v="5"/>
    <n v="2024"/>
    <n v="1"/>
    <n v="0"/>
    <d v="1899-12-30T11:29:00"/>
    <d v="1899-12-30T19:30:00"/>
    <s v="Present"/>
    <s v="Morning"/>
    <s v="Office"/>
    <n v="0"/>
  </r>
  <r>
    <s v="E1036"/>
    <s v="Employee_36"/>
    <x v="3"/>
    <d v="2024-01-24T00:00:00"/>
    <x v="2"/>
    <n v="2024"/>
    <n v="1"/>
    <n v="0"/>
    <d v="1899-12-30T10:11:00"/>
    <d v="1899-12-30T17:21:00"/>
    <s v="Present"/>
    <s v="Morning"/>
    <s v="Office"/>
    <n v="0"/>
  </r>
  <r>
    <s v="E1050"/>
    <s v="Employee_50"/>
    <x v="4"/>
    <d v="2024-02-14T00:00:00"/>
    <x v="5"/>
    <n v="2024"/>
    <n v="1"/>
    <n v="0"/>
    <d v="1899-12-30T10:45:00"/>
    <d v="1899-12-30T17:36:00"/>
    <s v="Work From Home"/>
    <s v="Evening"/>
    <s v="Remote"/>
    <n v="0"/>
  </r>
  <r>
    <s v="E1025"/>
    <s v="Employee_25"/>
    <x v="0"/>
    <d v="2024-08-02T00:00:00"/>
    <x v="9"/>
    <n v="2024"/>
    <n v="0"/>
    <n v="0"/>
    <m/>
    <m/>
    <s v="Absent"/>
    <s v="Morning"/>
    <s v="Office"/>
    <n v="0"/>
  </r>
  <r>
    <s v="E1006"/>
    <s v="Employee_6"/>
    <x v="4"/>
    <d v="2024-01-30T00:00:00"/>
    <x v="2"/>
    <n v="2024"/>
    <n v="1"/>
    <n v="1"/>
    <d v="1899-12-30T10:40:00"/>
    <d v="1899-12-30T17:51:00"/>
    <s v="Late"/>
    <s v="Morning"/>
    <s v="Remote"/>
    <n v="0"/>
  </r>
  <r>
    <s v="E1052"/>
    <s v="Employee_52"/>
    <x v="4"/>
    <d v="2024-01-08T00:00:00"/>
    <x v="2"/>
    <n v="2024"/>
    <n v="1"/>
    <n v="0"/>
    <d v="1899-12-30T08:52:00"/>
    <d v="1899-12-30T18:44:00"/>
    <s v="Work From Home"/>
    <s v="Morning"/>
    <s v="Remote"/>
    <n v="0"/>
  </r>
  <r>
    <s v="E1007"/>
    <s v="Employee_7"/>
    <x v="2"/>
    <d v="2024-10-02T00:00:00"/>
    <x v="7"/>
    <n v="2024"/>
    <n v="0"/>
    <n v="0"/>
    <m/>
    <m/>
    <s v="Absent"/>
    <s v="Evening"/>
    <s v="Office"/>
    <n v="0"/>
  </r>
  <r>
    <s v="E1043"/>
    <s v="Employee_43"/>
    <x v="0"/>
    <d v="2024-12-03T00:00:00"/>
    <x v="8"/>
    <n v="2024"/>
    <n v="1"/>
    <n v="0"/>
    <d v="1899-12-30T10:27:00"/>
    <d v="1899-12-30T19:18:00"/>
    <s v="Present"/>
    <s v="Evening"/>
    <s v="Remote"/>
    <n v="0"/>
  </r>
  <r>
    <s v="E1009"/>
    <s v="Employee_9"/>
    <x v="4"/>
    <d v="2024-02-20T00:00:00"/>
    <x v="5"/>
    <n v="2024"/>
    <n v="1"/>
    <n v="0"/>
    <d v="1899-12-30T08:55:00"/>
    <d v="1899-12-30T16:44:00"/>
    <s v="Present"/>
    <s v="Evening"/>
    <s v="Office"/>
    <n v="0"/>
  </r>
  <r>
    <s v="E1007"/>
    <s v="Employee_7"/>
    <x v="4"/>
    <d v="2024-03-27T00:00:00"/>
    <x v="0"/>
    <n v="2024"/>
    <n v="1"/>
    <n v="0"/>
    <d v="1899-12-30T08:41:00"/>
    <d v="1899-12-30T18:35:00"/>
    <s v="Work From Home"/>
    <s v="Morning"/>
    <s v="Office"/>
    <n v="0"/>
  </r>
  <r>
    <s v="E1014"/>
    <s v="Employee_14"/>
    <x v="0"/>
    <d v="2024-08-02T00:00:00"/>
    <x v="9"/>
    <n v="2024"/>
    <n v="1"/>
    <n v="1"/>
    <d v="1899-12-30T08:47:00"/>
    <d v="1899-12-30T18:02:00"/>
    <s v="Late"/>
    <s v="Evening"/>
    <s v="Office"/>
    <n v="0"/>
  </r>
  <r>
    <s v="E1055"/>
    <s v="Employee_55"/>
    <x v="2"/>
    <d v="2024-02-23T00:00:00"/>
    <x v="5"/>
    <n v="2024"/>
    <n v="1"/>
    <n v="1"/>
    <d v="1899-12-30T09:00:00"/>
    <d v="1899-12-30T17:43:00"/>
    <s v="Late"/>
    <s v="Evening"/>
    <s v="Remote"/>
    <n v="0"/>
  </r>
  <r>
    <s v="E1047"/>
    <s v="Employee_47"/>
    <x v="3"/>
    <d v="2024-01-31T00:00:00"/>
    <x v="2"/>
    <n v="2024"/>
    <n v="1"/>
    <n v="1"/>
    <d v="1899-12-30T08:17:00"/>
    <d v="1899-12-30T16:28:00"/>
    <s v="Late"/>
    <s v="Morning"/>
    <s v="Office"/>
    <n v="0"/>
  </r>
  <r>
    <s v="E1053"/>
    <s v="Employee_53"/>
    <x v="2"/>
    <d v="2024-03-03T00:00:00"/>
    <x v="0"/>
    <n v="2024"/>
    <n v="1"/>
    <n v="1"/>
    <d v="1899-12-30T10:33:00"/>
    <d v="1899-12-30T18:27:00"/>
    <s v="Late"/>
    <s v="Evening"/>
    <s v="Remote"/>
    <n v="0"/>
  </r>
  <r>
    <s v="E1026"/>
    <s v="Employee_26"/>
    <x v="4"/>
    <d v="2024-06-03T00:00:00"/>
    <x v="11"/>
    <n v="2024"/>
    <n v="0"/>
    <n v="0"/>
    <m/>
    <m/>
    <s v="Absent"/>
    <s v="Evening"/>
    <s v="Remote"/>
    <n v="0"/>
  </r>
  <r>
    <s v="E1003"/>
    <s v="Employee_3"/>
    <x v="4"/>
    <d v="2024-03-24T00:00:00"/>
    <x v="0"/>
    <n v="2024"/>
    <n v="1"/>
    <n v="1"/>
    <d v="1899-12-30T11:21:00"/>
    <d v="1899-12-30T20:31:00"/>
    <s v="Late"/>
    <s v="Evening"/>
    <s v="Remote"/>
    <n v="0"/>
  </r>
  <r>
    <s v="E1017"/>
    <s v="Employee_17"/>
    <x v="4"/>
    <d v="2024-10-01T00:00:00"/>
    <x v="7"/>
    <n v="2024"/>
    <n v="1"/>
    <n v="1"/>
    <d v="1899-12-30T11:43:00"/>
    <d v="1899-12-30T18:27:00"/>
    <s v="Late"/>
    <s v="Evening"/>
    <s v="Remote"/>
    <n v="0"/>
  </r>
  <r>
    <s v="E1016"/>
    <s v="Employee_16"/>
    <x v="2"/>
    <d v="2024-01-13T00:00:00"/>
    <x v="2"/>
    <n v="2024"/>
    <n v="0"/>
    <n v="0"/>
    <m/>
    <m/>
    <s v="Absent"/>
    <s v="Evening"/>
    <s v="Office"/>
    <n v="0"/>
  </r>
  <r>
    <s v="E1013"/>
    <s v="Employee_13"/>
    <x v="0"/>
    <d v="2024-01-22T00:00:00"/>
    <x v="2"/>
    <n v="2024"/>
    <n v="1"/>
    <n v="1"/>
    <d v="1899-12-30T09:23:00"/>
    <d v="1899-12-30T16:10:00"/>
    <s v="Late"/>
    <s v="Morning"/>
    <s v="Office"/>
    <n v="0"/>
  </r>
  <r>
    <s v="E1045"/>
    <s v="Employee_45"/>
    <x v="1"/>
    <d v="2024-03-01T00:00:00"/>
    <x v="0"/>
    <n v="2024"/>
    <n v="0"/>
    <n v="0"/>
    <m/>
    <m/>
    <s v="Absent"/>
    <s v="Evening"/>
    <s v="Office"/>
    <n v="0"/>
  </r>
  <r>
    <s v="E1011"/>
    <s v="Employee_11"/>
    <x v="4"/>
    <d v="2024-03-29T00:00:00"/>
    <x v="0"/>
    <n v="2024"/>
    <n v="0"/>
    <n v="0"/>
    <m/>
    <m/>
    <s v="Absent"/>
    <s v="Morning"/>
    <s v="Remote"/>
    <n v="0"/>
  </r>
  <r>
    <s v="E1018"/>
    <s v="Employee_18"/>
    <x v="1"/>
    <d v="2024-01-22T00:00:00"/>
    <x v="2"/>
    <n v="2024"/>
    <n v="1"/>
    <n v="0"/>
    <d v="1899-12-30T09:14:00"/>
    <d v="1899-12-30T18:58:00"/>
    <s v="Present"/>
    <s v="Morning"/>
    <s v="Remote"/>
    <n v="0"/>
  </r>
  <r>
    <s v="E1058"/>
    <s v="Employee_58"/>
    <x v="2"/>
    <d v="2024-03-17T00:00:00"/>
    <x v="0"/>
    <n v="2024"/>
    <n v="1"/>
    <n v="1"/>
    <d v="1899-12-30T10:14:00"/>
    <d v="1899-12-30T16:35:00"/>
    <s v="Late"/>
    <s v="Evening"/>
    <s v="Remote"/>
    <n v="0"/>
  </r>
  <r>
    <s v="E1030"/>
    <s v="Employee_30"/>
    <x v="1"/>
    <d v="2024-02-13T00:00:00"/>
    <x v="5"/>
    <n v="2024"/>
    <n v="1"/>
    <n v="1"/>
    <d v="1899-12-30T11:14:00"/>
    <d v="1899-12-30T16:16:00"/>
    <s v="Late"/>
    <s v="Evening"/>
    <s v="Remote"/>
    <n v="0"/>
  </r>
  <r>
    <s v="E1006"/>
    <s v="Employee_6"/>
    <x v="3"/>
    <d v="2024-03-19T00:00:00"/>
    <x v="0"/>
    <n v="2024"/>
    <n v="1"/>
    <n v="0"/>
    <d v="1899-12-30T08:16:00"/>
    <d v="1899-12-30T19:26:00"/>
    <s v="Work From Home"/>
    <s v="Morning"/>
    <s v="Remote"/>
    <n v="0"/>
  </r>
  <r>
    <s v="E1048"/>
    <s v="Employee_48"/>
    <x v="3"/>
    <d v="2024-11-03T00:00:00"/>
    <x v="1"/>
    <n v="2024"/>
    <n v="1"/>
    <n v="0"/>
    <d v="1899-12-30T08:16:00"/>
    <d v="1899-12-30T17:09:00"/>
    <s v="Work From Home"/>
    <s v="Evening"/>
    <s v="Remote"/>
    <n v="0"/>
  </r>
  <r>
    <s v="E1022"/>
    <s v="Employee_22"/>
    <x v="1"/>
    <d v="2024-03-16T00:00:00"/>
    <x v="0"/>
    <n v="2024"/>
    <n v="0"/>
    <n v="0"/>
    <m/>
    <m/>
    <s v="Absent"/>
    <s v="Morning"/>
    <s v="Remote"/>
    <n v="0"/>
  </r>
  <r>
    <s v="E1027"/>
    <s v="Employee_27"/>
    <x v="4"/>
    <d v="2024-03-16T00:00:00"/>
    <x v="0"/>
    <n v="2024"/>
    <n v="0"/>
    <n v="0"/>
    <m/>
    <m/>
    <s v="Absent"/>
    <s v="Morning"/>
    <s v="Remote"/>
    <n v="0"/>
  </r>
  <r>
    <s v="E1004"/>
    <s v="Employee_4"/>
    <x v="2"/>
    <d v="2024-10-02T00:00:00"/>
    <x v="7"/>
    <n v="2024"/>
    <n v="1"/>
    <n v="0"/>
    <d v="1899-12-30T10:29:00"/>
    <d v="1899-12-30T17:25:00"/>
    <s v="Present"/>
    <s v="Evening"/>
    <s v="Remote"/>
    <n v="0"/>
  </r>
  <r>
    <s v="E1045"/>
    <s v="Employee_45"/>
    <x v="4"/>
    <d v="2024-03-21T00:00:00"/>
    <x v="0"/>
    <n v="2024"/>
    <n v="1"/>
    <n v="1"/>
    <d v="1899-12-30T11:29:00"/>
    <d v="1899-12-30T18:24:00"/>
    <s v="Late"/>
    <s v="Evening"/>
    <s v="Remote"/>
    <n v="0"/>
  </r>
  <r>
    <s v="E1028"/>
    <s v="Employee_28"/>
    <x v="1"/>
    <d v="2024-02-18T00:00:00"/>
    <x v="5"/>
    <n v="2024"/>
    <n v="1"/>
    <n v="1"/>
    <d v="1899-12-30T11:08:00"/>
    <d v="1899-12-30T16:11:00"/>
    <s v="Late"/>
    <s v="Evening"/>
    <s v="Remote"/>
    <n v="0"/>
  </r>
  <r>
    <s v="E1033"/>
    <s v="Employee_33"/>
    <x v="2"/>
    <d v="2024-02-26T00:00:00"/>
    <x v="5"/>
    <n v="2024"/>
    <n v="0"/>
    <n v="0"/>
    <m/>
    <m/>
    <s v="Absent"/>
    <s v="Morning"/>
    <s v="Office"/>
    <n v="0"/>
  </r>
  <r>
    <s v="E1026"/>
    <s v="Employee_26"/>
    <x v="2"/>
    <d v="2024-03-08T00:00:00"/>
    <x v="0"/>
    <n v="2024"/>
    <n v="1"/>
    <n v="0"/>
    <d v="1899-12-30T11:46:00"/>
    <d v="1899-12-30T16:35:00"/>
    <s v="Work From Home"/>
    <s v="Evening"/>
    <s v="Remote"/>
    <n v="0"/>
  </r>
  <r>
    <s v="E1024"/>
    <s v="Employee_24"/>
    <x v="1"/>
    <d v="2024-03-21T00:00:00"/>
    <x v="0"/>
    <n v="2024"/>
    <n v="0"/>
    <n v="0"/>
    <m/>
    <m/>
    <s v="Absent"/>
    <s v="Evening"/>
    <s v="Remote"/>
    <n v="0"/>
  </r>
  <r>
    <s v="E1020"/>
    <s v="Employee_20"/>
    <x v="4"/>
    <d v="2024-02-10T00:00:00"/>
    <x v="5"/>
    <n v="2024"/>
    <n v="1"/>
    <n v="0"/>
    <d v="1899-12-30T09:59:00"/>
    <d v="1899-12-30T17:40:00"/>
    <s v="Present"/>
    <s v="Evening"/>
    <s v="Remote"/>
    <n v="0"/>
  </r>
  <r>
    <s v="E1001"/>
    <s v="Employee_1"/>
    <x v="4"/>
    <d v="2024-01-15T00:00:00"/>
    <x v="2"/>
    <n v="2024"/>
    <n v="1"/>
    <n v="0"/>
    <d v="1899-12-30T11:30:00"/>
    <d v="1899-12-30T16:59:00"/>
    <s v="Present"/>
    <s v="Evening"/>
    <s v="Remote"/>
    <n v="0"/>
  </r>
  <r>
    <s v="E1021"/>
    <s v="Employee_21"/>
    <x v="2"/>
    <d v="2024-06-03T00:00:00"/>
    <x v="11"/>
    <n v="2024"/>
    <n v="0"/>
    <n v="0"/>
    <m/>
    <m/>
    <s v="Absent"/>
    <s v="Evening"/>
    <s v="Office"/>
    <n v="0"/>
  </r>
  <r>
    <s v="E1010"/>
    <s v="Employee_10"/>
    <x v="1"/>
    <d v="2024-03-27T00:00:00"/>
    <x v="0"/>
    <n v="2024"/>
    <n v="0"/>
    <n v="0"/>
    <m/>
    <m/>
    <s v="Absent"/>
    <s v="Morning"/>
    <s v="Office"/>
    <n v="0"/>
  </r>
  <r>
    <s v="E1050"/>
    <s v="Employee_50"/>
    <x v="3"/>
    <d v="2024-01-09T00:00:00"/>
    <x v="2"/>
    <n v="2024"/>
    <n v="1"/>
    <n v="1"/>
    <d v="1899-12-30T10:17:00"/>
    <d v="1899-12-30T20:31:00"/>
    <s v="Late"/>
    <s v="Morning"/>
    <s v="Office"/>
    <n v="0"/>
  </r>
  <r>
    <s v="E1058"/>
    <s v="Employee_58"/>
    <x v="2"/>
    <d v="2024-02-13T00:00:00"/>
    <x v="5"/>
    <n v="2024"/>
    <n v="1"/>
    <n v="0"/>
    <d v="1899-12-30T11:36:00"/>
    <d v="1899-12-30T18:07:00"/>
    <s v="Present"/>
    <s v="Evening"/>
    <s v="Remote"/>
    <n v="0"/>
  </r>
  <r>
    <s v="E1003"/>
    <s v="Employee_3"/>
    <x v="2"/>
    <d v="2024-01-20T00:00:00"/>
    <x v="2"/>
    <n v="2024"/>
    <n v="0"/>
    <n v="0"/>
    <m/>
    <m/>
    <s v="Absent"/>
    <s v="Morning"/>
    <s v="Office"/>
    <n v="0"/>
  </r>
  <r>
    <s v="E1045"/>
    <s v="Employee_45"/>
    <x v="1"/>
    <d v="2024-12-03T00:00:00"/>
    <x v="8"/>
    <n v="2024"/>
    <n v="0"/>
    <n v="0"/>
    <m/>
    <m/>
    <s v="Absent"/>
    <s v="Morning"/>
    <s v="Office"/>
    <n v="0"/>
  </r>
  <r>
    <s v="E1058"/>
    <s v="Employee_58"/>
    <x v="2"/>
    <d v="2024-06-02T00:00:00"/>
    <x v="11"/>
    <n v="2024"/>
    <n v="1"/>
    <n v="1"/>
    <d v="1899-12-30T09:22:00"/>
    <d v="1899-12-30T19:29:00"/>
    <s v="Late"/>
    <s v="Evening"/>
    <s v="Remote"/>
    <n v="0"/>
  </r>
  <r>
    <s v="E1040"/>
    <s v="Employee_40"/>
    <x v="3"/>
    <d v="2024-02-24T00:00:00"/>
    <x v="5"/>
    <n v="2024"/>
    <n v="1"/>
    <n v="0"/>
    <d v="1899-12-30T11:00:00"/>
    <d v="1899-12-30T18:01:00"/>
    <s v="Work From Home"/>
    <s v="Morning"/>
    <s v="Remote"/>
    <n v="0"/>
  </r>
  <r>
    <s v="E1015"/>
    <s v="Employee_15"/>
    <x v="2"/>
    <d v="2024-01-20T00:00:00"/>
    <x v="2"/>
    <n v="2024"/>
    <n v="0"/>
    <n v="0"/>
    <m/>
    <m/>
    <s v="Absent"/>
    <s v="Morning"/>
    <s v="Office"/>
    <n v="0"/>
  </r>
  <r>
    <s v="E1046"/>
    <s v="Employee_46"/>
    <x v="3"/>
    <d v="2024-02-16T00:00:00"/>
    <x v="5"/>
    <n v="2024"/>
    <n v="0"/>
    <n v="0"/>
    <m/>
    <m/>
    <s v="Absent"/>
    <s v="Evening"/>
    <s v="Office"/>
    <n v="0"/>
  </r>
  <r>
    <s v="E1008"/>
    <s v="Employee_8"/>
    <x v="1"/>
    <d v="2024-06-03T00:00:00"/>
    <x v="11"/>
    <n v="2024"/>
    <n v="0"/>
    <n v="0"/>
    <m/>
    <m/>
    <s v="Absent"/>
    <s v="Morning"/>
    <s v="Office"/>
    <n v="0"/>
  </r>
  <r>
    <s v="E1022"/>
    <s v="Employee_22"/>
    <x v="1"/>
    <d v="2024-02-21T00:00:00"/>
    <x v="5"/>
    <n v="2024"/>
    <n v="1"/>
    <n v="1"/>
    <d v="1899-12-30T11:57:00"/>
    <d v="1899-12-30T19:35:00"/>
    <s v="Late"/>
    <s v="Morning"/>
    <s v="Remote"/>
    <n v="0"/>
  </r>
  <r>
    <s v="E1023"/>
    <s v="Employee_23"/>
    <x v="2"/>
    <d v="2024-01-15T00:00:00"/>
    <x v="2"/>
    <n v="2024"/>
    <n v="0"/>
    <n v="0"/>
    <m/>
    <m/>
    <s v="Absent"/>
    <s v="Morning"/>
    <s v="Office"/>
    <n v="0"/>
  </r>
  <r>
    <s v="E1046"/>
    <s v="Employee_46"/>
    <x v="2"/>
    <d v="2024-11-03T00:00:00"/>
    <x v="1"/>
    <n v="2024"/>
    <n v="1"/>
    <n v="1"/>
    <d v="1899-12-30T11:32:00"/>
    <d v="1899-12-30T19:11:00"/>
    <s v="Late"/>
    <s v="Morning"/>
    <s v="Remote"/>
    <n v="0"/>
  </r>
  <r>
    <s v="E1033"/>
    <s v="Employee_33"/>
    <x v="2"/>
    <d v="2024-01-16T00:00:00"/>
    <x v="2"/>
    <n v="2024"/>
    <n v="1"/>
    <n v="0"/>
    <d v="1899-12-30T11:45:00"/>
    <d v="1899-12-30T16:57:00"/>
    <s v="Work From Home"/>
    <s v="Evening"/>
    <s v="Remote"/>
    <n v="0"/>
  </r>
  <r>
    <s v="E1023"/>
    <s v="Employee_23"/>
    <x v="2"/>
    <d v="2024-03-21T00:00:00"/>
    <x v="0"/>
    <n v="2024"/>
    <n v="1"/>
    <n v="0"/>
    <d v="1899-12-30T08:35:00"/>
    <d v="1899-12-30T17:21:00"/>
    <s v="Work From Home"/>
    <s v="Morning"/>
    <s v="Office"/>
    <n v="0"/>
  </r>
  <r>
    <s v="E1024"/>
    <s v="Employee_24"/>
    <x v="3"/>
    <d v="2024-03-17T00:00:00"/>
    <x v="0"/>
    <n v="2024"/>
    <n v="1"/>
    <n v="0"/>
    <d v="1899-12-30T11:19:00"/>
    <d v="1899-12-30T19:17:00"/>
    <s v="Present"/>
    <s v="Morning"/>
    <s v="Office"/>
    <n v="0"/>
  </r>
  <r>
    <s v="E1014"/>
    <s v="Employee_14"/>
    <x v="0"/>
    <d v="2024-02-10T00:00:00"/>
    <x v="5"/>
    <n v="2024"/>
    <n v="1"/>
    <n v="0"/>
    <d v="1899-12-30T10:04:00"/>
    <d v="1899-12-30T20:02:00"/>
    <s v="Work From Home"/>
    <s v="Evening"/>
    <s v="Remote"/>
    <n v="0"/>
  </r>
  <r>
    <s v="E1043"/>
    <s v="Employee_43"/>
    <x v="4"/>
    <d v="2024-02-29T00:00:00"/>
    <x v="5"/>
    <n v="2024"/>
    <n v="1"/>
    <n v="1"/>
    <d v="1899-12-30T10:40:00"/>
    <d v="1899-12-30T18:46:00"/>
    <s v="Late"/>
    <s v="Evening"/>
    <s v="Remote"/>
    <n v="0"/>
  </r>
  <r>
    <s v="E1047"/>
    <s v="Employee_47"/>
    <x v="0"/>
    <d v="2024-03-24T00:00:00"/>
    <x v="0"/>
    <n v="2024"/>
    <n v="1"/>
    <n v="1"/>
    <d v="1899-12-30T11:02:00"/>
    <d v="1899-12-30T18:06:00"/>
    <s v="Late"/>
    <s v="Evening"/>
    <s v="Remote"/>
    <n v="0"/>
  </r>
  <r>
    <s v="E1009"/>
    <s v="Employee_9"/>
    <x v="3"/>
    <d v="2024-02-24T00:00:00"/>
    <x v="5"/>
    <n v="2024"/>
    <n v="1"/>
    <n v="0"/>
    <d v="1899-12-30T08:54:00"/>
    <d v="1899-12-30T19:41:00"/>
    <s v="Present"/>
    <s v="Morning"/>
    <s v="Remote"/>
    <n v="0"/>
  </r>
  <r>
    <s v="E1043"/>
    <s v="Employee_43"/>
    <x v="3"/>
    <d v="2024-04-02T00:00:00"/>
    <x v="10"/>
    <n v="2024"/>
    <n v="0"/>
    <n v="0"/>
    <m/>
    <m/>
    <s v="Absent"/>
    <s v="Morning"/>
    <s v="Office"/>
    <n v="0"/>
  </r>
  <r>
    <s v="E1038"/>
    <s v="Employee_38"/>
    <x v="0"/>
    <d v="2024-02-23T00:00:00"/>
    <x v="5"/>
    <n v="2024"/>
    <n v="1"/>
    <n v="1"/>
    <d v="1899-12-30T10:48:00"/>
    <d v="1899-12-30T16:44:00"/>
    <s v="Late"/>
    <s v="Morning"/>
    <s v="Office"/>
    <n v="0"/>
  </r>
  <r>
    <s v="E1035"/>
    <s v="Employee_35"/>
    <x v="2"/>
    <d v="2024-01-06T00:00:00"/>
    <x v="2"/>
    <n v="2024"/>
    <n v="1"/>
    <n v="1"/>
    <d v="1899-12-30T09:02:00"/>
    <d v="1899-12-30T16:12:00"/>
    <s v="Late"/>
    <s v="Morning"/>
    <s v="Remote"/>
    <n v="0"/>
  </r>
  <r>
    <s v="E1020"/>
    <s v="Employee_20"/>
    <x v="4"/>
    <d v="2024-01-16T00:00:00"/>
    <x v="2"/>
    <n v="2024"/>
    <n v="1"/>
    <n v="0"/>
    <d v="1899-12-30T08:29:00"/>
    <d v="1899-12-30T20:50:00"/>
    <s v="Present"/>
    <s v="Morning"/>
    <s v="Office"/>
    <n v="0"/>
  </r>
  <r>
    <s v="E1016"/>
    <s v="Employee_16"/>
    <x v="4"/>
    <d v="2024-10-03T00:00:00"/>
    <x v="7"/>
    <n v="2024"/>
    <n v="1"/>
    <n v="0"/>
    <d v="1899-12-30T11:01:00"/>
    <d v="1899-12-30T17:04:00"/>
    <s v="Work From Home"/>
    <s v="Morning"/>
    <s v="Office"/>
    <n v="0"/>
  </r>
  <r>
    <s v="E1045"/>
    <s v="Employee_45"/>
    <x v="1"/>
    <d v="2024-03-28T00:00:00"/>
    <x v="0"/>
    <n v="2024"/>
    <n v="1"/>
    <n v="0"/>
    <d v="1899-12-30T10:09:00"/>
    <d v="1899-12-30T19:00:00"/>
    <s v="Present"/>
    <s v="Evening"/>
    <s v="Office"/>
    <n v="0"/>
  </r>
  <r>
    <s v="E1032"/>
    <s v="Employee_32"/>
    <x v="2"/>
    <d v="2024-01-24T00:00:00"/>
    <x v="2"/>
    <n v="2024"/>
    <n v="0"/>
    <n v="0"/>
    <m/>
    <m/>
    <s v="Absent"/>
    <s v="Evening"/>
    <s v="Office"/>
    <n v="0"/>
  </r>
  <r>
    <s v="E1023"/>
    <s v="Employee_23"/>
    <x v="0"/>
    <d v="2024-02-13T00:00:00"/>
    <x v="5"/>
    <n v="2024"/>
    <n v="1"/>
    <n v="0"/>
    <d v="1899-12-30T11:35:00"/>
    <d v="1899-12-30T18:25:00"/>
    <s v="Present"/>
    <s v="Evening"/>
    <s v="Office"/>
    <n v="0"/>
  </r>
  <r>
    <s v="E1052"/>
    <s v="Employee_52"/>
    <x v="3"/>
    <d v="2024-02-04T00:00:00"/>
    <x v="5"/>
    <n v="2024"/>
    <n v="1"/>
    <n v="0"/>
    <d v="1899-12-30T10:06:00"/>
    <d v="1899-12-30T19:31:00"/>
    <s v="Work From Home"/>
    <s v="Morning"/>
    <s v="Remote"/>
    <n v="0"/>
  </r>
  <r>
    <s v="E1036"/>
    <s v="Employee_36"/>
    <x v="2"/>
    <d v="2024-01-25T00:00:00"/>
    <x v="2"/>
    <n v="2024"/>
    <n v="0"/>
    <n v="0"/>
    <m/>
    <m/>
    <s v="Absent"/>
    <s v="Morning"/>
    <s v="Office"/>
    <n v="0"/>
  </r>
  <r>
    <s v="E1001"/>
    <s v="Employee_1"/>
    <x v="2"/>
    <d v="2024-01-14T00:00:00"/>
    <x v="2"/>
    <n v="2024"/>
    <n v="1"/>
    <n v="1"/>
    <d v="1899-12-30T08:19:00"/>
    <d v="1899-12-30T17:23:00"/>
    <s v="Late"/>
    <s v="Morning"/>
    <s v="Office"/>
    <n v="0"/>
  </r>
  <r>
    <s v="E1022"/>
    <s v="Employee_22"/>
    <x v="3"/>
    <d v="2024-07-01T00:00:00"/>
    <x v="4"/>
    <n v="2024"/>
    <n v="1"/>
    <n v="0"/>
    <d v="1899-12-30T11:47:00"/>
    <d v="1899-12-30T20:16:00"/>
    <s v="Present"/>
    <s v="Morning"/>
    <s v="Remote"/>
    <n v="0"/>
  </r>
  <r>
    <s v="E1037"/>
    <s v="Employee_37"/>
    <x v="1"/>
    <d v="2024-01-20T00:00:00"/>
    <x v="2"/>
    <n v="2024"/>
    <n v="1"/>
    <n v="0"/>
    <d v="1899-12-30T10:22:00"/>
    <d v="1899-12-30T19:02:00"/>
    <s v="Present"/>
    <s v="Evening"/>
    <s v="Remote"/>
    <n v="0"/>
  </r>
  <r>
    <s v="E1047"/>
    <s v="Employee_47"/>
    <x v="0"/>
    <d v="2024-01-02T00:00:00"/>
    <x v="2"/>
    <n v="2024"/>
    <n v="0"/>
    <n v="0"/>
    <m/>
    <m/>
    <s v="Absent"/>
    <s v="Evening"/>
    <s v="Office"/>
    <n v="0"/>
  </r>
  <r>
    <s v="E1017"/>
    <s v="Employee_17"/>
    <x v="1"/>
    <d v="2024-02-19T00:00:00"/>
    <x v="5"/>
    <n v="2024"/>
    <n v="1"/>
    <n v="0"/>
    <d v="1899-12-30T10:40:00"/>
    <d v="1899-12-30T20:50:00"/>
    <s v="Present"/>
    <s v="Morning"/>
    <s v="Office"/>
    <n v="0"/>
  </r>
  <r>
    <s v="E1039"/>
    <s v="Employee_39"/>
    <x v="1"/>
    <d v="2024-01-08T00:00:00"/>
    <x v="2"/>
    <n v="2024"/>
    <n v="1"/>
    <n v="0"/>
    <d v="1899-12-30T11:10:00"/>
    <d v="1899-12-30T16:43:00"/>
    <s v="Work From Home"/>
    <s v="Morning"/>
    <s v="Remote"/>
    <n v="0"/>
  </r>
  <r>
    <s v="E1019"/>
    <s v="Employee_19"/>
    <x v="3"/>
    <d v="2024-02-19T00:00:00"/>
    <x v="5"/>
    <n v="2024"/>
    <n v="1"/>
    <n v="0"/>
    <d v="1899-12-30T08:17:00"/>
    <d v="1899-12-30T19:57:00"/>
    <s v="Present"/>
    <s v="Morning"/>
    <s v="Office"/>
    <n v="0"/>
  </r>
  <r>
    <s v="E1027"/>
    <s v="Employee_27"/>
    <x v="1"/>
    <d v="2024-04-02T00:00:00"/>
    <x v="10"/>
    <n v="2024"/>
    <n v="1"/>
    <n v="0"/>
    <d v="1899-12-30T10:57:00"/>
    <d v="1899-12-30T18:46:00"/>
    <s v="Work From Home"/>
    <s v="Morning"/>
    <s v="Remote"/>
    <n v="0"/>
  </r>
  <r>
    <s v="E1017"/>
    <s v="Employee_17"/>
    <x v="4"/>
    <d v="2024-01-15T00:00:00"/>
    <x v="2"/>
    <n v="2024"/>
    <n v="1"/>
    <n v="0"/>
    <d v="1899-12-30T09:50:00"/>
    <d v="1899-12-30T16:44:00"/>
    <s v="Present"/>
    <s v="Evening"/>
    <s v="Remote"/>
    <n v="0"/>
  </r>
  <r>
    <s v="E1056"/>
    <s v="Employee_56"/>
    <x v="2"/>
    <d v="2024-02-11T00:00:00"/>
    <x v="5"/>
    <n v="2024"/>
    <n v="1"/>
    <n v="0"/>
    <d v="1899-12-30T08:52:00"/>
    <d v="1899-12-30T17:34:00"/>
    <s v="Present"/>
    <s v="Evening"/>
    <s v="Remote"/>
    <n v="0"/>
  </r>
  <r>
    <s v="E1030"/>
    <s v="Employee_30"/>
    <x v="3"/>
    <d v="2024-02-21T00:00:00"/>
    <x v="5"/>
    <n v="2024"/>
    <n v="1"/>
    <n v="0"/>
    <d v="1899-12-30T10:51:00"/>
    <d v="1899-12-30T19:47:00"/>
    <s v="Work From Home"/>
    <s v="Morning"/>
    <s v="Remote"/>
    <n v="0"/>
  </r>
  <r>
    <s v="E1057"/>
    <s v="Employee_57"/>
    <x v="2"/>
    <d v="2024-09-03T00:00:00"/>
    <x v="3"/>
    <n v="2024"/>
    <n v="0"/>
    <n v="0"/>
    <m/>
    <m/>
    <s v="Absent"/>
    <s v="Evening"/>
    <s v="Office"/>
    <n v="0"/>
  </r>
  <r>
    <s v="E1014"/>
    <s v="Employee_14"/>
    <x v="0"/>
    <d v="2024-02-19T00:00:00"/>
    <x v="5"/>
    <n v="2024"/>
    <n v="1"/>
    <n v="0"/>
    <d v="1899-12-30T10:50:00"/>
    <d v="1899-12-30T20:30:00"/>
    <s v="Present"/>
    <s v="Morning"/>
    <s v="Remote"/>
    <n v="0"/>
  </r>
  <r>
    <s v="E1036"/>
    <s v="Employee_36"/>
    <x v="3"/>
    <d v="2024-02-13T00:00:00"/>
    <x v="5"/>
    <n v="2024"/>
    <n v="0"/>
    <n v="0"/>
    <m/>
    <m/>
    <s v="Absent"/>
    <s v="Evening"/>
    <s v="Remote"/>
    <n v="0"/>
  </r>
  <r>
    <s v="E1041"/>
    <s v="Employee_41"/>
    <x v="2"/>
    <d v="2024-01-13T00:00:00"/>
    <x v="2"/>
    <n v="2024"/>
    <n v="1"/>
    <n v="0"/>
    <d v="1899-12-30T09:00:00"/>
    <d v="1899-12-30T19:16:00"/>
    <s v="Work From Home"/>
    <s v="Evening"/>
    <s v="Remote"/>
    <n v="0"/>
  </r>
  <r>
    <s v="E1003"/>
    <s v="Employee_3"/>
    <x v="2"/>
    <d v="2024-01-01T00:00:00"/>
    <x v="2"/>
    <n v="2024"/>
    <n v="1"/>
    <n v="1"/>
    <d v="1899-12-30T11:53:00"/>
    <d v="1899-12-30T16:38:00"/>
    <s v="Late"/>
    <s v="Evening"/>
    <s v="Remote"/>
    <n v="0"/>
  </r>
  <r>
    <s v="E1042"/>
    <s v="Employee_42"/>
    <x v="1"/>
    <d v="2024-01-01T00:00:00"/>
    <x v="2"/>
    <n v="2024"/>
    <n v="1"/>
    <n v="0"/>
    <d v="1899-12-30T09:19:00"/>
    <d v="1899-12-30T20:56:00"/>
    <s v="Work From Home"/>
    <s v="Evening"/>
    <s v="Office"/>
    <n v="0"/>
  </r>
  <r>
    <s v="E1001"/>
    <s v="Employee_1"/>
    <x v="3"/>
    <d v="2024-01-14T00:00:00"/>
    <x v="2"/>
    <n v="2024"/>
    <n v="1"/>
    <n v="0"/>
    <d v="1899-12-30T08:11:00"/>
    <d v="1899-12-30T18:22:00"/>
    <s v="Work From Home"/>
    <s v="Evening"/>
    <s v="Office"/>
    <n v="0"/>
  </r>
  <r>
    <s v="E1011"/>
    <s v="Employee_11"/>
    <x v="1"/>
    <d v="2024-02-22T00:00:00"/>
    <x v="5"/>
    <n v="2024"/>
    <n v="1"/>
    <n v="0"/>
    <d v="1899-12-30T11:30:00"/>
    <d v="1899-12-30T16:54:00"/>
    <s v="Work From Home"/>
    <s v="Morning"/>
    <s v="Office"/>
    <n v="0"/>
  </r>
  <r>
    <s v="E1033"/>
    <s v="Employee_33"/>
    <x v="4"/>
    <d v="2024-02-18T00:00:00"/>
    <x v="5"/>
    <n v="2024"/>
    <n v="1"/>
    <n v="0"/>
    <d v="1899-12-30T08:29:00"/>
    <d v="1899-12-30T16:17:00"/>
    <s v="Work From Home"/>
    <s v="Morning"/>
    <s v="Remote"/>
    <n v="0"/>
  </r>
  <r>
    <s v="E1040"/>
    <s v="Employee_40"/>
    <x v="4"/>
    <d v="2024-03-09T00:00:00"/>
    <x v="0"/>
    <n v="2024"/>
    <n v="1"/>
    <n v="0"/>
    <d v="1899-12-30T08:00:00"/>
    <d v="1899-12-30T19:37:00"/>
    <s v="Work From Home"/>
    <s v="Evening"/>
    <s v="Office"/>
    <n v="0"/>
  </r>
  <r>
    <s v="E1048"/>
    <s v="Employee_48"/>
    <x v="0"/>
    <d v="2024-03-06T00:00:00"/>
    <x v="0"/>
    <n v="2024"/>
    <n v="0"/>
    <n v="0"/>
    <m/>
    <m/>
    <s v="Absent"/>
    <s v="Evening"/>
    <s v="Office"/>
    <n v="0"/>
  </r>
  <r>
    <s v="E1003"/>
    <s v="Employee_3"/>
    <x v="4"/>
    <d v="2024-01-18T00:00:00"/>
    <x v="2"/>
    <n v="2024"/>
    <n v="1"/>
    <n v="0"/>
    <d v="1899-12-30T09:58:00"/>
    <d v="1899-12-30T17:20:00"/>
    <s v="Work From Home"/>
    <s v="Evening"/>
    <s v="Remote"/>
    <n v="0"/>
  </r>
  <r>
    <s v="E1016"/>
    <s v="Employee_16"/>
    <x v="4"/>
    <d v="2024-03-13T00:00:00"/>
    <x v="0"/>
    <n v="2024"/>
    <n v="0"/>
    <n v="0"/>
    <m/>
    <m/>
    <s v="Absent"/>
    <s v="Morning"/>
    <s v="Office"/>
    <n v="0"/>
  </r>
  <r>
    <s v="E1048"/>
    <s v="Employee_48"/>
    <x v="4"/>
    <d v="2024-03-27T00:00:00"/>
    <x v="0"/>
    <n v="2024"/>
    <n v="1"/>
    <n v="0"/>
    <d v="1899-12-30T08:58:00"/>
    <d v="1899-12-30T19:35:00"/>
    <s v="Work From Home"/>
    <s v="Evening"/>
    <s v="Remote"/>
    <n v="0"/>
  </r>
  <r>
    <s v="E1026"/>
    <s v="Employee_26"/>
    <x v="2"/>
    <d v="2024-09-02T00:00:00"/>
    <x v="3"/>
    <n v="2024"/>
    <n v="1"/>
    <n v="1"/>
    <d v="1899-12-30T11:43:00"/>
    <d v="1899-12-30T19:49:00"/>
    <s v="Late"/>
    <s v="Morning"/>
    <s v="Office"/>
    <n v="0"/>
  </r>
  <r>
    <s v="E1037"/>
    <s v="Employee_37"/>
    <x v="0"/>
    <d v="2024-02-20T00:00:00"/>
    <x v="5"/>
    <n v="2024"/>
    <n v="1"/>
    <n v="1"/>
    <d v="1899-12-30T09:18:00"/>
    <d v="1899-12-30T19:34:00"/>
    <s v="Late"/>
    <s v="Evening"/>
    <s v="Remote"/>
    <n v="0"/>
  </r>
  <r>
    <s v="E1041"/>
    <s v="Employee_41"/>
    <x v="3"/>
    <d v="2024-05-03T00:00:00"/>
    <x v="6"/>
    <n v="2024"/>
    <n v="1"/>
    <n v="1"/>
    <d v="1899-12-30T08:05:00"/>
    <d v="1899-12-30T20:58:00"/>
    <s v="Late"/>
    <s v="Evening"/>
    <s v="Remote"/>
    <n v="0"/>
  </r>
  <r>
    <s v="E1035"/>
    <s v="Employee_35"/>
    <x v="1"/>
    <d v="2024-01-03T00:00:00"/>
    <x v="2"/>
    <n v="2024"/>
    <n v="1"/>
    <n v="1"/>
    <d v="1899-12-30T08:19:00"/>
    <d v="1899-12-30T16:20:00"/>
    <s v="Late"/>
    <s v="Morning"/>
    <s v="Remote"/>
    <n v="0"/>
  </r>
  <r>
    <s v="E1043"/>
    <s v="Employee_43"/>
    <x v="1"/>
    <d v="2024-03-17T00:00:00"/>
    <x v="0"/>
    <n v="2024"/>
    <n v="1"/>
    <n v="1"/>
    <d v="1899-12-30T09:39:00"/>
    <d v="1899-12-30T18:01:00"/>
    <s v="Late"/>
    <s v="Evening"/>
    <s v="Remote"/>
    <n v="0"/>
  </r>
  <r>
    <s v="E1021"/>
    <s v="Employee_21"/>
    <x v="2"/>
    <d v="2024-02-02T00:00:00"/>
    <x v="5"/>
    <n v="2024"/>
    <n v="1"/>
    <n v="0"/>
    <d v="1899-12-30T10:24:00"/>
    <d v="1899-12-30T18:27:00"/>
    <s v="Work From Home"/>
    <s v="Evening"/>
    <s v="Office"/>
    <n v="0"/>
  </r>
  <r>
    <s v="E1012"/>
    <s v="Employee_12"/>
    <x v="1"/>
    <d v="2024-03-03T00:00:00"/>
    <x v="0"/>
    <n v="2024"/>
    <n v="1"/>
    <n v="0"/>
    <d v="1899-12-30T10:47:00"/>
    <d v="1899-12-30T16:16:00"/>
    <s v="Present"/>
    <s v="Evening"/>
    <s v="Remote"/>
    <n v="0"/>
  </r>
  <r>
    <s v="E1014"/>
    <s v="Employee_14"/>
    <x v="0"/>
    <d v="2024-03-20T00:00:00"/>
    <x v="0"/>
    <n v="2024"/>
    <n v="0"/>
    <n v="0"/>
    <m/>
    <m/>
    <s v="Absent"/>
    <s v="Morning"/>
    <s v="Office"/>
    <n v="0"/>
  </r>
  <r>
    <s v="E1045"/>
    <s v="Employee_45"/>
    <x v="2"/>
    <d v="2024-02-15T00:00:00"/>
    <x v="5"/>
    <n v="2024"/>
    <n v="0"/>
    <n v="0"/>
    <m/>
    <m/>
    <s v="Absent"/>
    <s v="Morning"/>
    <s v="Remote"/>
    <n v="0"/>
  </r>
  <r>
    <s v="E1036"/>
    <s v="Employee_36"/>
    <x v="3"/>
    <d v="2024-01-24T00:00:00"/>
    <x v="2"/>
    <n v="2024"/>
    <n v="1"/>
    <n v="0"/>
    <d v="1899-12-30T09:29:00"/>
    <d v="1899-12-30T18:50:00"/>
    <s v="Work From Home"/>
    <s v="Morning"/>
    <s v="Remote"/>
    <n v="0"/>
  </r>
  <r>
    <s v="E1042"/>
    <s v="Employee_42"/>
    <x v="3"/>
    <d v="2024-01-13T00:00:00"/>
    <x v="2"/>
    <n v="2024"/>
    <n v="1"/>
    <n v="0"/>
    <d v="1899-12-30T10:18:00"/>
    <d v="1899-12-30T18:32:00"/>
    <s v="Work From Home"/>
    <s v="Morning"/>
    <s v="Office"/>
    <n v="0"/>
  </r>
  <r>
    <s v="E1005"/>
    <s v="Employee_5"/>
    <x v="3"/>
    <d v="2024-03-28T00:00:00"/>
    <x v="0"/>
    <n v="2024"/>
    <n v="1"/>
    <n v="1"/>
    <d v="1899-12-30T09:11:00"/>
    <d v="1899-12-30T16:10:00"/>
    <s v="Late"/>
    <s v="Evening"/>
    <s v="Office"/>
    <n v="0"/>
  </r>
  <r>
    <s v="E1046"/>
    <s v="Employee_46"/>
    <x v="1"/>
    <d v="2024-01-14T00:00:00"/>
    <x v="2"/>
    <n v="2024"/>
    <n v="0"/>
    <n v="0"/>
    <m/>
    <m/>
    <s v="Absent"/>
    <s v="Morning"/>
    <s v="Office"/>
    <n v="0"/>
  </r>
  <r>
    <s v="E1009"/>
    <s v="Employee_9"/>
    <x v="3"/>
    <d v="2024-02-03T00:00:00"/>
    <x v="5"/>
    <n v="2024"/>
    <n v="1"/>
    <n v="0"/>
    <d v="1899-12-30T11:19:00"/>
    <d v="1899-12-30T19:21:00"/>
    <s v="Present"/>
    <s v="Morning"/>
    <s v="Remote"/>
    <n v="0"/>
  </r>
  <r>
    <s v="E1001"/>
    <s v="Employee_1"/>
    <x v="2"/>
    <d v="2024-02-04T00:00:00"/>
    <x v="5"/>
    <n v="2024"/>
    <n v="0"/>
    <n v="0"/>
    <m/>
    <m/>
    <s v="Absent"/>
    <s v="Morning"/>
    <s v="Remote"/>
    <n v="0"/>
  </r>
  <r>
    <s v="E1042"/>
    <s v="Employee_42"/>
    <x v="4"/>
    <d v="2024-03-30T00:00:00"/>
    <x v="0"/>
    <n v="2024"/>
    <n v="1"/>
    <n v="1"/>
    <d v="1899-12-30T09:34:00"/>
    <d v="1899-12-30T20:36:00"/>
    <s v="Late"/>
    <s v="Evening"/>
    <s v="Office"/>
    <n v="0"/>
  </r>
  <r>
    <s v="E1016"/>
    <s v="Employee_16"/>
    <x v="4"/>
    <d v="2024-01-07T00:00:00"/>
    <x v="2"/>
    <n v="2024"/>
    <n v="1"/>
    <n v="0"/>
    <d v="1899-12-30T11:25:00"/>
    <d v="1899-12-30T20:29:00"/>
    <s v="Work From Home"/>
    <s v="Morning"/>
    <s v="Remote"/>
    <n v="0"/>
  </r>
  <r>
    <s v="E1010"/>
    <s v="Employee_10"/>
    <x v="2"/>
    <d v="2024-01-23T00:00:00"/>
    <x v="2"/>
    <n v="2024"/>
    <n v="1"/>
    <n v="0"/>
    <d v="1899-12-30T11:37:00"/>
    <d v="1899-12-30T19:52:00"/>
    <s v="Present"/>
    <s v="Morning"/>
    <s v="Office"/>
    <n v="0"/>
  </r>
  <r>
    <s v="E1035"/>
    <s v="Employee_35"/>
    <x v="3"/>
    <d v="2024-03-09T00:00:00"/>
    <x v="0"/>
    <n v="2024"/>
    <n v="0"/>
    <n v="0"/>
    <m/>
    <m/>
    <s v="Absent"/>
    <s v="Morning"/>
    <s v="Office"/>
    <n v="0"/>
  </r>
  <r>
    <s v="E1019"/>
    <s v="Employee_19"/>
    <x v="4"/>
    <d v="2024-01-03T00:00:00"/>
    <x v="2"/>
    <n v="2024"/>
    <n v="1"/>
    <n v="0"/>
    <d v="1899-12-30T08:25:00"/>
    <d v="1899-12-30T20:37:00"/>
    <s v="Work From Home"/>
    <s v="Morning"/>
    <s v="Office"/>
    <n v="0"/>
  </r>
  <r>
    <s v="E1052"/>
    <s v="Employee_52"/>
    <x v="2"/>
    <d v="2024-01-17T00:00:00"/>
    <x v="2"/>
    <n v="2024"/>
    <n v="1"/>
    <n v="0"/>
    <d v="1899-12-30T11:46:00"/>
    <d v="1899-12-30T19:55:00"/>
    <s v="Work From Home"/>
    <s v="Morning"/>
    <s v="Remote"/>
    <n v="0"/>
  </r>
  <r>
    <s v="E1015"/>
    <s v="Employee_15"/>
    <x v="2"/>
    <d v="2024-02-18T00:00:00"/>
    <x v="5"/>
    <n v="2024"/>
    <n v="1"/>
    <n v="0"/>
    <d v="1899-12-30T10:16:00"/>
    <d v="1899-12-30T17:15:00"/>
    <s v="Work From Home"/>
    <s v="Evening"/>
    <s v="Remote"/>
    <n v="0"/>
  </r>
  <r>
    <s v="E1022"/>
    <s v="Employee_22"/>
    <x v="3"/>
    <d v="2024-09-02T00:00:00"/>
    <x v="3"/>
    <n v="2024"/>
    <n v="1"/>
    <n v="1"/>
    <d v="1899-12-30T09:44:00"/>
    <d v="1899-12-30T20:53:00"/>
    <s v="Late"/>
    <s v="Evening"/>
    <s v="Remote"/>
    <n v="0"/>
  </r>
  <r>
    <s v="E1030"/>
    <s v="Employee_30"/>
    <x v="4"/>
    <d v="2024-02-14T00:00:00"/>
    <x v="5"/>
    <n v="2024"/>
    <n v="1"/>
    <n v="1"/>
    <d v="1899-12-30T09:59:00"/>
    <d v="1899-12-30T17:38:00"/>
    <s v="Late"/>
    <s v="Morning"/>
    <s v="Office"/>
    <n v="0"/>
  </r>
  <r>
    <s v="E1032"/>
    <s v="Employee_32"/>
    <x v="3"/>
    <d v="2024-02-10T00:00:00"/>
    <x v="5"/>
    <n v="2024"/>
    <n v="1"/>
    <n v="0"/>
    <d v="1899-12-30T10:26:00"/>
    <d v="1899-12-30T17:46:00"/>
    <s v="Present"/>
    <s v="Morning"/>
    <s v="Office"/>
    <n v="0"/>
  </r>
  <r>
    <s v="E1055"/>
    <s v="Employee_55"/>
    <x v="1"/>
    <d v="2024-01-06T00:00:00"/>
    <x v="2"/>
    <n v="2024"/>
    <n v="1"/>
    <n v="0"/>
    <d v="1899-12-30T09:57:00"/>
    <d v="1899-12-30T19:04:00"/>
    <s v="Work From Home"/>
    <s v="Morning"/>
    <s v="Office"/>
    <n v="0"/>
  </r>
  <r>
    <s v="E1030"/>
    <s v="Employee_30"/>
    <x v="1"/>
    <d v="2024-01-12T00:00:00"/>
    <x v="2"/>
    <n v="2024"/>
    <n v="1"/>
    <n v="0"/>
    <d v="1899-12-30T10:08:00"/>
    <d v="1899-12-30T16:17:00"/>
    <s v="Present"/>
    <s v="Evening"/>
    <s v="Office"/>
    <n v="0"/>
  </r>
  <r>
    <s v="E1025"/>
    <s v="Employee_25"/>
    <x v="4"/>
    <d v="2024-01-09T00:00:00"/>
    <x v="2"/>
    <n v="2024"/>
    <n v="1"/>
    <n v="0"/>
    <d v="1899-12-30T10:30:00"/>
    <d v="1899-12-30T17:13:00"/>
    <s v="Present"/>
    <s v="Evening"/>
    <s v="Office"/>
    <n v="0"/>
  </r>
  <r>
    <s v="E1026"/>
    <s v="Employee_26"/>
    <x v="4"/>
    <d v="2024-03-01T00:00:00"/>
    <x v="0"/>
    <n v="2024"/>
    <n v="1"/>
    <n v="0"/>
    <d v="1899-12-30T11:23:00"/>
    <d v="1899-12-30T16:58:00"/>
    <s v="Work From Home"/>
    <s v="Evening"/>
    <s v="Remote"/>
    <n v="0"/>
  </r>
  <r>
    <s v="E1008"/>
    <s v="Employee_8"/>
    <x v="4"/>
    <d v="2024-01-24T00:00:00"/>
    <x v="2"/>
    <n v="2024"/>
    <n v="0"/>
    <n v="0"/>
    <m/>
    <m/>
    <s v="Absent"/>
    <s v="Evening"/>
    <s v="Remote"/>
    <n v="0"/>
  </r>
  <r>
    <s v="E1004"/>
    <s v="Employee_4"/>
    <x v="3"/>
    <d v="2024-03-18T00:00:00"/>
    <x v="0"/>
    <n v="2024"/>
    <n v="1"/>
    <n v="0"/>
    <d v="1899-12-30T09:10:00"/>
    <d v="1899-12-30T19:47:00"/>
    <s v="Work From Home"/>
    <s v="Morning"/>
    <s v="Remote"/>
    <n v="0"/>
  </r>
  <r>
    <s v="E1020"/>
    <s v="Employee_20"/>
    <x v="3"/>
    <d v="2024-01-21T00:00:00"/>
    <x v="2"/>
    <n v="2024"/>
    <n v="1"/>
    <n v="1"/>
    <d v="1899-12-30T08:55:00"/>
    <d v="1899-12-30T19:21:00"/>
    <s v="Late"/>
    <s v="Evening"/>
    <s v="Remote"/>
    <n v="0"/>
  </r>
  <r>
    <s v="E1032"/>
    <s v="Employee_32"/>
    <x v="2"/>
    <d v="2024-11-03T00:00:00"/>
    <x v="1"/>
    <n v="2024"/>
    <n v="0"/>
    <n v="0"/>
    <m/>
    <m/>
    <s v="Absent"/>
    <s v="Morning"/>
    <s v="Office"/>
    <n v="0"/>
  </r>
  <r>
    <s v="E1016"/>
    <s v="Employee_16"/>
    <x v="4"/>
    <d v="2024-06-03T00:00:00"/>
    <x v="11"/>
    <n v="2024"/>
    <n v="1"/>
    <n v="1"/>
    <d v="1899-12-30T10:03:00"/>
    <d v="1899-12-30T20:41:00"/>
    <s v="Late"/>
    <s v="Morning"/>
    <s v="Remote"/>
    <n v="0"/>
  </r>
  <r>
    <s v="E1036"/>
    <s v="Employee_36"/>
    <x v="2"/>
    <d v="2024-02-25T00:00:00"/>
    <x v="5"/>
    <n v="2024"/>
    <n v="1"/>
    <n v="1"/>
    <d v="1899-12-30T11:57:00"/>
    <d v="1899-12-30T18:13:00"/>
    <s v="Late"/>
    <s v="Evening"/>
    <s v="Remote"/>
    <n v="0"/>
  </r>
  <r>
    <s v="E1016"/>
    <s v="Employee_16"/>
    <x v="0"/>
    <d v="2024-03-18T00:00:00"/>
    <x v="0"/>
    <n v="2024"/>
    <n v="1"/>
    <n v="0"/>
    <d v="1899-12-30T09:32:00"/>
    <d v="1899-12-30T20:33:00"/>
    <s v="Work From Home"/>
    <s v="Morning"/>
    <s v="Remote"/>
    <n v="0"/>
  </r>
  <r>
    <s v="E1052"/>
    <s v="Employee_52"/>
    <x v="2"/>
    <d v="2024-02-24T00:00:00"/>
    <x v="5"/>
    <n v="2024"/>
    <n v="1"/>
    <n v="0"/>
    <d v="1899-12-30T11:26:00"/>
    <d v="1899-12-30T19:54:00"/>
    <s v="Work From Home"/>
    <s v="Evening"/>
    <s v="Remote"/>
    <n v="0"/>
  </r>
  <r>
    <s v="E1024"/>
    <s v="Employee_24"/>
    <x v="3"/>
    <d v="2024-12-01T00:00:00"/>
    <x v="8"/>
    <n v="2024"/>
    <n v="1"/>
    <n v="1"/>
    <d v="1899-12-30T10:20:00"/>
    <d v="1899-12-30T18:11:00"/>
    <s v="Late"/>
    <s v="Evening"/>
    <s v="Office"/>
    <n v="0"/>
  </r>
  <r>
    <s v="E1043"/>
    <s v="Employee_43"/>
    <x v="3"/>
    <d v="2024-09-02T00:00:00"/>
    <x v="3"/>
    <n v="2024"/>
    <n v="1"/>
    <n v="0"/>
    <d v="1899-12-30T09:52:00"/>
    <d v="1899-12-30T20:36:00"/>
    <s v="Present"/>
    <s v="Morning"/>
    <s v="Office"/>
    <n v="0"/>
  </r>
  <r>
    <s v="E1027"/>
    <s v="Employee_27"/>
    <x v="0"/>
    <d v="2024-01-19T00:00:00"/>
    <x v="2"/>
    <n v="2024"/>
    <n v="1"/>
    <n v="1"/>
    <d v="1899-12-30T08:24:00"/>
    <d v="1899-12-30T18:17:00"/>
    <s v="Late"/>
    <s v="Evening"/>
    <s v="Office"/>
    <n v="0"/>
  </r>
  <r>
    <s v="E1006"/>
    <s v="Employee_6"/>
    <x v="1"/>
    <d v="2024-01-14T00:00:00"/>
    <x v="2"/>
    <n v="2024"/>
    <n v="1"/>
    <n v="1"/>
    <d v="1899-12-30T09:39:00"/>
    <d v="1899-12-30T17:13:00"/>
    <s v="Late"/>
    <s v="Evening"/>
    <s v="Remote"/>
    <n v="0"/>
  </r>
  <r>
    <s v="E1018"/>
    <s v="Employee_18"/>
    <x v="3"/>
    <d v="2024-03-18T00:00:00"/>
    <x v="0"/>
    <n v="2024"/>
    <n v="1"/>
    <n v="1"/>
    <d v="1899-12-30T09:01:00"/>
    <d v="1899-12-30T18:53:00"/>
    <s v="Late"/>
    <s v="Evening"/>
    <s v="Remote"/>
    <n v="0"/>
  </r>
  <r>
    <s v="E1039"/>
    <s v="Employee_39"/>
    <x v="0"/>
    <d v="2024-03-26T00:00:00"/>
    <x v="0"/>
    <n v="2024"/>
    <n v="1"/>
    <n v="0"/>
    <d v="1899-12-30T09:22:00"/>
    <d v="1899-12-30T17:24:00"/>
    <s v="Work From Home"/>
    <s v="Evening"/>
    <s v="Office"/>
    <n v="0"/>
  </r>
  <r>
    <s v="E1046"/>
    <s v="Employee_46"/>
    <x v="3"/>
    <d v="2024-03-19T00:00:00"/>
    <x v="0"/>
    <n v="2024"/>
    <n v="0"/>
    <n v="0"/>
    <m/>
    <m/>
    <s v="Absent"/>
    <s v="Morning"/>
    <s v="Office"/>
    <n v="0"/>
  </r>
  <r>
    <s v="E1015"/>
    <s v="Employee_15"/>
    <x v="0"/>
    <d v="2024-01-03T00:00:00"/>
    <x v="2"/>
    <n v="2024"/>
    <n v="1"/>
    <n v="1"/>
    <d v="1899-12-30T11:22:00"/>
    <d v="1899-12-30T20:21:00"/>
    <s v="Late"/>
    <s v="Evening"/>
    <s v="Remote"/>
    <n v="0"/>
  </r>
  <r>
    <s v="E1026"/>
    <s v="Employee_26"/>
    <x v="1"/>
    <d v="2024-03-01T00:00:00"/>
    <x v="0"/>
    <n v="2024"/>
    <n v="0"/>
    <n v="0"/>
    <m/>
    <m/>
    <s v="Absent"/>
    <s v="Evening"/>
    <s v="Office"/>
    <n v="0"/>
  </r>
  <r>
    <s v="E1041"/>
    <s v="Employee_41"/>
    <x v="0"/>
    <d v="2024-02-02T00:00:00"/>
    <x v="5"/>
    <n v="2024"/>
    <n v="1"/>
    <n v="0"/>
    <d v="1899-12-30T09:28:00"/>
    <d v="1899-12-30T17:03:00"/>
    <s v="Work From Home"/>
    <s v="Evening"/>
    <s v="Office"/>
    <n v="0"/>
  </r>
  <r>
    <s v="E1020"/>
    <s v="Employee_20"/>
    <x v="2"/>
    <d v="2024-08-01T00:00:00"/>
    <x v="9"/>
    <n v="2024"/>
    <n v="1"/>
    <n v="0"/>
    <d v="1899-12-30T08:43:00"/>
    <d v="1899-12-30T17:24:00"/>
    <s v="Work From Home"/>
    <s v="Evening"/>
    <s v="Remote"/>
    <n v="0"/>
  </r>
  <r>
    <s v="E1011"/>
    <s v="Employee_11"/>
    <x v="3"/>
    <d v="2024-01-27T00:00:00"/>
    <x v="2"/>
    <n v="2024"/>
    <n v="1"/>
    <n v="1"/>
    <d v="1899-12-30T08:19:00"/>
    <d v="1899-12-30T18:10:00"/>
    <s v="Late"/>
    <s v="Morning"/>
    <s v="Remote"/>
    <n v="0"/>
  </r>
  <r>
    <s v="E1009"/>
    <s v="Employee_9"/>
    <x v="3"/>
    <d v="2024-03-21T00:00:00"/>
    <x v="0"/>
    <n v="2024"/>
    <n v="1"/>
    <n v="0"/>
    <d v="1899-12-30T08:45:00"/>
    <d v="1899-12-30T19:32:00"/>
    <s v="Work From Home"/>
    <s v="Evening"/>
    <s v="Remote"/>
    <n v="0"/>
  </r>
  <r>
    <s v="E1025"/>
    <s v="Employee_25"/>
    <x v="3"/>
    <d v="2024-02-02T00:00:00"/>
    <x v="5"/>
    <n v="2024"/>
    <n v="1"/>
    <n v="1"/>
    <d v="1899-12-30T09:56:00"/>
    <d v="1899-12-30T19:16:00"/>
    <s v="Late"/>
    <s v="Morning"/>
    <s v="Office"/>
    <n v="0"/>
  </r>
  <r>
    <s v="E1016"/>
    <s v="Employee_16"/>
    <x v="4"/>
    <d v="2024-02-28T00:00:00"/>
    <x v="5"/>
    <n v="2024"/>
    <n v="1"/>
    <n v="0"/>
    <d v="1899-12-30T11:31:00"/>
    <d v="1899-12-30T20:22:00"/>
    <s v="Work From Home"/>
    <s v="Evening"/>
    <s v="Office"/>
    <n v="0"/>
  </r>
  <r>
    <s v="E1034"/>
    <s v="Employee_34"/>
    <x v="3"/>
    <d v="2024-03-22T00:00:00"/>
    <x v="0"/>
    <n v="2024"/>
    <n v="1"/>
    <n v="0"/>
    <d v="1899-12-30T08:34:00"/>
    <d v="1899-12-30T17:49:00"/>
    <s v="Work From Home"/>
    <s v="Evening"/>
    <s v="Office"/>
    <n v="0"/>
  </r>
  <r>
    <s v="E1008"/>
    <s v="Employee_8"/>
    <x v="4"/>
    <d v="2024-03-02T00:00:00"/>
    <x v="0"/>
    <n v="2024"/>
    <n v="1"/>
    <n v="0"/>
    <d v="1899-12-30T08:59:00"/>
    <d v="1899-12-30T17:12:00"/>
    <s v="Present"/>
    <s v="Morning"/>
    <s v="Remote"/>
    <n v="0"/>
  </r>
  <r>
    <s v="E1002"/>
    <s v="Employee_2"/>
    <x v="3"/>
    <d v="2024-09-01T00:00:00"/>
    <x v="3"/>
    <n v="2024"/>
    <n v="0"/>
    <n v="0"/>
    <m/>
    <m/>
    <s v="Absent"/>
    <s v="Morning"/>
    <s v="Office"/>
    <n v="0"/>
  </r>
  <r>
    <s v="E1046"/>
    <s v="Employee_46"/>
    <x v="2"/>
    <d v="2024-08-01T00:00:00"/>
    <x v="9"/>
    <n v="2024"/>
    <n v="0"/>
    <n v="0"/>
    <m/>
    <m/>
    <s v="Absent"/>
    <s v="Evening"/>
    <s v="Office"/>
    <n v="0"/>
  </r>
  <r>
    <s v="E1000"/>
    <s v="Employee_0"/>
    <x v="3"/>
    <d v="2024-05-02T00:00:00"/>
    <x v="6"/>
    <n v="2024"/>
    <n v="1"/>
    <n v="0"/>
    <d v="1899-12-30T09:23:00"/>
    <d v="1899-12-30T16:50:00"/>
    <s v="Work From Home"/>
    <s v="Morning"/>
    <s v="Office"/>
    <n v="0"/>
  </r>
  <r>
    <s v="E1009"/>
    <s v="Employee_9"/>
    <x v="1"/>
    <d v="2024-03-27T00:00:00"/>
    <x v="0"/>
    <n v="2024"/>
    <n v="0"/>
    <n v="0"/>
    <m/>
    <m/>
    <s v="Absent"/>
    <s v="Evening"/>
    <s v="Office"/>
    <n v="0"/>
  </r>
  <r>
    <s v="E1008"/>
    <s v="Employee_8"/>
    <x v="4"/>
    <d v="2024-02-13T00:00:00"/>
    <x v="5"/>
    <n v="2024"/>
    <n v="1"/>
    <n v="0"/>
    <d v="1899-12-30T11:20:00"/>
    <d v="1899-12-30T19:07:00"/>
    <s v="Work From Home"/>
    <s v="Evening"/>
    <s v="Office"/>
    <n v="0"/>
  </r>
  <r>
    <s v="E1041"/>
    <s v="Employee_41"/>
    <x v="1"/>
    <d v="2024-02-21T00:00:00"/>
    <x v="5"/>
    <n v="2024"/>
    <n v="0"/>
    <n v="0"/>
    <m/>
    <m/>
    <s v="Absent"/>
    <s v="Evening"/>
    <s v="Office"/>
    <n v="0"/>
  </r>
  <r>
    <s v="E1035"/>
    <s v="Employee_35"/>
    <x v="0"/>
    <d v="2024-03-01T00:00:00"/>
    <x v="0"/>
    <n v="2024"/>
    <n v="0"/>
    <n v="0"/>
    <m/>
    <m/>
    <s v="Absent"/>
    <s v="Evening"/>
    <s v="Office"/>
    <n v="0"/>
  </r>
  <r>
    <s v="E1021"/>
    <s v="Employee_21"/>
    <x v="4"/>
    <d v="2024-02-10T00:00:00"/>
    <x v="5"/>
    <n v="2024"/>
    <n v="0"/>
    <n v="0"/>
    <m/>
    <m/>
    <s v="Absent"/>
    <s v="Evening"/>
    <s v="Office"/>
    <n v="0"/>
  </r>
  <r>
    <s v="E1012"/>
    <s v="Employee_12"/>
    <x v="4"/>
    <d v="2024-01-24T00:00:00"/>
    <x v="2"/>
    <n v="2024"/>
    <n v="1"/>
    <n v="0"/>
    <d v="1899-12-30T08:39:00"/>
    <d v="1899-12-30T17:05:00"/>
    <s v="Work From Home"/>
    <s v="Morning"/>
    <s v="Office"/>
    <n v="0"/>
  </r>
  <r>
    <s v="E1053"/>
    <s v="Employee_53"/>
    <x v="3"/>
    <d v="2024-06-02T00:00:00"/>
    <x v="11"/>
    <n v="2024"/>
    <n v="1"/>
    <n v="0"/>
    <d v="1899-12-30T09:39:00"/>
    <d v="1899-12-30T16:45:00"/>
    <s v="Work From Home"/>
    <s v="Evening"/>
    <s v="Remote"/>
    <n v="0"/>
  </r>
  <r>
    <s v="E1030"/>
    <s v="Employee_30"/>
    <x v="0"/>
    <d v="2024-01-20T00:00:00"/>
    <x v="2"/>
    <n v="2024"/>
    <n v="1"/>
    <n v="0"/>
    <d v="1899-12-30T08:31:00"/>
    <d v="1899-12-30T17:00:00"/>
    <s v="Present"/>
    <s v="Morning"/>
    <s v="Office"/>
    <n v="0"/>
  </r>
  <r>
    <s v="E1046"/>
    <s v="Employee_46"/>
    <x v="3"/>
    <d v="2024-06-02T00:00:00"/>
    <x v="11"/>
    <n v="2024"/>
    <n v="1"/>
    <n v="1"/>
    <d v="1899-12-30T09:07:00"/>
    <d v="1899-12-30T16:38:00"/>
    <s v="Late"/>
    <s v="Evening"/>
    <s v="Office"/>
    <n v="0"/>
  </r>
  <r>
    <s v="E1010"/>
    <s v="Employee_10"/>
    <x v="1"/>
    <d v="2024-06-03T00:00:00"/>
    <x v="11"/>
    <n v="2024"/>
    <n v="1"/>
    <n v="0"/>
    <d v="1899-12-30T11:37:00"/>
    <d v="1899-12-30T16:12:00"/>
    <s v="Present"/>
    <s v="Evening"/>
    <s v="Office"/>
    <n v="0"/>
  </r>
  <r>
    <s v="E1026"/>
    <s v="Employee_26"/>
    <x v="3"/>
    <d v="2024-03-29T00:00:00"/>
    <x v="0"/>
    <n v="2024"/>
    <n v="1"/>
    <n v="0"/>
    <d v="1899-12-30T09:25:00"/>
    <d v="1899-12-30T19:33:00"/>
    <s v="Work From Home"/>
    <s v="Morning"/>
    <s v="Remote"/>
    <n v="0"/>
  </r>
  <r>
    <s v="E1003"/>
    <s v="Employee_3"/>
    <x v="3"/>
    <d v="2024-02-29T00:00:00"/>
    <x v="5"/>
    <n v="2024"/>
    <n v="1"/>
    <n v="0"/>
    <d v="1899-12-30T08:23:00"/>
    <d v="1899-12-30T19:31:00"/>
    <s v="Work From Home"/>
    <s v="Evening"/>
    <s v="Office"/>
    <n v="0"/>
  </r>
  <r>
    <s v="E1032"/>
    <s v="Employee_32"/>
    <x v="4"/>
    <d v="2024-02-25T00:00:00"/>
    <x v="5"/>
    <n v="2024"/>
    <n v="1"/>
    <n v="0"/>
    <d v="1899-12-30T09:02:00"/>
    <d v="1899-12-30T19:52:00"/>
    <s v="Present"/>
    <s v="Evening"/>
    <s v="Office"/>
    <n v="0"/>
  </r>
  <r>
    <s v="E1043"/>
    <s v="Employee_43"/>
    <x v="3"/>
    <d v="2024-01-27T00:00:00"/>
    <x v="2"/>
    <n v="2024"/>
    <n v="1"/>
    <n v="0"/>
    <d v="1899-12-30T09:37:00"/>
    <d v="1899-12-30T17:40:00"/>
    <s v="Present"/>
    <s v="Evening"/>
    <s v="Office"/>
    <n v="0"/>
  </r>
  <r>
    <s v="E1013"/>
    <s v="Employee_13"/>
    <x v="4"/>
    <d v="2024-03-22T00:00:00"/>
    <x v="0"/>
    <n v="2024"/>
    <n v="0"/>
    <n v="0"/>
    <m/>
    <m/>
    <s v="Absent"/>
    <s v="Evening"/>
    <s v="Remote"/>
    <n v="0"/>
  </r>
  <r>
    <s v="E1048"/>
    <s v="Employee_48"/>
    <x v="2"/>
    <d v="2024-05-02T00:00:00"/>
    <x v="6"/>
    <n v="2024"/>
    <n v="1"/>
    <n v="0"/>
    <d v="1899-12-30T11:19:00"/>
    <d v="1899-12-30T16:24:00"/>
    <s v="Present"/>
    <s v="Evening"/>
    <s v="Remote"/>
    <n v="0"/>
  </r>
  <r>
    <s v="E1014"/>
    <s v="Employee_14"/>
    <x v="0"/>
    <d v="2024-01-22T00:00:00"/>
    <x v="2"/>
    <n v="2024"/>
    <n v="1"/>
    <n v="1"/>
    <d v="1899-12-30T10:23:00"/>
    <d v="1899-12-30T20:49:00"/>
    <s v="Late"/>
    <s v="Morning"/>
    <s v="Remote"/>
    <n v="0"/>
  </r>
  <r>
    <s v="E1023"/>
    <s v="Employee_23"/>
    <x v="4"/>
    <d v="2024-01-14T00:00:00"/>
    <x v="2"/>
    <n v="2024"/>
    <n v="0"/>
    <n v="0"/>
    <m/>
    <m/>
    <s v="Absent"/>
    <s v="Evening"/>
    <s v="Remote"/>
    <n v="0"/>
  </r>
  <r>
    <s v="E1022"/>
    <s v="Employee_22"/>
    <x v="3"/>
    <d v="2024-03-17T00:00:00"/>
    <x v="0"/>
    <n v="2024"/>
    <n v="0"/>
    <n v="0"/>
    <m/>
    <m/>
    <s v="Absent"/>
    <s v="Evening"/>
    <s v="Remote"/>
    <n v="0"/>
  </r>
  <r>
    <s v="E1042"/>
    <s v="Employee_42"/>
    <x v="2"/>
    <d v="2024-10-01T00:00:00"/>
    <x v="7"/>
    <n v="2024"/>
    <n v="1"/>
    <n v="1"/>
    <d v="1899-12-30T11:34:00"/>
    <d v="1899-12-30T17:52:00"/>
    <s v="Late"/>
    <s v="Evening"/>
    <s v="Remote"/>
    <n v="0"/>
  </r>
  <r>
    <s v="E1022"/>
    <s v="Employee_22"/>
    <x v="3"/>
    <d v="2024-01-13T00:00:00"/>
    <x v="2"/>
    <n v="2024"/>
    <n v="1"/>
    <n v="1"/>
    <d v="1899-12-30T10:06:00"/>
    <d v="1899-12-30T19:29:00"/>
    <s v="Late"/>
    <s v="Morning"/>
    <s v="Remote"/>
    <n v="0"/>
  </r>
  <r>
    <s v="E1003"/>
    <s v="Employee_3"/>
    <x v="0"/>
    <d v="2024-03-15T00:00:00"/>
    <x v="0"/>
    <n v="2024"/>
    <n v="0"/>
    <n v="0"/>
    <m/>
    <m/>
    <s v="Absent"/>
    <s v="Morning"/>
    <s v="Remote"/>
    <n v="0"/>
  </r>
  <r>
    <s v="E1016"/>
    <s v="Employee_16"/>
    <x v="1"/>
    <d v="2024-02-22T00:00:00"/>
    <x v="5"/>
    <n v="2024"/>
    <n v="1"/>
    <n v="0"/>
    <d v="1899-12-30T10:19:00"/>
    <d v="1899-12-30T19:32:00"/>
    <s v="Work From Home"/>
    <s v="Evening"/>
    <s v="Remote"/>
    <n v="0"/>
  </r>
  <r>
    <s v="E1013"/>
    <s v="Employee_13"/>
    <x v="1"/>
    <d v="2024-02-24T00:00:00"/>
    <x v="5"/>
    <n v="2024"/>
    <n v="0"/>
    <n v="0"/>
    <m/>
    <m/>
    <s v="Absent"/>
    <s v="Evening"/>
    <s v="Remote"/>
    <n v="0"/>
  </r>
  <r>
    <s v="E1000"/>
    <s v="Employee_0"/>
    <x v="0"/>
    <d v="2024-03-18T00:00:00"/>
    <x v="0"/>
    <n v="2024"/>
    <n v="1"/>
    <n v="1"/>
    <d v="1899-12-30T08:02:00"/>
    <d v="1899-12-30T18:05:00"/>
    <s v="Late"/>
    <s v="Evening"/>
    <s v="Office"/>
    <n v="0"/>
  </r>
  <r>
    <s v="E1052"/>
    <s v="Employee_52"/>
    <x v="2"/>
    <d v="2024-02-23T00:00:00"/>
    <x v="5"/>
    <n v="2024"/>
    <n v="1"/>
    <n v="1"/>
    <d v="1899-12-30T10:37:00"/>
    <d v="1899-12-30T19:15:00"/>
    <s v="Late"/>
    <s v="Evening"/>
    <s v="Office"/>
    <n v="0"/>
  </r>
  <r>
    <s v="E1025"/>
    <s v="Employee_25"/>
    <x v="4"/>
    <d v="2024-03-30T00:00:00"/>
    <x v="0"/>
    <n v="2024"/>
    <n v="1"/>
    <n v="0"/>
    <d v="1899-12-30T10:10:00"/>
    <d v="1899-12-30T18:53:00"/>
    <s v="Work From Home"/>
    <s v="Morning"/>
    <s v="Office"/>
    <n v="0"/>
  </r>
  <r>
    <s v="E1048"/>
    <s v="Employee_48"/>
    <x v="3"/>
    <d v="2024-03-03T00:00:00"/>
    <x v="0"/>
    <n v="2024"/>
    <n v="1"/>
    <n v="0"/>
    <d v="1899-12-30T10:00:00"/>
    <d v="1899-12-30T19:08:00"/>
    <s v="Present"/>
    <s v="Morning"/>
    <s v="Office"/>
    <n v="0"/>
  </r>
  <r>
    <s v="E1041"/>
    <s v="Employee_41"/>
    <x v="0"/>
    <d v="2024-01-10T00:00:00"/>
    <x v="2"/>
    <n v="2024"/>
    <n v="1"/>
    <n v="0"/>
    <d v="1899-12-30T10:00:00"/>
    <d v="1899-12-30T20:34:00"/>
    <s v="Work From Home"/>
    <s v="Evening"/>
    <s v="Office"/>
    <n v="0"/>
  </r>
  <r>
    <s v="E1009"/>
    <s v="Employee_9"/>
    <x v="4"/>
    <d v="2024-08-03T00:00:00"/>
    <x v="9"/>
    <n v="2024"/>
    <n v="0"/>
    <n v="0"/>
    <m/>
    <m/>
    <s v="Absent"/>
    <s v="Morning"/>
    <s v="Remote"/>
    <n v="0"/>
  </r>
  <r>
    <s v="E1028"/>
    <s v="Employee_28"/>
    <x v="2"/>
    <d v="2024-01-22T00:00:00"/>
    <x v="2"/>
    <n v="2024"/>
    <n v="0"/>
    <n v="0"/>
    <m/>
    <m/>
    <s v="Absent"/>
    <s v="Evening"/>
    <s v="Remote"/>
    <n v="0"/>
  </r>
  <r>
    <s v="E1036"/>
    <s v="Employee_36"/>
    <x v="0"/>
    <d v="2024-01-23T00:00:00"/>
    <x v="2"/>
    <n v="2024"/>
    <n v="1"/>
    <n v="1"/>
    <d v="1899-12-30T11:13:00"/>
    <d v="1899-12-30T17:20:00"/>
    <s v="Late"/>
    <s v="Morning"/>
    <s v="Remote"/>
    <n v="0"/>
  </r>
  <r>
    <s v="E1007"/>
    <s v="Employee_7"/>
    <x v="2"/>
    <d v="2024-01-30T00:00:00"/>
    <x v="2"/>
    <n v="2024"/>
    <n v="1"/>
    <n v="1"/>
    <d v="1899-12-30T11:53:00"/>
    <d v="1899-12-30T20:35:00"/>
    <s v="Late"/>
    <s v="Evening"/>
    <s v="Office"/>
    <n v="0"/>
  </r>
  <r>
    <s v="E1018"/>
    <s v="Employee_18"/>
    <x v="3"/>
    <d v="2024-03-17T00:00:00"/>
    <x v="0"/>
    <n v="2024"/>
    <n v="1"/>
    <n v="1"/>
    <d v="1899-12-30T11:08:00"/>
    <d v="1899-12-30T17:57:00"/>
    <s v="Late"/>
    <s v="Morning"/>
    <s v="Remote"/>
    <n v="0"/>
  </r>
  <r>
    <s v="E1048"/>
    <s v="Employee_48"/>
    <x v="3"/>
    <d v="2024-03-15T00:00:00"/>
    <x v="0"/>
    <n v="2024"/>
    <n v="1"/>
    <n v="1"/>
    <d v="1899-12-30T10:45:00"/>
    <d v="1899-12-30T17:19:00"/>
    <s v="Late"/>
    <s v="Evening"/>
    <s v="Office"/>
    <n v="0"/>
  </r>
  <r>
    <s v="E1030"/>
    <s v="Employee_30"/>
    <x v="3"/>
    <d v="2024-01-21T00:00:00"/>
    <x v="2"/>
    <n v="2024"/>
    <n v="0"/>
    <n v="0"/>
    <m/>
    <m/>
    <s v="Absent"/>
    <s v="Evening"/>
    <s v="Office"/>
    <n v="0"/>
  </r>
  <r>
    <s v="E1051"/>
    <s v="Employee_51"/>
    <x v="4"/>
    <d v="2024-03-20T00:00:00"/>
    <x v="0"/>
    <n v="2024"/>
    <n v="0"/>
    <n v="0"/>
    <m/>
    <m/>
    <s v="Absent"/>
    <s v="Evening"/>
    <s v="Remote"/>
    <n v="0"/>
  </r>
  <r>
    <s v="E1011"/>
    <s v="Employee_11"/>
    <x v="4"/>
    <d v="2024-02-23T00:00:00"/>
    <x v="5"/>
    <n v="2024"/>
    <n v="1"/>
    <n v="0"/>
    <d v="1899-12-30T09:40:00"/>
    <d v="1899-12-30T19:50:00"/>
    <s v="Present"/>
    <s v="Morning"/>
    <s v="Office"/>
    <n v="0"/>
  </r>
  <r>
    <s v="E1016"/>
    <s v="Employee_16"/>
    <x v="0"/>
    <d v="2024-04-01T00:00:00"/>
    <x v="10"/>
    <n v="2024"/>
    <n v="0"/>
    <n v="0"/>
    <m/>
    <m/>
    <s v="Absent"/>
    <s v="Morning"/>
    <s v="Remote"/>
    <n v="0"/>
  </r>
  <r>
    <s v="E1043"/>
    <s v="Employee_43"/>
    <x v="3"/>
    <d v="2024-03-28T00:00:00"/>
    <x v="0"/>
    <n v="2024"/>
    <n v="1"/>
    <n v="1"/>
    <d v="1899-12-30T10:11:00"/>
    <d v="1899-12-30T18:14:00"/>
    <s v="Late"/>
    <s v="Evening"/>
    <s v="Remote"/>
    <n v="0"/>
  </r>
  <r>
    <s v="E1008"/>
    <s v="Employee_8"/>
    <x v="2"/>
    <d v="2024-01-17T00:00:00"/>
    <x v="2"/>
    <n v="2024"/>
    <n v="0"/>
    <n v="0"/>
    <m/>
    <m/>
    <s v="Absent"/>
    <s v="Evening"/>
    <s v="Remote"/>
    <n v="0"/>
  </r>
  <r>
    <s v="E1056"/>
    <s v="Employee_56"/>
    <x v="3"/>
    <d v="2024-09-01T00:00:00"/>
    <x v="3"/>
    <n v="2024"/>
    <n v="1"/>
    <n v="1"/>
    <d v="1899-12-30T11:04:00"/>
    <d v="1899-12-30T18:16:00"/>
    <s v="Late"/>
    <s v="Morning"/>
    <s v="Remote"/>
    <n v="0"/>
  </r>
  <r>
    <s v="E1035"/>
    <s v="Employee_35"/>
    <x v="0"/>
    <d v="2024-01-03T00:00:00"/>
    <x v="2"/>
    <n v="2024"/>
    <n v="0"/>
    <n v="0"/>
    <m/>
    <m/>
    <s v="Absent"/>
    <s v="Morning"/>
    <s v="Remote"/>
    <n v="0"/>
  </r>
  <r>
    <s v="E1001"/>
    <s v="Employee_1"/>
    <x v="4"/>
    <d v="2024-10-01T00:00:00"/>
    <x v="7"/>
    <n v="2024"/>
    <n v="0"/>
    <n v="0"/>
    <m/>
    <m/>
    <s v="Absent"/>
    <s v="Evening"/>
    <s v="Remote"/>
    <n v="0"/>
  </r>
  <r>
    <s v="E1053"/>
    <s v="Employee_53"/>
    <x v="4"/>
    <d v="2024-02-18T00:00:00"/>
    <x v="5"/>
    <n v="2024"/>
    <n v="1"/>
    <n v="0"/>
    <d v="1899-12-30T08:39:00"/>
    <d v="1899-12-30T18:08:00"/>
    <s v="Present"/>
    <s v="Evening"/>
    <s v="Remote"/>
    <n v="0"/>
  </r>
  <r>
    <s v="E1004"/>
    <s v="Employee_4"/>
    <x v="0"/>
    <d v="2024-02-10T00:00:00"/>
    <x v="5"/>
    <n v="2024"/>
    <n v="1"/>
    <n v="1"/>
    <d v="1899-12-30T08:46:00"/>
    <d v="1899-12-30T20:58:00"/>
    <s v="Late"/>
    <s v="Evening"/>
    <s v="Office"/>
    <n v="0"/>
  </r>
  <r>
    <s v="E1037"/>
    <s v="Employee_37"/>
    <x v="4"/>
    <d v="2024-12-01T00:00:00"/>
    <x v="8"/>
    <n v="2024"/>
    <n v="1"/>
    <n v="1"/>
    <d v="1899-12-30T08:52:00"/>
    <d v="1899-12-30T17:40:00"/>
    <s v="Late"/>
    <s v="Evening"/>
    <s v="Office"/>
    <n v="0"/>
  </r>
  <r>
    <s v="E1004"/>
    <s v="Employee_4"/>
    <x v="3"/>
    <d v="2024-03-01T00:00:00"/>
    <x v="0"/>
    <n v="2024"/>
    <n v="1"/>
    <n v="0"/>
    <d v="1899-12-30T10:52:00"/>
    <d v="1899-12-30T20:04:00"/>
    <s v="Work From Home"/>
    <s v="Evening"/>
    <s v="Office"/>
    <n v="0"/>
  </r>
  <r>
    <s v="E1015"/>
    <s v="Employee_15"/>
    <x v="4"/>
    <d v="2024-02-21T00:00:00"/>
    <x v="5"/>
    <n v="2024"/>
    <n v="1"/>
    <n v="0"/>
    <d v="1899-12-30T10:06:00"/>
    <d v="1899-12-30T16:26:00"/>
    <s v="Work From Home"/>
    <s v="Morning"/>
    <s v="Office"/>
    <n v="0"/>
  </r>
  <r>
    <s v="E1027"/>
    <s v="Employee_27"/>
    <x v="1"/>
    <d v="2024-01-25T00:00:00"/>
    <x v="2"/>
    <n v="2024"/>
    <n v="1"/>
    <n v="1"/>
    <d v="1899-12-30T09:17:00"/>
    <d v="1899-12-30T17:47:00"/>
    <s v="Late"/>
    <s v="Morning"/>
    <s v="Remote"/>
    <n v="0"/>
  </r>
  <r>
    <s v="E1055"/>
    <s v="Employee_55"/>
    <x v="1"/>
    <d v="2024-03-16T00:00:00"/>
    <x v="0"/>
    <n v="2024"/>
    <n v="1"/>
    <n v="1"/>
    <d v="1899-12-30T08:57:00"/>
    <d v="1899-12-30T16:15:00"/>
    <s v="Late"/>
    <s v="Morning"/>
    <s v="Remote"/>
    <n v="0"/>
  </r>
  <r>
    <s v="E1056"/>
    <s v="Employee_56"/>
    <x v="3"/>
    <d v="2024-02-18T00:00:00"/>
    <x v="5"/>
    <n v="2024"/>
    <n v="1"/>
    <n v="0"/>
    <d v="1899-12-30T10:00:00"/>
    <d v="1899-12-30T17:34:00"/>
    <s v="Present"/>
    <s v="Evening"/>
    <s v="Remote"/>
    <n v="0"/>
  </r>
  <r>
    <s v="E1006"/>
    <s v="Employee_6"/>
    <x v="0"/>
    <d v="2024-06-03T00:00:00"/>
    <x v="11"/>
    <n v="2024"/>
    <n v="1"/>
    <n v="0"/>
    <d v="1899-12-30T08:25:00"/>
    <d v="1899-12-30T18:31:00"/>
    <s v="Work From Home"/>
    <s v="Evening"/>
    <s v="Office"/>
    <n v="0"/>
  </r>
  <r>
    <s v="E1054"/>
    <s v="Employee_54"/>
    <x v="0"/>
    <d v="2024-02-03T00:00:00"/>
    <x v="5"/>
    <n v="2024"/>
    <n v="1"/>
    <n v="0"/>
    <d v="1899-12-30T11:56:00"/>
    <d v="1899-12-30T20:10:00"/>
    <s v="Work From Home"/>
    <s v="Evening"/>
    <s v="Remote"/>
    <n v="0"/>
  </r>
  <r>
    <s v="E1021"/>
    <s v="Employee_21"/>
    <x v="2"/>
    <d v="2024-01-23T00:00:00"/>
    <x v="2"/>
    <n v="2024"/>
    <n v="1"/>
    <n v="0"/>
    <d v="1899-12-30T08:23:00"/>
    <d v="1899-12-30T19:08:00"/>
    <s v="Present"/>
    <s v="Morning"/>
    <s v="Office"/>
    <n v="0"/>
  </r>
  <r>
    <s v="E1022"/>
    <s v="Employee_22"/>
    <x v="2"/>
    <d v="2024-01-15T00:00:00"/>
    <x v="2"/>
    <n v="2024"/>
    <n v="1"/>
    <n v="0"/>
    <d v="1899-12-30T08:23:00"/>
    <d v="1899-12-30T18:38:00"/>
    <s v="Work From Home"/>
    <s v="Morning"/>
    <s v="Office"/>
    <n v="0"/>
  </r>
  <r>
    <s v="E1026"/>
    <s v="Employee_26"/>
    <x v="2"/>
    <d v="2024-02-22T00:00:00"/>
    <x v="5"/>
    <n v="2024"/>
    <n v="0"/>
    <n v="0"/>
    <m/>
    <m/>
    <s v="Absent"/>
    <s v="Morning"/>
    <s v="Office"/>
    <n v="0"/>
  </r>
  <r>
    <s v="E1022"/>
    <s v="Employee_22"/>
    <x v="4"/>
    <d v="2024-03-02T00:00:00"/>
    <x v="0"/>
    <n v="2024"/>
    <n v="1"/>
    <n v="0"/>
    <d v="1899-12-30T11:31:00"/>
    <d v="1899-12-30T18:42:00"/>
    <s v="Work From Home"/>
    <s v="Evening"/>
    <s v="Office"/>
    <n v="0"/>
  </r>
  <r>
    <s v="E1047"/>
    <s v="Employee_47"/>
    <x v="3"/>
    <d v="2024-01-12T00:00:00"/>
    <x v="2"/>
    <n v="2024"/>
    <n v="1"/>
    <n v="0"/>
    <d v="1899-12-30T08:40:00"/>
    <d v="1899-12-30T20:19:00"/>
    <s v="Work From Home"/>
    <s v="Morning"/>
    <s v="Remote"/>
    <n v="0"/>
  </r>
  <r>
    <s v="E1003"/>
    <s v="Employee_3"/>
    <x v="4"/>
    <d v="2024-03-23T00:00:00"/>
    <x v="0"/>
    <n v="2024"/>
    <n v="1"/>
    <n v="0"/>
    <d v="1899-12-30T09:48:00"/>
    <d v="1899-12-30T16:38:00"/>
    <s v="Work From Home"/>
    <s v="Evening"/>
    <s v="Remote"/>
    <n v="0"/>
  </r>
  <r>
    <s v="E1001"/>
    <s v="Employee_1"/>
    <x v="2"/>
    <d v="2024-08-03T00:00:00"/>
    <x v="9"/>
    <n v="2024"/>
    <n v="1"/>
    <n v="1"/>
    <d v="1899-12-30T10:01:00"/>
    <d v="1899-12-30T19:22:00"/>
    <s v="Late"/>
    <s v="Evening"/>
    <s v="Remote"/>
    <n v="0"/>
  </r>
  <r>
    <s v="E1013"/>
    <s v="Employee_13"/>
    <x v="3"/>
    <d v="2024-01-21T00:00:00"/>
    <x v="2"/>
    <n v="2024"/>
    <n v="1"/>
    <n v="1"/>
    <d v="1899-12-30T08:22:00"/>
    <d v="1899-12-30T17:52:00"/>
    <s v="Late"/>
    <s v="Morning"/>
    <s v="Office"/>
    <n v="0"/>
  </r>
  <r>
    <s v="E1050"/>
    <s v="Employee_50"/>
    <x v="0"/>
    <d v="2024-02-12T00:00:00"/>
    <x v="5"/>
    <n v="2024"/>
    <n v="1"/>
    <n v="0"/>
    <d v="1899-12-30T08:39:00"/>
    <d v="1899-12-30T17:37:00"/>
    <s v="Work From Home"/>
    <s v="Morning"/>
    <s v="Remote"/>
    <n v="0"/>
  </r>
  <r>
    <s v="E1007"/>
    <s v="Employee_7"/>
    <x v="4"/>
    <d v="2024-03-23T00:00:00"/>
    <x v="0"/>
    <n v="2024"/>
    <n v="1"/>
    <n v="0"/>
    <d v="1899-12-30T10:04:00"/>
    <d v="1899-12-30T16:06:00"/>
    <s v="Present"/>
    <s v="Morning"/>
    <s v="Remote"/>
    <n v="0"/>
  </r>
  <r>
    <s v="E1052"/>
    <s v="Employee_52"/>
    <x v="3"/>
    <d v="2024-02-20T00:00:00"/>
    <x v="5"/>
    <n v="2024"/>
    <n v="1"/>
    <n v="0"/>
    <d v="1899-12-30T10:16:00"/>
    <d v="1899-12-30T18:31:00"/>
    <s v="Present"/>
    <s v="Evening"/>
    <s v="Remote"/>
    <n v="0"/>
  </r>
  <r>
    <s v="E1030"/>
    <s v="Employee_30"/>
    <x v="2"/>
    <d v="2024-01-25T00:00:00"/>
    <x v="2"/>
    <n v="2024"/>
    <n v="1"/>
    <n v="0"/>
    <d v="1899-12-30T08:43:00"/>
    <d v="1899-12-30T19:27:00"/>
    <s v="Present"/>
    <s v="Morning"/>
    <s v="Remote"/>
    <n v="0"/>
  </r>
  <r>
    <s v="E1030"/>
    <s v="Employee_30"/>
    <x v="0"/>
    <d v="2024-02-18T00:00:00"/>
    <x v="5"/>
    <n v="2024"/>
    <n v="1"/>
    <n v="1"/>
    <d v="1899-12-30T08:31:00"/>
    <d v="1899-12-30T16:14:00"/>
    <s v="Late"/>
    <s v="Evening"/>
    <s v="Office"/>
    <n v="0"/>
  </r>
  <r>
    <s v="E1000"/>
    <s v="Employee_0"/>
    <x v="2"/>
    <d v="2024-04-02T00:00:00"/>
    <x v="10"/>
    <n v="2024"/>
    <n v="1"/>
    <n v="0"/>
    <d v="1899-12-30T10:42:00"/>
    <d v="1899-12-30T16:48:00"/>
    <s v="Present"/>
    <s v="Evening"/>
    <s v="Remote"/>
    <n v="0"/>
  </r>
  <r>
    <s v="E1034"/>
    <s v="Employee_34"/>
    <x v="3"/>
    <d v="2024-02-05T00:00:00"/>
    <x v="5"/>
    <n v="2024"/>
    <n v="1"/>
    <n v="1"/>
    <d v="1899-12-30T09:36:00"/>
    <d v="1899-12-30T18:31:00"/>
    <s v="Late"/>
    <s v="Evening"/>
    <s v="Remote"/>
    <n v="0"/>
  </r>
  <r>
    <s v="E1031"/>
    <s v="Employee_31"/>
    <x v="3"/>
    <d v="2024-01-02T00:00:00"/>
    <x v="2"/>
    <n v="2024"/>
    <n v="0"/>
    <n v="0"/>
    <m/>
    <m/>
    <s v="Absent"/>
    <s v="Morning"/>
    <s v="Remote"/>
    <n v="0"/>
  </r>
  <r>
    <s v="E1042"/>
    <s v="Employee_42"/>
    <x v="2"/>
    <d v="2024-02-16T00:00:00"/>
    <x v="5"/>
    <n v="2024"/>
    <n v="1"/>
    <n v="0"/>
    <d v="1899-12-30T08:24:00"/>
    <d v="1899-12-30T16:12:00"/>
    <s v="Present"/>
    <s v="Morning"/>
    <s v="Office"/>
    <n v="0"/>
  </r>
  <r>
    <s v="E1033"/>
    <s v="Employee_33"/>
    <x v="3"/>
    <d v="2024-05-01T00:00:00"/>
    <x v="6"/>
    <n v="2024"/>
    <n v="1"/>
    <n v="0"/>
    <d v="1899-12-30T08:20:00"/>
    <d v="1899-12-30T20:17:00"/>
    <s v="Work From Home"/>
    <s v="Morning"/>
    <s v="Remote"/>
    <n v="0"/>
  </r>
  <r>
    <s v="E1046"/>
    <s v="Employee_46"/>
    <x v="2"/>
    <d v="2024-02-22T00:00:00"/>
    <x v="5"/>
    <n v="2024"/>
    <n v="0"/>
    <n v="0"/>
    <m/>
    <m/>
    <s v="Absent"/>
    <s v="Evening"/>
    <s v="Remote"/>
    <n v="0"/>
  </r>
  <r>
    <s v="E1019"/>
    <s v="Employee_19"/>
    <x v="4"/>
    <d v="2024-03-21T00:00:00"/>
    <x v="0"/>
    <n v="2024"/>
    <n v="1"/>
    <n v="1"/>
    <d v="1899-12-30T09:11:00"/>
    <d v="1899-12-30T18:07:00"/>
    <s v="Late"/>
    <s v="Morning"/>
    <s v="Remote"/>
    <n v="0"/>
  </r>
  <r>
    <s v="E1017"/>
    <s v="Employee_17"/>
    <x v="4"/>
    <d v="2024-02-02T00:00:00"/>
    <x v="5"/>
    <n v="2024"/>
    <n v="1"/>
    <n v="0"/>
    <d v="1899-12-30T09:39:00"/>
    <d v="1899-12-30T20:05:00"/>
    <s v="Present"/>
    <s v="Evening"/>
    <s v="Office"/>
    <n v="0"/>
  </r>
  <r>
    <s v="E1028"/>
    <s v="Employee_28"/>
    <x v="0"/>
    <d v="2024-01-22T00:00:00"/>
    <x v="2"/>
    <n v="2024"/>
    <n v="0"/>
    <n v="0"/>
    <m/>
    <m/>
    <s v="Absent"/>
    <s v="Evening"/>
    <s v="Office"/>
    <n v="0"/>
  </r>
  <r>
    <s v="E1034"/>
    <s v="Employee_34"/>
    <x v="0"/>
    <d v="2024-02-14T00:00:00"/>
    <x v="5"/>
    <n v="2024"/>
    <n v="1"/>
    <n v="0"/>
    <d v="1899-12-30T09:45:00"/>
    <d v="1899-12-30T20:56:00"/>
    <s v="Work From Home"/>
    <s v="Morning"/>
    <s v="Office"/>
    <n v="0"/>
  </r>
  <r>
    <s v="E1048"/>
    <s v="Employee_48"/>
    <x v="0"/>
    <d v="2024-02-24T00:00:00"/>
    <x v="5"/>
    <n v="2024"/>
    <n v="1"/>
    <n v="0"/>
    <d v="1899-12-30T08:54:00"/>
    <d v="1899-12-30T20:46:00"/>
    <s v="Work From Home"/>
    <s v="Evening"/>
    <s v="Office"/>
    <n v="0"/>
  </r>
  <r>
    <s v="E1031"/>
    <s v="Employee_31"/>
    <x v="0"/>
    <d v="2024-02-19T00:00:00"/>
    <x v="5"/>
    <n v="2024"/>
    <n v="1"/>
    <n v="0"/>
    <d v="1899-12-30T10:38:00"/>
    <d v="1899-12-30T20:33:00"/>
    <s v="Present"/>
    <s v="Morning"/>
    <s v="Remote"/>
    <n v="0"/>
  </r>
  <r>
    <s v="E1049"/>
    <s v="Employee_49"/>
    <x v="2"/>
    <d v="2024-02-09T00:00:00"/>
    <x v="5"/>
    <n v="2024"/>
    <n v="1"/>
    <n v="0"/>
    <d v="1899-12-30T09:56:00"/>
    <d v="1899-12-30T18:50:00"/>
    <s v="Work From Home"/>
    <s v="Morning"/>
    <s v="Office"/>
    <n v="0"/>
  </r>
  <r>
    <s v="E1001"/>
    <s v="Employee_1"/>
    <x v="1"/>
    <d v="2024-03-20T00:00:00"/>
    <x v="0"/>
    <n v="2024"/>
    <n v="1"/>
    <n v="0"/>
    <d v="1899-12-30T10:24:00"/>
    <d v="1899-12-30T19:45:00"/>
    <s v="Work From Home"/>
    <s v="Morning"/>
    <s v="Office"/>
    <n v="0"/>
  </r>
  <r>
    <s v="E1024"/>
    <s v="Employee_24"/>
    <x v="1"/>
    <d v="2024-01-20T00:00:00"/>
    <x v="2"/>
    <n v="2024"/>
    <n v="1"/>
    <n v="0"/>
    <d v="1899-12-30T11:34:00"/>
    <d v="1899-12-30T18:33:00"/>
    <s v="Work From Home"/>
    <s v="Morning"/>
    <s v="Remote"/>
    <n v="0"/>
  </r>
  <r>
    <s v="E1030"/>
    <s v="Employee_30"/>
    <x v="3"/>
    <d v="2024-01-03T00:00:00"/>
    <x v="2"/>
    <n v="2024"/>
    <n v="0"/>
    <n v="0"/>
    <m/>
    <m/>
    <s v="Absent"/>
    <s v="Evening"/>
    <s v="Office"/>
    <n v="0"/>
  </r>
  <r>
    <s v="E1038"/>
    <s v="Employee_38"/>
    <x v="4"/>
    <d v="2024-03-11T00:00:00"/>
    <x v="0"/>
    <n v="2024"/>
    <n v="1"/>
    <n v="0"/>
    <d v="1899-12-30T10:33:00"/>
    <d v="1899-12-30T20:23:00"/>
    <s v="Present"/>
    <s v="Evening"/>
    <s v="Office"/>
    <n v="0"/>
  </r>
  <r>
    <s v="E1034"/>
    <s v="Employee_34"/>
    <x v="2"/>
    <d v="2024-02-23T00:00:00"/>
    <x v="5"/>
    <n v="2024"/>
    <n v="1"/>
    <n v="0"/>
    <d v="1899-12-30T08:00:00"/>
    <d v="1899-12-30T20:58:00"/>
    <s v="Present"/>
    <s v="Morning"/>
    <s v="Remote"/>
    <n v="0"/>
  </r>
  <r>
    <s v="E1011"/>
    <s v="Employee_11"/>
    <x v="2"/>
    <d v="2024-01-25T00:00:00"/>
    <x v="2"/>
    <n v="2024"/>
    <n v="1"/>
    <n v="1"/>
    <d v="1899-12-30T08:18:00"/>
    <d v="1899-12-30T20:04:00"/>
    <s v="Late"/>
    <s v="Evening"/>
    <s v="Office"/>
    <n v="0"/>
  </r>
  <r>
    <s v="E1022"/>
    <s v="Employee_22"/>
    <x v="2"/>
    <d v="2024-03-02T00:00:00"/>
    <x v="0"/>
    <n v="2024"/>
    <n v="1"/>
    <n v="1"/>
    <d v="1899-12-30T10:23:00"/>
    <d v="1899-12-30T17:53:00"/>
    <s v="Late"/>
    <s v="Morning"/>
    <s v="Office"/>
    <n v="0"/>
  </r>
  <r>
    <s v="E1018"/>
    <s v="Employee_18"/>
    <x v="4"/>
    <d v="2024-02-03T00:00:00"/>
    <x v="5"/>
    <n v="2024"/>
    <n v="0"/>
    <n v="0"/>
    <m/>
    <m/>
    <s v="Absent"/>
    <s v="Morning"/>
    <s v="Remote"/>
    <n v="0"/>
  </r>
  <r>
    <s v="E1057"/>
    <s v="Employee_57"/>
    <x v="4"/>
    <d v="2024-03-26T00:00:00"/>
    <x v="0"/>
    <n v="2024"/>
    <n v="1"/>
    <n v="0"/>
    <d v="1899-12-30T09:35:00"/>
    <d v="1899-12-30T18:14:00"/>
    <s v="Present"/>
    <s v="Morning"/>
    <s v="Office"/>
    <n v="0"/>
  </r>
  <r>
    <s v="E1059"/>
    <s v="Employee_59"/>
    <x v="0"/>
    <d v="2024-08-01T00:00:00"/>
    <x v="9"/>
    <n v="2024"/>
    <n v="1"/>
    <n v="1"/>
    <d v="1899-12-30T09:00:00"/>
    <d v="1899-12-30T17:11:00"/>
    <s v="Late"/>
    <s v="Evening"/>
    <s v="Office"/>
    <n v="0"/>
  </r>
  <r>
    <s v="E1051"/>
    <s v="Employee_51"/>
    <x v="3"/>
    <d v="2024-01-28T00:00:00"/>
    <x v="2"/>
    <n v="2024"/>
    <n v="1"/>
    <n v="0"/>
    <d v="1899-12-30T11:02:00"/>
    <d v="1899-12-30T19:40:00"/>
    <s v="Present"/>
    <s v="Evening"/>
    <s v="Remote"/>
    <n v="0"/>
  </r>
  <r>
    <s v="E1025"/>
    <s v="Employee_25"/>
    <x v="4"/>
    <d v="2024-02-03T00:00:00"/>
    <x v="5"/>
    <n v="2024"/>
    <n v="1"/>
    <n v="0"/>
    <d v="1899-12-30T08:52:00"/>
    <d v="1899-12-30T19:20:00"/>
    <s v="Work From Home"/>
    <s v="Evening"/>
    <s v="Office"/>
    <n v="0"/>
  </r>
  <r>
    <s v="E1047"/>
    <s v="Employee_47"/>
    <x v="2"/>
    <d v="2024-03-18T00:00:00"/>
    <x v="0"/>
    <n v="2024"/>
    <n v="0"/>
    <n v="0"/>
    <m/>
    <m/>
    <s v="Absent"/>
    <s v="Evening"/>
    <s v="Office"/>
    <n v="0"/>
  </r>
  <r>
    <s v="E1036"/>
    <s v="Employee_36"/>
    <x v="4"/>
    <d v="2024-05-02T00:00:00"/>
    <x v="6"/>
    <n v="2024"/>
    <n v="0"/>
    <n v="0"/>
    <m/>
    <m/>
    <s v="Absent"/>
    <s v="Evening"/>
    <s v="Office"/>
    <n v="0"/>
  </r>
  <r>
    <s v="E1010"/>
    <s v="Employee_10"/>
    <x v="1"/>
    <d v="2024-03-05T00:00:00"/>
    <x v="0"/>
    <n v="2024"/>
    <n v="1"/>
    <n v="1"/>
    <d v="1899-12-30T08:49:00"/>
    <d v="1899-12-30T16:08:00"/>
    <s v="Late"/>
    <s v="Morning"/>
    <s v="Office"/>
    <n v="0"/>
  </r>
  <r>
    <s v="E1042"/>
    <s v="Employee_42"/>
    <x v="3"/>
    <d v="2024-03-23T00:00:00"/>
    <x v="0"/>
    <n v="2024"/>
    <n v="1"/>
    <n v="0"/>
    <d v="1899-12-30T09:10:00"/>
    <d v="1899-12-30T17:58:00"/>
    <s v="Work From Home"/>
    <s v="Evening"/>
    <s v="Office"/>
    <n v="0"/>
  </r>
  <r>
    <s v="E1028"/>
    <s v="Employee_28"/>
    <x v="2"/>
    <d v="2024-03-19T00:00:00"/>
    <x v="0"/>
    <n v="2024"/>
    <n v="1"/>
    <n v="0"/>
    <d v="1899-12-30T10:15:00"/>
    <d v="1899-12-30T19:10:00"/>
    <s v="Work From Home"/>
    <s v="Evening"/>
    <s v="Remote"/>
    <n v="0"/>
  </r>
  <r>
    <s v="E1012"/>
    <s v="Employee_12"/>
    <x v="4"/>
    <d v="2024-03-25T00:00:00"/>
    <x v="0"/>
    <n v="2024"/>
    <n v="1"/>
    <n v="0"/>
    <d v="1899-12-30T08:56:00"/>
    <d v="1899-12-30T16:55:00"/>
    <s v="Work From Home"/>
    <s v="Evening"/>
    <s v="Remote"/>
    <n v="0"/>
  </r>
  <r>
    <s v="E1036"/>
    <s v="Employee_36"/>
    <x v="3"/>
    <d v="2024-02-18T00:00:00"/>
    <x v="5"/>
    <n v="2024"/>
    <n v="1"/>
    <n v="0"/>
    <d v="1899-12-30T10:51:00"/>
    <d v="1899-12-30T18:26:00"/>
    <s v="Work From Home"/>
    <s v="Morning"/>
    <s v="Remote"/>
    <n v="0"/>
  </r>
  <r>
    <s v="E1029"/>
    <s v="Employee_29"/>
    <x v="3"/>
    <d v="2024-03-20T00:00:00"/>
    <x v="0"/>
    <n v="2024"/>
    <n v="1"/>
    <n v="0"/>
    <d v="1899-12-30T08:45:00"/>
    <d v="1899-12-30T18:55:00"/>
    <s v="Work From Home"/>
    <s v="Morning"/>
    <s v="Office"/>
    <n v="0"/>
  </r>
  <r>
    <s v="E1048"/>
    <s v="Employee_48"/>
    <x v="1"/>
    <d v="2024-03-26T00:00:00"/>
    <x v="0"/>
    <n v="2024"/>
    <n v="1"/>
    <n v="1"/>
    <d v="1899-12-30T09:24:00"/>
    <d v="1899-12-30T16:05:00"/>
    <s v="Late"/>
    <s v="Morning"/>
    <s v="Remote"/>
    <n v="0"/>
  </r>
  <r>
    <s v="E1049"/>
    <s v="Employee_49"/>
    <x v="2"/>
    <d v="2024-08-03T00:00:00"/>
    <x v="9"/>
    <n v="2024"/>
    <n v="1"/>
    <n v="0"/>
    <d v="1899-12-30T08:49:00"/>
    <d v="1899-12-30T16:13:00"/>
    <s v="Work From Home"/>
    <s v="Morning"/>
    <s v="Remote"/>
    <n v="0"/>
  </r>
  <r>
    <s v="E1005"/>
    <s v="Employee_5"/>
    <x v="1"/>
    <d v="2024-08-02T00:00:00"/>
    <x v="9"/>
    <n v="2024"/>
    <n v="1"/>
    <n v="0"/>
    <d v="1899-12-30T10:22:00"/>
    <d v="1899-12-30T16:00:00"/>
    <s v="Present"/>
    <s v="Evening"/>
    <s v="Remote"/>
    <n v="0"/>
  </r>
  <r>
    <s v="E1000"/>
    <s v="Employee_0"/>
    <x v="4"/>
    <d v="2024-03-13T00:00:00"/>
    <x v="0"/>
    <n v="2024"/>
    <n v="1"/>
    <n v="1"/>
    <d v="1899-12-30T11:29:00"/>
    <d v="1899-12-30T18:13:00"/>
    <s v="Late"/>
    <s v="Evening"/>
    <s v="Office"/>
    <n v="0"/>
  </r>
  <r>
    <s v="E1040"/>
    <s v="Employee_40"/>
    <x v="3"/>
    <d v="2024-02-28T00:00:00"/>
    <x v="5"/>
    <n v="2024"/>
    <n v="1"/>
    <n v="1"/>
    <d v="1899-12-30T09:34:00"/>
    <d v="1899-12-30T17:16:00"/>
    <s v="Late"/>
    <s v="Evening"/>
    <s v="Remote"/>
    <n v="0"/>
  </r>
  <r>
    <s v="E1059"/>
    <s v="Employee_59"/>
    <x v="0"/>
    <d v="2024-03-20T00:00:00"/>
    <x v="0"/>
    <n v="2024"/>
    <n v="0"/>
    <n v="0"/>
    <m/>
    <m/>
    <s v="Absent"/>
    <s v="Evening"/>
    <s v="Remote"/>
    <n v="0"/>
  </r>
  <r>
    <s v="E1043"/>
    <s v="Employee_43"/>
    <x v="3"/>
    <d v="2024-12-02T00:00:00"/>
    <x v="8"/>
    <n v="2024"/>
    <n v="1"/>
    <n v="0"/>
    <d v="1899-12-30T08:51:00"/>
    <d v="1899-12-30T16:19:00"/>
    <s v="Present"/>
    <s v="Evening"/>
    <s v="Remote"/>
    <n v="0"/>
  </r>
  <r>
    <s v="E1007"/>
    <s v="Employee_7"/>
    <x v="4"/>
    <d v="2024-03-11T00:00:00"/>
    <x v="0"/>
    <n v="2024"/>
    <n v="0"/>
    <n v="0"/>
    <m/>
    <m/>
    <s v="Absent"/>
    <s v="Evening"/>
    <s v="Office"/>
    <n v="0"/>
  </r>
  <r>
    <s v="E1058"/>
    <s v="Employee_58"/>
    <x v="2"/>
    <d v="2024-01-29T00:00:00"/>
    <x v="2"/>
    <n v="2024"/>
    <n v="1"/>
    <n v="0"/>
    <d v="1899-12-30T10:13:00"/>
    <d v="1899-12-30T19:31:00"/>
    <s v="Work From Home"/>
    <s v="Morning"/>
    <s v="Office"/>
    <n v="0"/>
  </r>
  <r>
    <s v="E1017"/>
    <s v="Employee_17"/>
    <x v="3"/>
    <d v="2024-03-01T00:00:00"/>
    <x v="0"/>
    <n v="2024"/>
    <n v="1"/>
    <n v="1"/>
    <d v="1899-12-30T09:46:00"/>
    <d v="1899-12-30T18:54:00"/>
    <s v="Late"/>
    <s v="Morning"/>
    <s v="Remote"/>
    <n v="0"/>
  </r>
  <r>
    <s v="E1005"/>
    <s v="Employee_5"/>
    <x v="4"/>
    <d v="2024-01-03T00:00:00"/>
    <x v="2"/>
    <n v="2024"/>
    <n v="1"/>
    <n v="0"/>
    <d v="1899-12-30T10:14:00"/>
    <d v="1899-12-30T17:57:00"/>
    <s v="Work From Home"/>
    <s v="Morning"/>
    <s v="Office"/>
    <n v="0"/>
  </r>
  <r>
    <s v="E1032"/>
    <s v="Employee_32"/>
    <x v="4"/>
    <d v="2024-12-02T00:00:00"/>
    <x v="8"/>
    <n v="2024"/>
    <n v="1"/>
    <n v="0"/>
    <d v="1899-12-30T11:53:00"/>
    <d v="1899-12-30T18:58:00"/>
    <s v="Present"/>
    <s v="Evening"/>
    <s v="Office"/>
    <n v="0"/>
  </r>
  <r>
    <s v="E1024"/>
    <s v="Employee_24"/>
    <x v="2"/>
    <d v="2024-01-07T00:00:00"/>
    <x v="2"/>
    <n v="2024"/>
    <n v="1"/>
    <n v="0"/>
    <d v="1899-12-30T08:41:00"/>
    <d v="1899-12-30T19:48:00"/>
    <s v="Present"/>
    <s v="Morning"/>
    <s v="Remote"/>
    <n v="0"/>
  </r>
  <r>
    <s v="E1056"/>
    <s v="Employee_56"/>
    <x v="4"/>
    <d v="2024-01-31T00:00:00"/>
    <x v="2"/>
    <n v="2024"/>
    <n v="0"/>
    <n v="0"/>
    <m/>
    <m/>
    <s v="Absent"/>
    <s v="Evening"/>
    <s v="Remote"/>
    <n v="0"/>
  </r>
  <r>
    <s v="E1031"/>
    <s v="Employee_31"/>
    <x v="0"/>
    <d v="2024-01-31T00:00:00"/>
    <x v="2"/>
    <n v="2024"/>
    <n v="1"/>
    <n v="1"/>
    <d v="1899-12-30T11:29:00"/>
    <d v="1899-12-30T17:47:00"/>
    <s v="Late"/>
    <s v="Morning"/>
    <s v="Office"/>
    <n v="0"/>
  </r>
  <r>
    <s v="E1019"/>
    <s v="Employee_19"/>
    <x v="0"/>
    <d v="2024-01-29T00:00:00"/>
    <x v="2"/>
    <n v="2024"/>
    <n v="1"/>
    <n v="0"/>
    <d v="1899-12-30T09:11:00"/>
    <d v="1899-12-30T17:51:00"/>
    <s v="Work From Home"/>
    <s v="Evening"/>
    <s v="Office"/>
    <n v="0"/>
  </r>
  <r>
    <s v="E1047"/>
    <s v="Employee_47"/>
    <x v="0"/>
    <d v="2024-01-26T00:00:00"/>
    <x v="2"/>
    <n v="2024"/>
    <n v="1"/>
    <n v="0"/>
    <d v="1899-12-30T09:56:00"/>
    <d v="1899-12-30T19:11:00"/>
    <s v="Present"/>
    <s v="Morning"/>
    <s v="Remote"/>
    <n v="0"/>
  </r>
  <r>
    <s v="E1022"/>
    <s v="Employee_22"/>
    <x v="4"/>
    <d v="2024-04-01T00:00:00"/>
    <x v="10"/>
    <n v="2024"/>
    <n v="0"/>
    <n v="0"/>
    <m/>
    <m/>
    <s v="Absent"/>
    <s v="Morning"/>
    <s v="Remote"/>
    <n v="0"/>
  </r>
  <r>
    <s v="E1032"/>
    <s v="Employee_32"/>
    <x v="2"/>
    <d v="2024-03-12T00:00:00"/>
    <x v="0"/>
    <n v="2024"/>
    <n v="1"/>
    <n v="1"/>
    <d v="1899-12-30T08:28:00"/>
    <d v="1899-12-30T16:06:00"/>
    <s v="Late"/>
    <s v="Morning"/>
    <s v="Remote"/>
    <n v="0"/>
  </r>
  <r>
    <s v="E1034"/>
    <s v="Employee_34"/>
    <x v="2"/>
    <d v="2024-03-23T00:00:00"/>
    <x v="0"/>
    <n v="2024"/>
    <n v="0"/>
    <n v="0"/>
    <m/>
    <m/>
    <s v="Absent"/>
    <s v="Morning"/>
    <s v="Office"/>
    <n v="0"/>
  </r>
  <r>
    <s v="E1043"/>
    <s v="Employee_43"/>
    <x v="4"/>
    <d v="2024-01-14T00:00:00"/>
    <x v="2"/>
    <n v="2024"/>
    <n v="1"/>
    <n v="0"/>
    <d v="1899-12-30T10:48:00"/>
    <d v="1899-12-30T19:46:00"/>
    <s v="Present"/>
    <s v="Morning"/>
    <s v="Office"/>
    <n v="0"/>
  </r>
  <r>
    <s v="E1046"/>
    <s v="Employee_46"/>
    <x v="0"/>
    <d v="2024-01-13T00:00:00"/>
    <x v="2"/>
    <n v="2024"/>
    <n v="0"/>
    <n v="0"/>
    <m/>
    <m/>
    <s v="Absent"/>
    <s v="Evening"/>
    <s v="Office"/>
    <n v="0"/>
  </r>
  <r>
    <s v="E1029"/>
    <s v="Employee_29"/>
    <x v="4"/>
    <d v="2024-01-23T00:00:00"/>
    <x v="2"/>
    <n v="2024"/>
    <n v="1"/>
    <n v="0"/>
    <d v="1899-12-30T11:54:00"/>
    <d v="1899-12-30T19:25:00"/>
    <s v="Present"/>
    <s v="Morning"/>
    <s v="Remote"/>
    <n v="0"/>
  </r>
  <r>
    <s v="E1020"/>
    <s v="Employee_20"/>
    <x v="1"/>
    <d v="2024-01-29T00:00:00"/>
    <x v="2"/>
    <n v="2024"/>
    <n v="0"/>
    <n v="0"/>
    <m/>
    <m/>
    <s v="Absent"/>
    <s v="Evening"/>
    <s v="Office"/>
    <n v="0"/>
  </r>
  <r>
    <s v="E1054"/>
    <s v="Employee_54"/>
    <x v="0"/>
    <d v="2024-02-17T00:00:00"/>
    <x v="5"/>
    <n v="2024"/>
    <n v="1"/>
    <n v="0"/>
    <d v="1899-12-30T11:18:00"/>
    <d v="1899-12-30T17:24:00"/>
    <s v="Work From Home"/>
    <s v="Morning"/>
    <s v="Remote"/>
    <n v="0"/>
  </r>
  <r>
    <s v="E1031"/>
    <s v="Employee_31"/>
    <x v="0"/>
    <d v="2024-03-14T00:00:00"/>
    <x v="0"/>
    <n v="2024"/>
    <n v="1"/>
    <n v="1"/>
    <d v="1899-12-30T10:19:00"/>
    <d v="1899-12-30T19:52:00"/>
    <s v="Late"/>
    <s v="Evening"/>
    <s v="Office"/>
    <n v="0"/>
  </r>
  <r>
    <s v="E1039"/>
    <s v="Employee_39"/>
    <x v="3"/>
    <d v="2024-01-17T00:00:00"/>
    <x v="2"/>
    <n v="2024"/>
    <n v="0"/>
    <n v="0"/>
    <m/>
    <m/>
    <s v="Absent"/>
    <s v="Evening"/>
    <s v="Office"/>
    <n v="0"/>
  </r>
  <r>
    <s v="E1013"/>
    <s v="Employee_13"/>
    <x v="3"/>
    <d v="2024-02-15T00:00:00"/>
    <x v="5"/>
    <n v="2024"/>
    <n v="1"/>
    <n v="1"/>
    <d v="1899-12-30T09:44:00"/>
    <d v="1899-12-30T18:30:00"/>
    <s v="Late"/>
    <s v="Morning"/>
    <s v="Office"/>
    <n v="0"/>
  </r>
  <r>
    <s v="E1052"/>
    <s v="Employee_52"/>
    <x v="1"/>
    <d v="2024-10-02T00:00:00"/>
    <x v="7"/>
    <n v="2024"/>
    <n v="0"/>
    <n v="0"/>
    <m/>
    <m/>
    <s v="Absent"/>
    <s v="Morning"/>
    <s v="Remote"/>
    <n v="0"/>
  </r>
  <r>
    <s v="E1035"/>
    <s v="Employee_35"/>
    <x v="2"/>
    <d v="2024-01-21T00:00:00"/>
    <x v="2"/>
    <n v="2024"/>
    <n v="0"/>
    <n v="0"/>
    <m/>
    <m/>
    <s v="Absent"/>
    <s v="Morning"/>
    <s v="Remote"/>
    <n v="0"/>
  </r>
  <r>
    <s v="E1019"/>
    <s v="Employee_19"/>
    <x v="2"/>
    <d v="2024-03-26T00:00:00"/>
    <x v="0"/>
    <n v="2024"/>
    <n v="0"/>
    <n v="0"/>
    <m/>
    <m/>
    <s v="Absent"/>
    <s v="Morning"/>
    <s v="Remote"/>
    <n v="0"/>
  </r>
  <r>
    <s v="E1055"/>
    <s v="Employee_55"/>
    <x v="2"/>
    <d v="2024-03-18T00:00:00"/>
    <x v="0"/>
    <n v="2024"/>
    <n v="1"/>
    <n v="0"/>
    <d v="1899-12-30T11:15:00"/>
    <d v="1899-12-30T16:53:00"/>
    <s v="Work From Home"/>
    <s v="Evening"/>
    <s v="Remote"/>
    <n v="0"/>
  </r>
  <r>
    <s v="E1055"/>
    <s v="Employee_55"/>
    <x v="0"/>
    <d v="2024-01-27T00:00:00"/>
    <x v="2"/>
    <n v="2024"/>
    <n v="1"/>
    <n v="0"/>
    <d v="1899-12-30T10:19:00"/>
    <d v="1899-12-30T18:47:00"/>
    <s v="Present"/>
    <s v="Morning"/>
    <s v="Office"/>
    <n v="0"/>
  </r>
  <r>
    <s v="E1038"/>
    <s v="Employee_38"/>
    <x v="1"/>
    <d v="2024-03-20T00:00:00"/>
    <x v="0"/>
    <n v="2024"/>
    <n v="1"/>
    <n v="0"/>
    <d v="1899-12-30T10:07:00"/>
    <d v="1899-12-30T19:03:00"/>
    <s v="Work From Home"/>
    <s v="Evening"/>
    <s v="Office"/>
    <n v="0"/>
  </r>
  <r>
    <s v="E1015"/>
    <s v="Employee_15"/>
    <x v="0"/>
    <d v="2024-03-17T00:00:00"/>
    <x v="0"/>
    <n v="2024"/>
    <n v="1"/>
    <n v="0"/>
    <d v="1899-12-30T09:26:00"/>
    <d v="1899-12-30T16:19:00"/>
    <s v="Present"/>
    <s v="Morning"/>
    <s v="Remote"/>
    <n v="0"/>
  </r>
  <r>
    <s v="E1023"/>
    <s v="Employee_23"/>
    <x v="2"/>
    <d v="2024-02-18T00:00:00"/>
    <x v="5"/>
    <n v="2024"/>
    <n v="0"/>
    <n v="0"/>
    <m/>
    <m/>
    <s v="Absent"/>
    <s v="Morning"/>
    <s v="Office"/>
    <n v="0"/>
  </r>
  <r>
    <s v="E1039"/>
    <s v="Employee_39"/>
    <x v="2"/>
    <d v="2024-03-16T00:00:00"/>
    <x v="0"/>
    <n v="2024"/>
    <n v="1"/>
    <n v="0"/>
    <d v="1899-12-30T09:16:00"/>
    <d v="1899-12-30T16:03:00"/>
    <s v="Work From Home"/>
    <s v="Morning"/>
    <s v="Remote"/>
    <n v="0"/>
  </r>
  <r>
    <s v="E1051"/>
    <s v="Employee_51"/>
    <x v="3"/>
    <d v="2024-01-16T00:00:00"/>
    <x v="2"/>
    <n v="2024"/>
    <n v="1"/>
    <n v="1"/>
    <d v="1899-12-30T10:42:00"/>
    <d v="1899-12-30T20:00:00"/>
    <s v="Late"/>
    <s v="Evening"/>
    <s v="Office"/>
    <n v="0"/>
  </r>
  <r>
    <s v="E1019"/>
    <s v="Employee_19"/>
    <x v="3"/>
    <d v="2024-01-29T00:00:00"/>
    <x v="2"/>
    <n v="2024"/>
    <n v="1"/>
    <n v="0"/>
    <d v="1899-12-30T09:35:00"/>
    <d v="1899-12-30T19:47:00"/>
    <s v="Work From Home"/>
    <s v="Evening"/>
    <s v="Remote"/>
    <n v="0"/>
  </r>
  <r>
    <s v="E1007"/>
    <s v="Employee_7"/>
    <x v="4"/>
    <d v="2024-02-25T00:00:00"/>
    <x v="5"/>
    <n v="2024"/>
    <n v="1"/>
    <n v="1"/>
    <d v="1899-12-30T10:27:00"/>
    <d v="1899-12-30T17:18:00"/>
    <s v="Late"/>
    <s v="Morning"/>
    <s v="Office"/>
    <n v="0"/>
  </r>
  <r>
    <s v="E1006"/>
    <s v="Employee_6"/>
    <x v="4"/>
    <d v="2024-02-28T00:00:00"/>
    <x v="5"/>
    <n v="2024"/>
    <n v="1"/>
    <n v="1"/>
    <d v="1899-12-30T09:53:00"/>
    <d v="1899-12-30T19:17:00"/>
    <s v="Late"/>
    <s v="Morning"/>
    <s v="Office"/>
    <n v="0"/>
  </r>
  <r>
    <s v="E1016"/>
    <s v="Employee_16"/>
    <x v="0"/>
    <d v="2024-03-13T00:00:00"/>
    <x v="0"/>
    <n v="2024"/>
    <n v="1"/>
    <n v="0"/>
    <d v="1899-12-30T11:24:00"/>
    <d v="1899-12-30T17:51:00"/>
    <s v="Present"/>
    <s v="Evening"/>
    <s v="Office"/>
    <n v="0"/>
  </r>
  <r>
    <s v="E1037"/>
    <s v="Employee_37"/>
    <x v="1"/>
    <d v="2024-02-13T00:00:00"/>
    <x v="5"/>
    <n v="2024"/>
    <n v="0"/>
    <n v="0"/>
    <m/>
    <m/>
    <s v="Absent"/>
    <s v="Morning"/>
    <s v="Remote"/>
    <n v="0"/>
  </r>
  <r>
    <s v="E1003"/>
    <s v="Employee_3"/>
    <x v="2"/>
    <d v="2024-03-16T00:00:00"/>
    <x v="0"/>
    <n v="2024"/>
    <n v="1"/>
    <n v="0"/>
    <d v="1899-12-30T09:57:00"/>
    <d v="1899-12-30T17:16:00"/>
    <s v="Work From Home"/>
    <s v="Morning"/>
    <s v="Remote"/>
    <n v="0"/>
  </r>
  <r>
    <s v="E1028"/>
    <s v="Employee_28"/>
    <x v="4"/>
    <d v="2024-02-08T00:00:00"/>
    <x v="5"/>
    <n v="2024"/>
    <n v="1"/>
    <n v="0"/>
    <d v="1899-12-30T08:48:00"/>
    <d v="1899-12-30T19:56:00"/>
    <s v="Present"/>
    <s v="Morning"/>
    <s v="Remote"/>
    <n v="0"/>
  </r>
  <r>
    <s v="E1038"/>
    <s v="Employee_38"/>
    <x v="3"/>
    <d v="2024-03-06T00:00:00"/>
    <x v="0"/>
    <n v="2024"/>
    <n v="0"/>
    <n v="0"/>
    <m/>
    <m/>
    <s v="Absent"/>
    <s v="Evening"/>
    <s v="Remote"/>
    <n v="0"/>
  </r>
  <r>
    <s v="E1010"/>
    <s v="Employee_10"/>
    <x v="0"/>
    <d v="2024-02-22T00:00:00"/>
    <x v="5"/>
    <n v="2024"/>
    <n v="1"/>
    <n v="0"/>
    <d v="1899-12-30T09:32:00"/>
    <d v="1899-12-30T20:24:00"/>
    <s v="Present"/>
    <s v="Evening"/>
    <s v="Office"/>
    <n v="0"/>
  </r>
  <r>
    <s v="E1036"/>
    <s v="Employee_36"/>
    <x v="4"/>
    <d v="2024-01-20T00:00:00"/>
    <x v="2"/>
    <n v="2024"/>
    <n v="0"/>
    <n v="0"/>
    <m/>
    <m/>
    <s v="Absent"/>
    <s v="Evening"/>
    <s v="Remote"/>
    <n v="0"/>
  </r>
  <r>
    <s v="E1032"/>
    <s v="Employee_32"/>
    <x v="0"/>
    <d v="2024-02-21T00:00:00"/>
    <x v="5"/>
    <n v="2024"/>
    <n v="1"/>
    <n v="1"/>
    <d v="1899-12-30T11:37:00"/>
    <d v="1899-12-30T19:30:00"/>
    <s v="Late"/>
    <s v="Evening"/>
    <s v="Office"/>
    <n v="0"/>
  </r>
  <r>
    <s v="E1049"/>
    <s v="Employee_49"/>
    <x v="4"/>
    <d v="2024-01-21T00:00:00"/>
    <x v="2"/>
    <n v="2024"/>
    <n v="1"/>
    <n v="1"/>
    <d v="1899-12-30T08:33:00"/>
    <d v="1899-12-30T19:06:00"/>
    <s v="Late"/>
    <s v="Morning"/>
    <s v="Remote"/>
    <n v="0"/>
  </r>
  <r>
    <s v="E1020"/>
    <s v="Employee_20"/>
    <x v="4"/>
    <d v="2024-12-01T00:00:00"/>
    <x v="8"/>
    <n v="2024"/>
    <n v="1"/>
    <n v="1"/>
    <d v="1899-12-30T09:29:00"/>
    <d v="1899-12-30T18:11:00"/>
    <s v="Late"/>
    <s v="Morning"/>
    <s v="Remote"/>
    <n v="0"/>
  </r>
  <r>
    <s v="E1031"/>
    <s v="Employee_31"/>
    <x v="3"/>
    <d v="2024-03-21T00:00:00"/>
    <x v="0"/>
    <n v="2024"/>
    <n v="1"/>
    <n v="1"/>
    <d v="1899-12-30T08:14:00"/>
    <d v="1899-12-30T18:23:00"/>
    <s v="Late"/>
    <s v="Evening"/>
    <s v="Remote"/>
    <n v="0"/>
  </r>
  <r>
    <s v="E1036"/>
    <s v="Employee_36"/>
    <x v="3"/>
    <d v="2024-05-01T00:00:00"/>
    <x v="6"/>
    <n v="2024"/>
    <n v="1"/>
    <n v="1"/>
    <d v="1899-12-30T11:29:00"/>
    <d v="1899-12-30T19:41:00"/>
    <s v="Late"/>
    <s v="Evening"/>
    <s v="Remote"/>
    <n v="0"/>
  </r>
  <r>
    <s v="E1012"/>
    <s v="Employee_12"/>
    <x v="2"/>
    <d v="2024-01-25T00:00:00"/>
    <x v="2"/>
    <n v="2024"/>
    <n v="0"/>
    <n v="0"/>
    <m/>
    <m/>
    <s v="Absent"/>
    <s v="Morning"/>
    <s v="Office"/>
    <n v="0"/>
  </r>
  <r>
    <s v="E1023"/>
    <s v="Employee_23"/>
    <x v="4"/>
    <d v="2024-03-15T00:00:00"/>
    <x v="0"/>
    <n v="2024"/>
    <n v="0"/>
    <n v="0"/>
    <m/>
    <m/>
    <s v="Absent"/>
    <s v="Evening"/>
    <s v="Remote"/>
    <n v="0"/>
  </r>
  <r>
    <s v="E1026"/>
    <s v="Employee_26"/>
    <x v="3"/>
    <d v="2024-08-03T00:00:00"/>
    <x v="9"/>
    <n v="2024"/>
    <n v="1"/>
    <n v="0"/>
    <d v="1899-12-30T09:34:00"/>
    <d v="1899-12-30T17:17:00"/>
    <s v="Present"/>
    <s v="Evening"/>
    <s v="Remote"/>
    <n v="0"/>
  </r>
  <r>
    <s v="E1058"/>
    <s v="Employee_58"/>
    <x v="0"/>
    <d v="2024-02-18T00:00:00"/>
    <x v="5"/>
    <n v="2024"/>
    <n v="1"/>
    <n v="1"/>
    <d v="1899-12-30T09:46:00"/>
    <d v="1899-12-30T18:13:00"/>
    <s v="Late"/>
    <s v="Morning"/>
    <s v="Remote"/>
    <n v="0"/>
  </r>
  <r>
    <s v="E1010"/>
    <s v="Employee_10"/>
    <x v="4"/>
    <d v="2024-02-15T00:00:00"/>
    <x v="5"/>
    <n v="2024"/>
    <n v="1"/>
    <n v="0"/>
    <d v="1899-12-30T10:41:00"/>
    <d v="1899-12-30T17:24:00"/>
    <s v="Present"/>
    <s v="Evening"/>
    <s v="Remote"/>
    <n v="0"/>
  </r>
  <r>
    <s v="E1003"/>
    <s v="Employee_3"/>
    <x v="4"/>
    <d v="2024-04-01T00:00:00"/>
    <x v="10"/>
    <n v="2024"/>
    <n v="1"/>
    <n v="1"/>
    <d v="1899-12-30T11:44:00"/>
    <d v="1899-12-30T20:40:00"/>
    <s v="Late"/>
    <s v="Evening"/>
    <s v="Remote"/>
    <n v="0"/>
  </r>
  <r>
    <s v="E1006"/>
    <s v="Employee_6"/>
    <x v="1"/>
    <d v="2024-02-14T00:00:00"/>
    <x v="5"/>
    <n v="2024"/>
    <n v="1"/>
    <n v="0"/>
    <d v="1899-12-30T09:34:00"/>
    <d v="1899-12-30T16:16:00"/>
    <s v="Present"/>
    <s v="Evening"/>
    <s v="Office"/>
    <n v="0"/>
  </r>
  <r>
    <s v="E1001"/>
    <s v="Employee_1"/>
    <x v="4"/>
    <d v="2024-01-15T00:00:00"/>
    <x v="2"/>
    <n v="2024"/>
    <n v="1"/>
    <n v="0"/>
    <d v="1899-12-30T10:53:00"/>
    <d v="1899-12-30T16:54:00"/>
    <s v="Work From Home"/>
    <s v="Morning"/>
    <s v="Office"/>
    <n v="0"/>
  </r>
  <r>
    <s v="E1040"/>
    <s v="Employee_40"/>
    <x v="2"/>
    <d v="2024-01-10T00:00:00"/>
    <x v="2"/>
    <n v="2024"/>
    <n v="1"/>
    <n v="1"/>
    <d v="1899-12-30T09:02:00"/>
    <d v="1899-12-30T19:17:00"/>
    <s v="Late"/>
    <s v="Evening"/>
    <s v="Office"/>
    <n v="0"/>
  </r>
  <r>
    <s v="E1006"/>
    <s v="Employee_6"/>
    <x v="3"/>
    <d v="2024-09-03T00:00:00"/>
    <x v="3"/>
    <n v="2024"/>
    <n v="1"/>
    <n v="1"/>
    <d v="1899-12-30T10:45:00"/>
    <d v="1899-12-30T18:04:00"/>
    <s v="Late"/>
    <s v="Evening"/>
    <s v="Office"/>
    <n v="0"/>
  </r>
  <r>
    <s v="E1015"/>
    <s v="Employee_15"/>
    <x v="2"/>
    <d v="2024-01-19T00:00:00"/>
    <x v="2"/>
    <n v="2024"/>
    <n v="0"/>
    <n v="0"/>
    <m/>
    <m/>
    <s v="Absent"/>
    <s v="Evening"/>
    <s v="Office"/>
    <n v="0"/>
  </r>
  <r>
    <s v="E1007"/>
    <s v="Employee_7"/>
    <x v="0"/>
    <d v="2024-08-01T00:00:00"/>
    <x v="9"/>
    <n v="2024"/>
    <n v="1"/>
    <n v="1"/>
    <d v="1899-12-30T09:23:00"/>
    <d v="1899-12-30T18:31:00"/>
    <s v="Late"/>
    <s v="Evening"/>
    <s v="Remote"/>
    <n v="0"/>
  </r>
  <r>
    <s v="E1052"/>
    <s v="Employee_52"/>
    <x v="4"/>
    <d v="2024-12-01T00:00:00"/>
    <x v="8"/>
    <n v="2024"/>
    <n v="1"/>
    <n v="0"/>
    <d v="1899-12-30T09:59:00"/>
    <d v="1899-12-30T16:44:00"/>
    <s v="Present"/>
    <s v="Evening"/>
    <s v="Office"/>
    <n v="0"/>
  </r>
  <r>
    <s v="E1054"/>
    <s v="Employee_54"/>
    <x v="3"/>
    <d v="2024-02-26T00:00:00"/>
    <x v="5"/>
    <n v="2024"/>
    <n v="1"/>
    <n v="1"/>
    <d v="1899-12-30T09:51:00"/>
    <d v="1899-12-30T19:02:00"/>
    <s v="Late"/>
    <s v="Evening"/>
    <s v="Office"/>
    <n v="0"/>
  </r>
  <r>
    <s v="E1051"/>
    <s v="Employee_51"/>
    <x v="1"/>
    <d v="2024-05-03T00:00:00"/>
    <x v="6"/>
    <n v="2024"/>
    <n v="1"/>
    <n v="0"/>
    <d v="1899-12-30T09:31:00"/>
    <d v="1899-12-30T17:00:00"/>
    <s v="Work From Home"/>
    <s v="Evening"/>
    <s v="Remote"/>
    <n v="0"/>
  </r>
  <r>
    <s v="E1032"/>
    <s v="Employee_32"/>
    <x v="3"/>
    <d v="2024-02-13T00:00:00"/>
    <x v="5"/>
    <n v="2024"/>
    <n v="1"/>
    <n v="1"/>
    <d v="1899-12-30T10:00:00"/>
    <d v="1899-12-30T16:16:00"/>
    <s v="Late"/>
    <s v="Evening"/>
    <s v="Remote"/>
    <n v="0"/>
  </r>
  <r>
    <s v="E1001"/>
    <s v="Employee_1"/>
    <x v="4"/>
    <d v="2024-01-17T00:00:00"/>
    <x v="2"/>
    <n v="2024"/>
    <n v="1"/>
    <n v="0"/>
    <d v="1899-12-30T08:17:00"/>
    <d v="1899-12-30T19:31:00"/>
    <s v="Work From Home"/>
    <s v="Morning"/>
    <s v="Remote"/>
    <n v="0"/>
  </r>
  <r>
    <s v="E1021"/>
    <s v="Employee_21"/>
    <x v="1"/>
    <d v="2024-03-15T00:00:00"/>
    <x v="0"/>
    <n v="2024"/>
    <n v="1"/>
    <n v="1"/>
    <d v="1899-12-30T10:57:00"/>
    <d v="1899-12-30T20:49:00"/>
    <s v="Late"/>
    <s v="Evening"/>
    <s v="Office"/>
    <n v="0"/>
  </r>
  <r>
    <s v="E1033"/>
    <s v="Employee_33"/>
    <x v="2"/>
    <d v="2024-01-31T00:00:00"/>
    <x v="2"/>
    <n v="2024"/>
    <n v="0"/>
    <n v="0"/>
    <m/>
    <m/>
    <s v="Absent"/>
    <s v="Morning"/>
    <s v="Office"/>
    <n v="0"/>
  </r>
  <r>
    <s v="E1011"/>
    <s v="Employee_11"/>
    <x v="2"/>
    <d v="2024-03-30T00:00:00"/>
    <x v="0"/>
    <n v="2024"/>
    <n v="1"/>
    <n v="0"/>
    <d v="1899-12-30T10:06:00"/>
    <d v="1899-12-30T16:35:00"/>
    <s v="Work From Home"/>
    <s v="Morning"/>
    <s v="Remote"/>
    <n v="0"/>
  </r>
  <r>
    <s v="E1031"/>
    <s v="Employee_31"/>
    <x v="0"/>
    <d v="2024-02-17T00:00:00"/>
    <x v="5"/>
    <n v="2024"/>
    <n v="1"/>
    <n v="0"/>
    <d v="1899-12-30T10:55:00"/>
    <d v="1899-12-30T19:22:00"/>
    <s v="Work From Home"/>
    <s v="Morning"/>
    <s v="Remote"/>
    <n v="0"/>
  </r>
  <r>
    <s v="E1021"/>
    <s v="Employee_21"/>
    <x v="0"/>
    <d v="2024-03-18T00:00:00"/>
    <x v="0"/>
    <n v="2024"/>
    <n v="1"/>
    <n v="1"/>
    <d v="1899-12-30T11:11:00"/>
    <d v="1899-12-30T16:33:00"/>
    <s v="Late"/>
    <s v="Evening"/>
    <s v="Office"/>
    <n v="0"/>
  </r>
  <r>
    <s v="E1031"/>
    <s v="Employee_31"/>
    <x v="2"/>
    <d v="2024-02-03T00:00:00"/>
    <x v="5"/>
    <n v="2024"/>
    <n v="1"/>
    <n v="0"/>
    <d v="1899-12-30T09:09:00"/>
    <d v="1899-12-30T20:00:00"/>
    <s v="Present"/>
    <s v="Morning"/>
    <s v="Office"/>
    <n v="0"/>
  </r>
  <r>
    <s v="E1037"/>
    <s v="Employee_37"/>
    <x v="1"/>
    <d v="2024-01-15T00:00:00"/>
    <x v="2"/>
    <n v="2024"/>
    <n v="1"/>
    <n v="0"/>
    <d v="1899-12-30T09:48:00"/>
    <d v="1899-12-30T20:39:00"/>
    <s v="Present"/>
    <s v="Evening"/>
    <s v="Remote"/>
    <n v="0"/>
  </r>
  <r>
    <s v="E1058"/>
    <s v="Employee_58"/>
    <x v="1"/>
    <d v="2024-03-19T00:00:00"/>
    <x v="0"/>
    <n v="2024"/>
    <n v="1"/>
    <n v="0"/>
    <d v="1899-12-30T10:25:00"/>
    <d v="1899-12-30T16:07:00"/>
    <s v="Work From Home"/>
    <s v="Morning"/>
    <s v="Remote"/>
    <n v="0"/>
  </r>
  <r>
    <s v="E1016"/>
    <s v="Employee_16"/>
    <x v="1"/>
    <d v="2024-03-16T00:00:00"/>
    <x v="0"/>
    <n v="2024"/>
    <n v="1"/>
    <n v="1"/>
    <d v="1899-12-30T08:07:00"/>
    <d v="1899-12-30T17:13:00"/>
    <s v="Late"/>
    <s v="Morning"/>
    <s v="Office"/>
    <n v="0"/>
  </r>
  <r>
    <s v="E1047"/>
    <s v="Employee_47"/>
    <x v="1"/>
    <d v="2024-02-26T00:00:00"/>
    <x v="5"/>
    <n v="2024"/>
    <n v="0"/>
    <n v="0"/>
    <m/>
    <m/>
    <s v="Absent"/>
    <s v="Evening"/>
    <s v="Office"/>
    <n v="0"/>
  </r>
  <r>
    <s v="E1054"/>
    <s v="Employee_54"/>
    <x v="4"/>
    <d v="2024-01-03T00:00:00"/>
    <x v="2"/>
    <n v="2024"/>
    <n v="1"/>
    <n v="1"/>
    <d v="1899-12-30T11:34:00"/>
    <d v="1899-12-30T20:32:00"/>
    <s v="Late"/>
    <s v="Morning"/>
    <s v="Office"/>
    <n v="0"/>
  </r>
  <r>
    <s v="E1023"/>
    <s v="Employee_23"/>
    <x v="3"/>
    <d v="2024-03-19T00:00:00"/>
    <x v="0"/>
    <n v="2024"/>
    <n v="1"/>
    <n v="0"/>
    <d v="1899-12-30T09:46:00"/>
    <d v="1899-12-30T16:24:00"/>
    <s v="Work From Home"/>
    <s v="Evening"/>
    <s v="Office"/>
    <n v="0"/>
  </r>
  <r>
    <s v="E1021"/>
    <s v="Employee_21"/>
    <x v="4"/>
    <d v="2024-03-21T00:00:00"/>
    <x v="0"/>
    <n v="2024"/>
    <n v="1"/>
    <n v="0"/>
    <d v="1899-12-30T11:17:00"/>
    <d v="1899-12-30T18:11:00"/>
    <s v="Work From Home"/>
    <s v="Evening"/>
    <s v="Office"/>
    <n v="0"/>
  </r>
  <r>
    <s v="E1001"/>
    <s v="Employee_1"/>
    <x v="2"/>
    <d v="2024-01-13T00:00:00"/>
    <x v="2"/>
    <n v="2024"/>
    <n v="0"/>
    <n v="0"/>
    <m/>
    <m/>
    <s v="Absent"/>
    <s v="Morning"/>
    <s v="Office"/>
    <n v="0"/>
  </r>
  <r>
    <s v="E1038"/>
    <s v="Employee_38"/>
    <x v="3"/>
    <d v="2024-03-02T00:00:00"/>
    <x v="0"/>
    <n v="2024"/>
    <n v="0"/>
    <n v="0"/>
    <m/>
    <m/>
    <s v="Absent"/>
    <s v="Evening"/>
    <s v="Remote"/>
    <n v="0"/>
  </r>
  <r>
    <s v="E1019"/>
    <s v="Employee_19"/>
    <x v="4"/>
    <d v="2024-03-19T00:00:00"/>
    <x v="0"/>
    <n v="2024"/>
    <n v="0"/>
    <n v="0"/>
    <m/>
    <m/>
    <s v="Absent"/>
    <s v="Evening"/>
    <s v="Office"/>
    <n v="0"/>
  </r>
  <r>
    <s v="E1000"/>
    <s v="Employee_0"/>
    <x v="1"/>
    <d v="2024-02-16T00:00:00"/>
    <x v="5"/>
    <n v="2024"/>
    <n v="1"/>
    <n v="0"/>
    <d v="1899-12-30T11:35:00"/>
    <d v="1899-12-30T16:51:00"/>
    <s v="Present"/>
    <s v="Evening"/>
    <s v="Office"/>
    <n v="0"/>
  </r>
  <r>
    <s v="E1051"/>
    <s v="Employee_51"/>
    <x v="0"/>
    <d v="2024-02-13T00:00:00"/>
    <x v="5"/>
    <n v="2024"/>
    <n v="0"/>
    <n v="0"/>
    <m/>
    <m/>
    <s v="Absent"/>
    <s v="Morning"/>
    <s v="Remote"/>
    <n v="0"/>
  </r>
  <r>
    <s v="E1000"/>
    <s v="Employee_0"/>
    <x v="3"/>
    <d v="2024-03-24T00:00:00"/>
    <x v="0"/>
    <n v="2024"/>
    <n v="0"/>
    <n v="0"/>
    <m/>
    <m/>
    <s v="Absent"/>
    <s v="Morning"/>
    <s v="Remote"/>
    <n v="0"/>
  </r>
  <r>
    <s v="E1041"/>
    <s v="Employee_41"/>
    <x v="3"/>
    <d v="2024-09-01T00:00:00"/>
    <x v="3"/>
    <n v="2024"/>
    <n v="1"/>
    <n v="0"/>
    <d v="1899-12-30T09:19:00"/>
    <d v="1899-12-30T17:21:00"/>
    <s v="Work From Home"/>
    <s v="Morning"/>
    <s v="Remote"/>
    <n v="0"/>
  </r>
  <r>
    <s v="E1007"/>
    <s v="Employee_7"/>
    <x v="2"/>
    <d v="2024-01-01T00:00:00"/>
    <x v="2"/>
    <n v="2024"/>
    <n v="0"/>
    <n v="0"/>
    <m/>
    <m/>
    <s v="Absent"/>
    <s v="Evening"/>
    <s v="Remote"/>
    <n v="0"/>
  </r>
  <r>
    <s v="E1011"/>
    <s v="Employee_11"/>
    <x v="0"/>
    <d v="2024-01-28T00:00:00"/>
    <x v="2"/>
    <n v="2024"/>
    <n v="1"/>
    <n v="0"/>
    <d v="1899-12-30T08:15:00"/>
    <d v="1899-12-30T17:17:00"/>
    <s v="Present"/>
    <s v="Evening"/>
    <s v="Remote"/>
    <n v="0"/>
  </r>
  <r>
    <s v="E1034"/>
    <s v="Employee_34"/>
    <x v="2"/>
    <d v="2024-02-28T00:00:00"/>
    <x v="5"/>
    <n v="2024"/>
    <n v="1"/>
    <n v="0"/>
    <d v="1899-12-30T09:41:00"/>
    <d v="1899-12-30T16:55:00"/>
    <s v="Present"/>
    <s v="Morning"/>
    <s v="Office"/>
    <n v="0"/>
  </r>
  <r>
    <s v="E1015"/>
    <s v="Employee_15"/>
    <x v="1"/>
    <d v="2024-11-03T00:00:00"/>
    <x v="1"/>
    <n v="2024"/>
    <n v="1"/>
    <n v="1"/>
    <d v="1899-12-30T09:33:00"/>
    <d v="1899-12-30T20:23:00"/>
    <s v="Late"/>
    <s v="Morning"/>
    <s v="Office"/>
    <n v="0"/>
  </r>
  <r>
    <s v="E1016"/>
    <s v="Employee_16"/>
    <x v="0"/>
    <d v="2024-09-02T00:00:00"/>
    <x v="3"/>
    <n v="2024"/>
    <n v="1"/>
    <n v="1"/>
    <d v="1899-12-30T11:53:00"/>
    <d v="1899-12-30T18:35:00"/>
    <s v="Late"/>
    <s v="Morning"/>
    <s v="Office"/>
    <n v="0"/>
  </r>
  <r>
    <s v="E1041"/>
    <s v="Employee_41"/>
    <x v="2"/>
    <d v="2024-02-08T00:00:00"/>
    <x v="5"/>
    <n v="2024"/>
    <n v="1"/>
    <n v="1"/>
    <d v="1899-12-30T10:45:00"/>
    <d v="1899-12-30T18:40:00"/>
    <s v="Late"/>
    <s v="Morning"/>
    <s v="Office"/>
    <n v="0"/>
  </r>
  <r>
    <s v="E1007"/>
    <s v="Employee_7"/>
    <x v="4"/>
    <d v="2024-03-01T00:00:00"/>
    <x v="0"/>
    <n v="2024"/>
    <n v="1"/>
    <n v="1"/>
    <d v="1899-12-30T10:28:00"/>
    <d v="1899-12-30T16:00:00"/>
    <s v="Late"/>
    <s v="Morning"/>
    <s v="Remote"/>
    <n v="0"/>
  </r>
  <r>
    <s v="E1045"/>
    <s v="Employee_45"/>
    <x v="1"/>
    <d v="2024-01-14T00:00:00"/>
    <x v="2"/>
    <n v="2024"/>
    <n v="0"/>
    <n v="0"/>
    <m/>
    <m/>
    <s v="Absent"/>
    <s v="Evening"/>
    <s v="Office"/>
    <n v="0"/>
  </r>
  <r>
    <s v="E1004"/>
    <s v="Employee_4"/>
    <x v="4"/>
    <d v="2024-10-02T00:00:00"/>
    <x v="7"/>
    <n v="2024"/>
    <n v="1"/>
    <n v="0"/>
    <d v="1899-12-30T08:23:00"/>
    <d v="1899-12-30T18:25:00"/>
    <s v="Work From Home"/>
    <s v="Morning"/>
    <s v="Remote"/>
    <n v="0"/>
  </r>
  <r>
    <s v="E1015"/>
    <s v="Employee_15"/>
    <x v="3"/>
    <d v="2024-02-13T00:00:00"/>
    <x v="5"/>
    <n v="2024"/>
    <n v="0"/>
    <n v="0"/>
    <m/>
    <m/>
    <s v="Absent"/>
    <s v="Morning"/>
    <s v="Office"/>
    <n v="0"/>
  </r>
  <r>
    <s v="E1059"/>
    <s v="Employee_59"/>
    <x v="4"/>
    <d v="2024-02-02T00:00:00"/>
    <x v="5"/>
    <n v="2024"/>
    <n v="0"/>
    <n v="0"/>
    <m/>
    <m/>
    <s v="Absent"/>
    <s v="Morning"/>
    <s v="Office"/>
    <n v="0"/>
  </r>
  <r>
    <s v="E1024"/>
    <s v="Employee_24"/>
    <x v="2"/>
    <d v="2024-01-25T00:00:00"/>
    <x v="2"/>
    <n v="2024"/>
    <n v="1"/>
    <n v="1"/>
    <d v="1899-12-30T08:00:00"/>
    <d v="1899-12-30T20:32:00"/>
    <s v="Late"/>
    <s v="Evening"/>
    <s v="Office"/>
    <n v="0"/>
  </r>
  <r>
    <s v="E1016"/>
    <s v="Employee_16"/>
    <x v="3"/>
    <d v="2024-03-13T00:00:00"/>
    <x v="0"/>
    <n v="2024"/>
    <n v="1"/>
    <n v="0"/>
    <d v="1899-12-30T08:03:00"/>
    <d v="1899-12-30T16:41:00"/>
    <s v="Present"/>
    <s v="Morning"/>
    <s v="Office"/>
    <n v="0"/>
  </r>
  <r>
    <s v="E1015"/>
    <s v="Employee_15"/>
    <x v="2"/>
    <d v="2024-02-11T00:00:00"/>
    <x v="5"/>
    <n v="2024"/>
    <n v="1"/>
    <n v="1"/>
    <d v="1899-12-30T10:59:00"/>
    <d v="1899-12-30T16:32:00"/>
    <s v="Late"/>
    <s v="Morning"/>
    <s v="Office"/>
    <n v="0"/>
  </r>
  <r>
    <s v="E1046"/>
    <s v="Employee_46"/>
    <x v="1"/>
    <d v="2024-02-16T00:00:00"/>
    <x v="5"/>
    <n v="2024"/>
    <n v="1"/>
    <n v="1"/>
    <d v="1899-12-30T10:08:00"/>
    <d v="1899-12-30T18:21:00"/>
    <s v="Late"/>
    <s v="Evening"/>
    <s v="Remote"/>
    <n v="0"/>
  </r>
  <r>
    <s v="E1044"/>
    <s v="Employee_44"/>
    <x v="4"/>
    <d v="2024-03-12T00:00:00"/>
    <x v="0"/>
    <n v="2024"/>
    <n v="1"/>
    <n v="0"/>
    <d v="1899-12-30T08:21:00"/>
    <d v="1899-12-30T16:02:00"/>
    <s v="Present"/>
    <s v="Morning"/>
    <s v="Remote"/>
    <n v="0"/>
  </r>
  <r>
    <s v="E1057"/>
    <s v="Employee_57"/>
    <x v="1"/>
    <d v="2024-03-13T00:00:00"/>
    <x v="0"/>
    <n v="2024"/>
    <n v="1"/>
    <n v="0"/>
    <d v="1899-12-30T11:35:00"/>
    <d v="1899-12-30T18:47:00"/>
    <s v="Present"/>
    <s v="Morning"/>
    <s v="Remote"/>
    <n v="0"/>
  </r>
  <r>
    <s v="E1028"/>
    <s v="Employee_28"/>
    <x v="0"/>
    <d v="2024-06-02T00:00:00"/>
    <x v="11"/>
    <n v="2024"/>
    <n v="1"/>
    <n v="1"/>
    <d v="1899-12-30T08:30:00"/>
    <d v="1899-12-30T16:09:00"/>
    <s v="Late"/>
    <s v="Morning"/>
    <s v="Office"/>
    <n v="0"/>
  </r>
  <r>
    <s v="E1016"/>
    <s v="Employee_16"/>
    <x v="1"/>
    <d v="2024-01-25T00:00:00"/>
    <x v="2"/>
    <n v="2024"/>
    <n v="0"/>
    <n v="0"/>
    <m/>
    <m/>
    <s v="Absent"/>
    <s v="Morning"/>
    <s v="Remote"/>
    <n v="0"/>
  </r>
  <r>
    <s v="E1038"/>
    <s v="Employee_38"/>
    <x v="2"/>
    <d v="2024-03-24T00:00:00"/>
    <x v="0"/>
    <n v="2024"/>
    <n v="1"/>
    <n v="0"/>
    <d v="1899-12-30T10:07:00"/>
    <d v="1899-12-30T19:08:00"/>
    <s v="Present"/>
    <s v="Morning"/>
    <s v="Remote"/>
    <n v="0"/>
  </r>
  <r>
    <s v="E1007"/>
    <s v="Employee_7"/>
    <x v="3"/>
    <d v="2024-08-01T00:00:00"/>
    <x v="9"/>
    <n v="2024"/>
    <n v="1"/>
    <n v="0"/>
    <d v="1899-12-30T11:19:00"/>
    <d v="1899-12-30T20:23:00"/>
    <s v="Present"/>
    <s v="Morning"/>
    <s v="Remote"/>
    <n v="0"/>
  </r>
  <r>
    <s v="E1018"/>
    <s v="Employee_18"/>
    <x v="4"/>
    <d v="2024-03-15T00:00:00"/>
    <x v="0"/>
    <n v="2024"/>
    <n v="1"/>
    <n v="0"/>
    <d v="1899-12-30T11:16:00"/>
    <d v="1899-12-30T20:44:00"/>
    <s v="Work From Home"/>
    <s v="Evening"/>
    <s v="Remote"/>
    <n v="0"/>
  </r>
  <r>
    <s v="E1046"/>
    <s v="Employee_46"/>
    <x v="1"/>
    <d v="2024-01-15T00:00:00"/>
    <x v="2"/>
    <n v="2024"/>
    <n v="1"/>
    <n v="0"/>
    <d v="1899-12-30T11:29:00"/>
    <d v="1899-12-30T18:13:00"/>
    <s v="Work From Home"/>
    <s v="Evening"/>
    <s v="Remote"/>
    <n v="0"/>
  </r>
  <r>
    <s v="E1033"/>
    <s v="Employee_33"/>
    <x v="1"/>
    <d v="2024-02-03T00:00:00"/>
    <x v="5"/>
    <n v="2024"/>
    <n v="1"/>
    <n v="1"/>
    <d v="1899-12-30T09:22:00"/>
    <d v="1899-12-30T19:38:00"/>
    <s v="Late"/>
    <s v="Morning"/>
    <s v="Remote"/>
    <n v="0"/>
  </r>
  <r>
    <s v="E1018"/>
    <s v="Employee_18"/>
    <x v="4"/>
    <d v="2024-03-27T00:00:00"/>
    <x v="0"/>
    <n v="2024"/>
    <n v="1"/>
    <n v="1"/>
    <d v="1899-12-30T09:25:00"/>
    <d v="1899-12-30T16:23:00"/>
    <s v="Late"/>
    <s v="Evening"/>
    <s v="Office"/>
    <n v="0"/>
  </r>
  <r>
    <s v="E1037"/>
    <s v="Employee_37"/>
    <x v="3"/>
    <d v="2024-09-03T00:00:00"/>
    <x v="3"/>
    <n v="2024"/>
    <n v="1"/>
    <n v="0"/>
    <d v="1899-12-30T10:15:00"/>
    <d v="1899-12-30T17:25:00"/>
    <s v="Work From Home"/>
    <s v="Morning"/>
    <s v="Office"/>
    <n v="0"/>
  </r>
  <r>
    <s v="E1055"/>
    <s v="Employee_55"/>
    <x v="0"/>
    <d v="2024-01-15T00:00:00"/>
    <x v="2"/>
    <n v="2024"/>
    <n v="0"/>
    <n v="0"/>
    <m/>
    <m/>
    <s v="Absent"/>
    <s v="Morning"/>
    <s v="Remote"/>
    <n v="0"/>
  </r>
  <r>
    <s v="E1019"/>
    <s v="Employee_19"/>
    <x v="0"/>
    <d v="2024-02-13T00:00:00"/>
    <x v="5"/>
    <n v="2024"/>
    <n v="1"/>
    <n v="1"/>
    <d v="1899-12-30T09:53:00"/>
    <d v="1899-12-30T18:39:00"/>
    <s v="Late"/>
    <s v="Morning"/>
    <s v="Office"/>
    <n v="0"/>
  </r>
  <r>
    <s v="E1008"/>
    <s v="Employee_8"/>
    <x v="3"/>
    <d v="2024-07-01T00:00:00"/>
    <x v="4"/>
    <n v="2024"/>
    <n v="1"/>
    <n v="1"/>
    <d v="1899-12-30T09:48:00"/>
    <d v="1899-12-30T18:05:00"/>
    <s v="Late"/>
    <s v="Morning"/>
    <s v="Remote"/>
    <n v="0"/>
  </r>
  <r>
    <s v="E1046"/>
    <s v="Employee_46"/>
    <x v="3"/>
    <d v="2024-02-21T00:00:00"/>
    <x v="5"/>
    <n v="2024"/>
    <n v="1"/>
    <n v="0"/>
    <d v="1899-12-30T08:44:00"/>
    <d v="1899-12-30T17:17:00"/>
    <s v="Present"/>
    <s v="Morning"/>
    <s v="Office"/>
    <n v="0"/>
  </r>
  <r>
    <s v="E1039"/>
    <s v="Employee_39"/>
    <x v="4"/>
    <d v="2024-09-01T00:00:00"/>
    <x v="3"/>
    <n v="2024"/>
    <n v="1"/>
    <n v="1"/>
    <d v="1899-12-30T09:43:00"/>
    <d v="1899-12-30T20:20:00"/>
    <s v="Late"/>
    <s v="Morning"/>
    <s v="Office"/>
    <n v="0"/>
  </r>
  <r>
    <s v="E1019"/>
    <s v="Employee_19"/>
    <x v="3"/>
    <d v="2024-04-01T00:00:00"/>
    <x v="10"/>
    <n v="2024"/>
    <n v="1"/>
    <n v="0"/>
    <d v="1899-12-30T11:16:00"/>
    <d v="1899-12-30T19:20:00"/>
    <s v="Work From Home"/>
    <s v="Evening"/>
    <s v="Remote"/>
    <n v="0"/>
  </r>
  <r>
    <s v="E1029"/>
    <s v="Employee_29"/>
    <x v="0"/>
    <d v="2024-02-14T00:00:00"/>
    <x v="5"/>
    <n v="2024"/>
    <n v="1"/>
    <n v="0"/>
    <d v="1899-12-30T09:02:00"/>
    <d v="1899-12-30T17:19:00"/>
    <s v="Work From Home"/>
    <s v="Evening"/>
    <s v="Remote"/>
    <n v="0"/>
  </r>
  <r>
    <s v="E1030"/>
    <s v="Employee_30"/>
    <x v="3"/>
    <d v="2024-03-02T00:00:00"/>
    <x v="0"/>
    <n v="2024"/>
    <n v="1"/>
    <n v="0"/>
    <d v="1899-12-30T09:37:00"/>
    <d v="1899-12-30T16:35:00"/>
    <s v="Present"/>
    <s v="Evening"/>
    <s v="Remote"/>
    <n v="0"/>
  </r>
  <r>
    <s v="E1002"/>
    <s v="Employee_2"/>
    <x v="3"/>
    <d v="2024-03-16T00:00:00"/>
    <x v="0"/>
    <n v="2024"/>
    <n v="1"/>
    <n v="0"/>
    <d v="1899-12-30T09:52:00"/>
    <d v="1899-12-30T16:49:00"/>
    <s v="Work From Home"/>
    <s v="Morning"/>
    <s v="Office"/>
    <n v="0"/>
  </r>
  <r>
    <s v="E1035"/>
    <s v="Employee_35"/>
    <x v="2"/>
    <d v="2024-02-16T00:00:00"/>
    <x v="5"/>
    <n v="2024"/>
    <n v="1"/>
    <n v="0"/>
    <d v="1899-12-30T11:42:00"/>
    <d v="1899-12-30T16:15:00"/>
    <s v="Present"/>
    <s v="Morning"/>
    <s v="Office"/>
    <n v="0"/>
  </r>
  <r>
    <s v="E1033"/>
    <s v="Employee_33"/>
    <x v="2"/>
    <d v="2024-06-01T00:00:00"/>
    <x v="11"/>
    <n v="2024"/>
    <n v="1"/>
    <n v="1"/>
    <d v="1899-12-30T10:47:00"/>
    <d v="1899-12-30T16:47:00"/>
    <s v="Late"/>
    <s v="Evening"/>
    <s v="Office"/>
    <n v="0"/>
  </r>
  <r>
    <s v="E1024"/>
    <s v="Employee_24"/>
    <x v="4"/>
    <d v="2024-02-24T00:00:00"/>
    <x v="5"/>
    <n v="2024"/>
    <n v="0"/>
    <n v="0"/>
    <m/>
    <m/>
    <s v="Absent"/>
    <s v="Morning"/>
    <s v="Office"/>
    <n v="0"/>
  </r>
  <r>
    <s v="E1058"/>
    <s v="Employee_58"/>
    <x v="1"/>
    <d v="2024-01-02T00:00:00"/>
    <x v="2"/>
    <n v="2024"/>
    <n v="1"/>
    <n v="1"/>
    <d v="1899-12-30T09:18:00"/>
    <d v="1899-12-30T18:12:00"/>
    <s v="Late"/>
    <s v="Morning"/>
    <s v="Remote"/>
    <n v="0"/>
  </r>
  <r>
    <s v="E1019"/>
    <s v="Employee_19"/>
    <x v="1"/>
    <d v="2024-03-18T00:00:00"/>
    <x v="0"/>
    <n v="2024"/>
    <n v="1"/>
    <n v="0"/>
    <d v="1899-12-30T09:28:00"/>
    <d v="1899-12-30T16:57:00"/>
    <s v="Present"/>
    <s v="Evening"/>
    <s v="Remote"/>
    <n v="0"/>
  </r>
  <r>
    <s v="E1021"/>
    <s v="Employee_21"/>
    <x v="2"/>
    <d v="2024-01-11T00:00:00"/>
    <x v="2"/>
    <n v="2024"/>
    <n v="1"/>
    <n v="1"/>
    <d v="1899-12-30T09:03:00"/>
    <d v="1899-12-30T16:26:00"/>
    <s v="Late"/>
    <s v="Evening"/>
    <s v="Office"/>
    <n v="0"/>
  </r>
  <r>
    <s v="E1049"/>
    <s v="Employee_49"/>
    <x v="2"/>
    <d v="2024-01-28T00:00:00"/>
    <x v="2"/>
    <n v="2024"/>
    <n v="1"/>
    <n v="0"/>
    <d v="1899-12-30T09:14:00"/>
    <d v="1899-12-30T18:27:00"/>
    <s v="Present"/>
    <s v="Evening"/>
    <s v="Remote"/>
    <n v="0"/>
  </r>
  <r>
    <s v="E1059"/>
    <s v="Employee_59"/>
    <x v="0"/>
    <d v="2024-03-20T00:00:00"/>
    <x v="0"/>
    <n v="2024"/>
    <n v="1"/>
    <n v="1"/>
    <d v="1899-12-30T10:56:00"/>
    <d v="1899-12-30T18:31:00"/>
    <s v="Late"/>
    <s v="Evening"/>
    <s v="Remote"/>
    <n v="0"/>
  </r>
  <r>
    <s v="E1033"/>
    <s v="Employee_33"/>
    <x v="0"/>
    <d v="2024-07-01T00:00:00"/>
    <x v="4"/>
    <n v="2024"/>
    <n v="1"/>
    <n v="0"/>
    <d v="1899-12-30T11:22:00"/>
    <d v="1899-12-30T17:04:00"/>
    <s v="Present"/>
    <s v="Evening"/>
    <s v="Office"/>
    <n v="0"/>
  </r>
  <r>
    <s v="E1051"/>
    <s v="Employee_51"/>
    <x v="2"/>
    <d v="2024-02-25T00:00:00"/>
    <x v="5"/>
    <n v="2024"/>
    <n v="0"/>
    <n v="0"/>
    <m/>
    <m/>
    <s v="Absent"/>
    <s v="Evening"/>
    <s v="Remote"/>
    <n v="0"/>
  </r>
  <r>
    <s v="E1042"/>
    <s v="Employee_42"/>
    <x v="1"/>
    <d v="2024-03-29T00:00:00"/>
    <x v="0"/>
    <n v="2024"/>
    <n v="1"/>
    <n v="0"/>
    <d v="1899-12-30T11:24:00"/>
    <d v="1899-12-30T17:18:00"/>
    <s v="Work From Home"/>
    <s v="Evening"/>
    <s v="Remote"/>
    <n v="0"/>
  </r>
  <r>
    <s v="E1053"/>
    <s v="Employee_53"/>
    <x v="2"/>
    <d v="2024-09-01T00:00:00"/>
    <x v="3"/>
    <n v="2024"/>
    <n v="1"/>
    <n v="1"/>
    <d v="1899-12-30T09:57:00"/>
    <d v="1899-12-30T17:55:00"/>
    <s v="Late"/>
    <s v="Evening"/>
    <s v="Remote"/>
    <n v="0"/>
  </r>
  <r>
    <s v="E1028"/>
    <s v="Employee_28"/>
    <x v="0"/>
    <d v="2024-03-29T00:00:00"/>
    <x v="0"/>
    <n v="2024"/>
    <n v="0"/>
    <n v="0"/>
    <m/>
    <m/>
    <s v="Absent"/>
    <s v="Evening"/>
    <s v="Office"/>
    <n v="0"/>
  </r>
  <r>
    <s v="E1036"/>
    <s v="Employee_36"/>
    <x v="3"/>
    <d v="2024-01-28T00:00:00"/>
    <x v="2"/>
    <n v="2024"/>
    <n v="1"/>
    <n v="0"/>
    <d v="1899-12-30T08:58:00"/>
    <d v="1899-12-30T17:23:00"/>
    <s v="Present"/>
    <s v="Morning"/>
    <s v="Office"/>
    <n v="0"/>
  </r>
  <r>
    <s v="E1044"/>
    <s v="Employee_44"/>
    <x v="1"/>
    <d v="2024-03-27T00:00:00"/>
    <x v="0"/>
    <n v="2024"/>
    <n v="1"/>
    <n v="1"/>
    <d v="1899-12-30T09:11:00"/>
    <d v="1899-12-30T18:50:00"/>
    <s v="Late"/>
    <s v="Morning"/>
    <s v="Office"/>
    <n v="0"/>
  </r>
  <r>
    <s v="E1027"/>
    <s v="Employee_27"/>
    <x v="4"/>
    <d v="2024-01-03T00:00:00"/>
    <x v="2"/>
    <n v="2024"/>
    <n v="1"/>
    <n v="1"/>
    <d v="1899-12-30T10:44:00"/>
    <d v="1899-12-30T19:25:00"/>
    <s v="Late"/>
    <s v="Morning"/>
    <s v="Office"/>
    <n v="0"/>
  </r>
  <r>
    <s v="E1043"/>
    <s v="Employee_43"/>
    <x v="2"/>
    <d v="2024-12-01T00:00:00"/>
    <x v="8"/>
    <n v="2024"/>
    <n v="1"/>
    <n v="0"/>
    <d v="1899-12-30T11:33:00"/>
    <d v="1899-12-30T18:54:00"/>
    <s v="Present"/>
    <s v="Morning"/>
    <s v="Office"/>
    <n v="0"/>
  </r>
  <r>
    <s v="E1003"/>
    <s v="Employee_3"/>
    <x v="3"/>
    <d v="2024-03-25T00:00:00"/>
    <x v="0"/>
    <n v="2024"/>
    <n v="1"/>
    <n v="0"/>
    <d v="1899-12-30T09:27:00"/>
    <d v="1899-12-30T17:27:00"/>
    <s v="Work From Home"/>
    <s v="Evening"/>
    <s v="Office"/>
    <n v="0"/>
  </r>
  <r>
    <s v="E1009"/>
    <s v="Employee_9"/>
    <x v="3"/>
    <d v="2024-09-03T00:00:00"/>
    <x v="3"/>
    <n v="2024"/>
    <n v="0"/>
    <n v="0"/>
    <m/>
    <m/>
    <s v="Absent"/>
    <s v="Evening"/>
    <s v="Remote"/>
    <n v="0"/>
  </r>
  <r>
    <s v="E1000"/>
    <s v="Employee_0"/>
    <x v="0"/>
    <d v="2024-02-04T00:00:00"/>
    <x v="5"/>
    <n v="2024"/>
    <n v="1"/>
    <n v="1"/>
    <d v="1899-12-30T11:08:00"/>
    <d v="1899-12-30T17:19:00"/>
    <s v="Late"/>
    <s v="Evening"/>
    <s v="Remote"/>
    <n v="0"/>
  </r>
  <r>
    <s v="E1035"/>
    <s v="Employee_35"/>
    <x v="4"/>
    <d v="2024-01-23T00:00:00"/>
    <x v="2"/>
    <n v="2024"/>
    <n v="1"/>
    <n v="0"/>
    <d v="1899-12-30T10:28:00"/>
    <d v="1899-12-30T17:00:00"/>
    <s v="Work From Home"/>
    <s v="Evening"/>
    <s v="Remote"/>
    <n v="0"/>
  </r>
  <r>
    <s v="E1021"/>
    <s v="Employee_21"/>
    <x v="0"/>
    <d v="2024-02-04T00:00:00"/>
    <x v="5"/>
    <n v="2024"/>
    <n v="0"/>
    <n v="0"/>
    <m/>
    <m/>
    <s v="Absent"/>
    <s v="Morning"/>
    <s v="Office"/>
    <n v="0"/>
  </r>
  <r>
    <s v="E1035"/>
    <s v="Employee_35"/>
    <x v="2"/>
    <d v="2024-02-20T00:00:00"/>
    <x v="5"/>
    <n v="2024"/>
    <n v="1"/>
    <n v="1"/>
    <d v="1899-12-30T09:55:00"/>
    <d v="1899-12-30T20:58:00"/>
    <s v="Late"/>
    <s v="Evening"/>
    <s v="Office"/>
    <n v="0"/>
  </r>
  <r>
    <s v="E1036"/>
    <s v="Employee_36"/>
    <x v="3"/>
    <d v="2024-01-01T00:00:00"/>
    <x v="2"/>
    <n v="2024"/>
    <n v="1"/>
    <n v="1"/>
    <d v="1899-12-30T08:34:00"/>
    <d v="1899-12-30T17:16:00"/>
    <s v="Late"/>
    <s v="Morning"/>
    <s v="Office"/>
    <n v="0"/>
  </r>
  <r>
    <s v="E1047"/>
    <s v="Employee_47"/>
    <x v="4"/>
    <d v="2024-01-29T00:00:00"/>
    <x v="2"/>
    <n v="2024"/>
    <n v="1"/>
    <n v="0"/>
    <d v="1899-12-30T09:52:00"/>
    <d v="1899-12-30T20:49:00"/>
    <s v="Work From Home"/>
    <s v="Evening"/>
    <s v="Office"/>
    <n v="0"/>
  </r>
  <r>
    <s v="E1009"/>
    <s v="Employee_9"/>
    <x v="0"/>
    <d v="2024-03-17T00:00:00"/>
    <x v="0"/>
    <n v="2024"/>
    <n v="1"/>
    <n v="0"/>
    <d v="1899-12-30T08:31:00"/>
    <d v="1899-12-30T17:48:00"/>
    <s v="Work From Home"/>
    <s v="Evening"/>
    <s v="Office"/>
    <n v="0"/>
  </r>
  <r>
    <s v="E1040"/>
    <s v="Employee_40"/>
    <x v="3"/>
    <d v="2024-01-07T00:00:00"/>
    <x v="2"/>
    <n v="2024"/>
    <n v="1"/>
    <n v="0"/>
    <d v="1899-12-30T11:28:00"/>
    <d v="1899-12-30T20:20:00"/>
    <s v="Work From Home"/>
    <s v="Morning"/>
    <s v="Office"/>
    <n v="0"/>
  </r>
  <r>
    <s v="E1038"/>
    <s v="Employee_38"/>
    <x v="4"/>
    <d v="2024-03-01T00:00:00"/>
    <x v="0"/>
    <n v="2024"/>
    <n v="0"/>
    <n v="0"/>
    <m/>
    <m/>
    <s v="Absent"/>
    <s v="Evening"/>
    <s v="Office"/>
    <n v="0"/>
  </r>
  <r>
    <s v="E1003"/>
    <s v="Employee_3"/>
    <x v="2"/>
    <d v="2024-02-14T00:00:00"/>
    <x v="5"/>
    <n v="2024"/>
    <n v="0"/>
    <n v="0"/>
    <m/>
    <m/>
    <s v="Absent"/>
    <s v="Morning"/>
    <s v="Remote"/>
    <n v="0"/>
  </r>
  <r>
    <s v="E1004"/>
    <s v="Employee_4"/>
    <x v="4"/>
    <d v="2024-02-15T00:00:00"/>
    <x v="5"/>
    <n v="2024"/>
    <n v="1"/>
    <n v="1"/>
    <d v="1899-12-30T11:57:00"/>
    <d v="1899-12-30T16:59:00"/>
    <s v="Late"/>
    <s v="Evening"/>
    <s v="Remote"/>
    <n v="0"/>
  </r>
  <r>
    <s v="E1000"/>
    <s v="Employee_0"/>
    <x v="3"/>
    <d v="2024-10-03T00:00:00"/>
    <x v="7"/>
    <n v="2024"/>
    <n v="1"/>
    <n v="0"/>
    <d v="1899-12-30T08:58:00"/>
    <d v="1899-12-30T20:14:00"/>
    <s v="Present"/>
    <s v="Morning"/>
    <s v="Remote"/>
    <n v="0"/>
  </r>
  <r>
    <s v="E1037"/>
    <s v="Employee_37"/>
    <x v="1"/>
    <d v="2024-01-16T00:00:00"/>
    <x v="2"/>
    <n v="2024"/>
    <n v="1"/>
    <n v="1"/>
    <d v="1899-12-30T09:35:00"/>
    <d v="1899-12-30T20:56:00"/>
    <s v="Late"/>
    <s v="Evening"/>
    <s v="Remote"/>
    <n v="0"/>
  </r>
  <r>
    <s v="E1059"/>
    <s v="Employee_59"/>
    <x v="3"/>
    <d v="2024-02-29T00:00:00"/>
    <x v="5"/>
    <n v="2024"/>
    <n v="0"/>
    <n v="0"/>
    <m/>
    <m/>
    <s v="Absent"/>
    <s v="Evening"/>
    <s v="Office"/>
    <n v="0"/>
  </r>
  <r>
    <s v="E1037"/>
    <s v="Employee_37"/>
    <x v="1"/>
    <d v="2024-02-15T00:00:00"/>
    <x v="5"/>
    <n v="2024"/>
    <n v="1"/>
    <n v="1"/>
    <d v="1899-12-30T08:42:00"/>
    <d v="1899-12-30T17:06:00"/>
    <s v="Late"/>
    <s v="Morning"/>
    <s v="Remote"/>
    <n v="0"/>
  </r>
  <r>
    <s v="E1044"/>
    <s v="Employee_44"/>
    <x v="4"/>
    <d v="2024-01-28T00:00:00"/>
    <x v="2"/>
    <n v="2024"/>
    <n v="1"/>
    <n v="1"/>
    <d v="1899-12-30T11:40:00"/>
    <d v="1899-12-30T19:46:00"/>
    <s v="Late"/>
    <s v="Morning"/>
    <s v="Office"/>
    <n v="0"/>
  </r>
  <r>
    <s v="E1032"/>
    <s v="Employee_32"/>
    <x v="0"/>
    <d v="2024-02-25T00:00:00"/>
    <x v="5"/>
    <n v="2024"/>
    <n v="1"/>
    <n v="0"/>
    <d v="1899-12-30T11:39:00"/>
    <d v="1899-12-30T16:26:00"/>
    <s v="Work From Home"/>
    <s v="Evening"/>
    <s v="Remote"/>
    <n v="0"/>
  </r>
  <r>
    <s v="E1032"/>
    <s v="Employee_32"/>
    <x v="1"/>
    <d v="2024-01-07T00:00:00"/>
    <x v="2"/>
    <n v="2024"/>
    <n v="1"/>
    <n v="0"/>
    <d v="1899-12-30T10:41:00"/>
    <d v="1899-12-30T17:08:00"/>
    <s v="Work From Home"/>
    <s v="Evening"/>
    <s v="Remote"/>
    <n v="0"/>
  </r>
  <r>
    <s v="E1048"/>
    <s v="Employee_48"/>
    <x v="3"/>
    <d v="2024-09-02T00:00:00"/>
    <x v="3"/>
    <n v="2024"/>
    <n v="0"/>
    <n v="0"/>
    <m/>
    <m/>
    <s v="Absent"/>
    <s v="Morning"/>
    <s v="Office"/>
    <n v="0"/>
  </r>
  <r>
    <s v="E1001"/>
    <s v="Employee_1"/>
    <x v="2"/>
    <d v="2024-03-17T00:00:00"/>
    <x v="0"/>
    <n v="2024"/>
    <n v="0"/>
    <n v="0"/>
    <m/>
    <m/>
    <s v="Absent"/>
    <s v="Morning"/>
    <s v="Remote"/>
    <n v="0"/>
  </r>
  <r>
    <s v="E1003"/>
    <s v="Employee_3"/>
    <x v="0"/>
    <d v="2024-04-02T00:00:00"/>
    <x v="10"/>
    <n v="2024"/>
    <n v="1"/>
    <n v="0"/>
    <d v="1899-12-30T09:47:00"/>
    <d v="1899-12-30T17:40:00"/>
    <s v="Present"/>
    <s v="Evening"/>
    <s v="Remote"/>
    <n v="0"/>
  </r>
  <r>
    <s v="E1050"/>
    <s v="Employee_50"/>
    <x v="1"/>
    <d v="2024-03-29T00:00:00"/>
    <x v="0"/>
    <n v="2024"/>
    <n v="1"/>
    <n v="0"/>
    <d v="1899-12-30T08:08:00"/>
    <d v="1899-12-30T17:41:00"/>
    <s v="Work From Home"/>
    <s v="Evening"/>
    <s v="Office"/>
    <n v="0"/>
  </r>
  <r>
    <s v="E1043"/>
    <s v="Employee_43"/>
    <x v="0"/>
    <d v="2024-01-01T00:00:00"/>
    <x v="2"/>
    <n v="2024"/>
    <n v="1"/>
    <n v="1"/>
    <d v="1899-12-30T11:29:00"/>
    <d v="1899-12-30T18:18:00"/>
    <s v="Late"/>
    <s v="Evening"/>
    <s v="Remote"/>
    <n v="0"/>
  </r>
  <r>
    <s v="E1008"/>
    <s v="Employee_8"/>
    <x v="0"/>
    <d v="2024-02-03T00:00:00"/>
    <x v="5"/>
    <n v="2024"/>
    <n v="1"/>
    <n v="0"/>
    <d v="1899-12-30T11:51:00"/>
    <d v="1899-12-30T18:46:00"/>
    <s v="Present"/>
    <s v="Evening"/>
    <s v="Office"/>
    <n v="0"/>
  </r>
  <r>
    <s v="E1057"/>
    <s v="Employee_57"/>
    <x v="4"/>
    <d v="2024-03-22T00:00:00"/>
    <x v="0"/>
    <n v="2024"/>
    <n v="1"/>
    <n v="0"/>
    <d v="1899-12-30T08:10:00"/>
    <d v="1899-12-30T16:59:00"/>
    <s v="Present"/>
    <s v="Evening"/>
    <s v="Remote"/>
    <n v="0"/>
  </r>
  <r>
    <s v="E1055"/>
    <s v="Employee_55"/>
    <x v="2"/>
    <d v="2024-02-18T00:00:00"/>
    <x v="5"/>
    <n v="2024"/>
    <n v="1"/>
    <n v="0"/>
    <d v="1899-12-30T11:08:00"/>
    <d v="1899-12-30T20:53:00"/>
    <s v="Work From Home"/>
    <s v="Evening"/>
    <s v="Remote"/>
    <n v="0"/>
  </r>
  <r>
    <s v="E1052"/>
    <s v="Employee_52"/>
    <x v="4"/>
    <d v="2024-02-16T00:00:00"/>
    <x v="5"/>
    <n v="2024"/>
    <n v="1"/>
    <n v="0"/>
    <d v="1899-12-30T08:19:00"/>
    <d v="1899-12-30T20:16:00"/>
    <s v="Present"/>
    <s v="Morning"/>
    <s v="Office"/>
    <n v="0"/>
  </r>
  <r>
    <s v="E1002"/>
    <s v="Employee_2"/>
    <x v="3"/>
    <d v="2024-12-03T00:00:00"/>
    <x v="8"/>
    <n v="2024"/>
    <n v="0"/>
    <n v="0"/>
    <m/>
    <m/>
    <s v="Absent"/>
    <s v="Evening"/>
    <s v="Remote"/>
    <n v="0"/>
  </r>
  <r>
    <s v="E1021"/>
    <s v="Employee_21"/>
    <x v="0"/>
    <d v="2024-02-22T00:00:00"/>
    <x v="5"/>
    <n v="2024"/>
    <n v="1"/>
    <n v="0"/>
    <d v="1899-12-30T08:29:00"/>
    <d v="1899-12-30T16:46:00"/>
    <s v="Work From Home"/>
    <s v="Morning"/>
    <s v="Remote"/>
    <n v="0"/>
  </r>
  <r>
    <s v="E1013"/>
    <s v="Employee_13"/>
    <x v="3"/>
    <d v="2024-03-20T00:00:00"/>
    <x v="0"/>
    <n v="2024"/>
    <n v="0"/>
    <n v="0"/>
    <m/>
    <m/>
    <s v="Absent"/>
    <s v="Evening"/>
    <s v="Office"/>
    <n v="0"/>
  </r>
  <r>
    <s v="E1012"/>
    <s v="Employee_12"/>
    <x v="0"/>
    <d v="2024-03-22T00:00:00"/>
    <x v="0"/>
    <n v="2024"/>
    <n v="1"/>
    <n v="1"/>
    <d v="1899-12-30T09:32:00"/>
    <d v="1899-12-30T16:46:00"/>
    <s v="Late"/>
    <s v="Evening"/>
    <s v="Remote"/>
    <n v="0"/>
  </r>
  <r>
    <s v="E1018"/>
    <s v="Employee_18"/>
    <x v="1"/>
    <d v="2024-02-16T00:00:00"/>
    <x v="5"/>
    <n v="2024"/>
    <n v="1"/>
    <n v="0"/>
    <d v="1899-12-30T10:41:00"/>
    <d v="1899-12-30T19:07:00"/>
    <s v="Present"/>
    <s v="Morning"/>
    <s v="Office"/>
    <n v="0"/>
  </r>
  <r>
    <s v="E1054"/>
    <s v="Employee_54"/>
    <x v="2"/>
    <d v="2024-03-05T00:00:00"/>
    <x v="0"/>
    <n v="2024"/>
    <n v="1"/>
    <n v="1"/>
    <d v="1899-12-30T08:25:00"/>
    <d v="1899-12-30T20:03:00"/>
    <s v="Late"/>
    <s v="Evening"/>
    <s v="Office"/>
    <n v="0"/>
  </r>
  <r>
    <s v="E1010"/>
    <s v="Employee_10"/>
    <x v="2"/>
    <d v="2024-01-28T00:00:00"/>
    <x v="2"/>
    <n v="2024"/>
    <n v="0"/>
    <n v="0"/>
    <m/>
    <m/>
    <s v="Absent"/>
    <s v="Morning"/>
    <s v="Office"/>
    <n v="0"/>
  </r>
  <r>
    <s v="E1029"/>
    <s v="Employee_29"/>
    <x v="4"/>
    <d v="2024-01-16T00:00:00"/>
    <x v="2"/>
    <n v="2024"/>
    <n v="1"/>
    <n v="0"/>
    <d v="1899-12-30T11:46:00"/>
    <d v="1899-12-30T16:45:00"/>
    <s v="Work From Home"/>
    <s v="Evening"/>
    <s v="Remote"/>
    <n v="0"/>
  </r>
  <r>
    <s v="E1025"/>
    <s v="Employee_25"/>
    <x v="0"/>
    <d v="2024-06-01T00:00:00"/>
    <x v="11"/>
    <n v="2024"/>
    <n v="1"/>
    <n v="0"/>
    <d v="1899-12-30T09:27:00"/>
    <d v="1899-12-30T20:43:00"/>
    <s v="Work From Home"/>
    <s v="Evening"/>
    <s v="Office"/>
    <n v="0"/>
  </r>
  <r>
    <s v="E1034"/>
    <s v="Employee_34"/>
    <x v="2"/>
    <d v="2024-04-03T00:00:00"/>
    <x v="10"/>
    <n v="2024"/>
    <n v="1"/>
    <n v="0"/>
    <d v="1899-12-30T08:09:00"/>
    <d v="1899-12-30T20:26:00"/>
    <s v="Work From Home"/>
    <s v="Evening"/>
    <s v="Office"/>
    <n v="0"/>
  </r>
  <r>
    <s v="E1021"/>
    <s v="Employee_21"/>
    <x v="1"/>
    <d v="2024-04-03T00:00:00"/>
    <x v="10"/>
    <n v="2024"/>
    <n v="1"/>
    <n v="0"/>
    <d v="1899-12-30T10:32:00"/>
    <d v="1899-12-30T18:04:00"/>
    <s v="Present"/>
    <s v="Morning"/>
    <s v="Remote"/>
    <n v="0"/>
  </r>
  <r>
    <s v="E1048"/>
    <s v="Employee_48"/>
    <x v="4"/>
    <d v="2024-03-09T00:00:00"/>
    <x v="0"/>
    <n v="2024"/>
    <n v="1"/>
    <n v="0"/>
    <d v="1899-12-30T08:37:00"/>
    <d v="1899-12-30T18:28:00"/>
    <s v="Work From Home"/>
    <s v="Evening"/>
    <s v="Remote"/>
    <n v="0"/>
  </r>
  <r>
    <s v="E1007"/>
    <s v="Employee_7"/>
    <x v="0"/>
    <d v="2024-01-27T00:00:00"/>
    <x v="2"/>
    <n v="2024"/>
    <n v="1"/>
    <n v="0"/>
    <d v="1899-12-30T08:49:00"/>
    <d v="1899-12-30T17:58:00"/>
    <s v="Work From Home"/>
    <s v="Morning"/>
    <s v="Office"/>
    <n v="0"/>
  </r>
  <r>
    <s v="E1021"/>
    <s v="Employee_21"/>
    <x v="0"/>
    <d v="2024-02-19T00:00:00"/>
    <x v="5"/>
    <n v="2024"/>
    <n v="1"/>
    <n v="1"/>
    <d v="1899-12-30T11:17:00"/>
    <d v="1899-12-30T16:14:00"/>
    <s v="Late"/>
    <s v="Evening"/>
    <s v="Office"/>
    <n v="0"/>
  </r>
  <r>
    <s v="E1036"/>
    <s v="Employee_36"/>
    <x v="2"/>
    <d v="2024-01-22T00:00:00"/>
    <x v="2"/>
    <n v="2024"/>
    <n v="1"/>
    <n v="1"/>
    <d v="1899-12-30T11:07:00"/>
    <d v="1899-12-30T18:24:00"/>
    <s v="Late"/>
    <s v="Morning"/>
    <s v="Remote"/>
    <n v="0"/>
  </r>
  <r>
    <s v="E1019"/>
    <s v="Employee_19"/>
    <x v="3"/>
    <d v="2024-02-17T00:00:00"/>
    <x v="5"/>
    <n v="2024"/>
    <n v="1"/>
    <n v="1"/>
    <d v="1899-12-30T08:51:00"/>
    <d v="1899-12-30T18:40:00"/>
    <s v="Late"/>
    <s v="Evening"/>
    <s v="Office"/>
    <n v="0"/>
  </r>
  <r>
    <s v="E1034"/>
    <s v="Employee_34"/>
    <x v="1"/>
    <d v="2024-01-17T00:00:00"/>
    <x v="2"/>
    <n v="2024"/>
    <n v="1"/>
    <n v="0"/>
    <d v="1899-12-30T11:35:00"/>
    <d v="1899-12-30T20:06:00"/>
    <s v="Present"/>
    <s v="Evening"/>
    <s v="Remote"/>
    <n v="0"/>
  </r>
  <r>
    <s v="E1051"/>
    <s v="Employee_51"/>
    <x v="4"/>
    <d v="2024-01-24T00:00:00"/>
    <x v="2"/>
    <n v="2024"/>
    <n v="0"/>
    <n v="0"/>
    <m/>
    <m/>
    <s v="Absent"/>
    <s v="Evening"/>
    <s v="Office"/>
    <n v="0"/>
  </r>
  <r>
    <s v="E1026"/>
    <s v="Employee_26"/>
    <x v="1"/>
    <d v="2024-02-07T00:00:00"/>
    <x v="5"/>
    <n v="2024"/>
    <n v="1"/>
    <n v="0"/>
    <d v="1899-12-30T09:47:00"/>
    <d v="1899-12-30T16:48:00"/>
    <s v="Work From Home"/>
    <s v="Morning"/>
    <s v="Office"/>
    <n v="0"/>
  </r>
  <r>
    <s v="E1021"/>
    <s v="Employee_21"/>
    <x v="4"/>
    <d v="2024-03-15T00:00:00"/>
    <x v="0"/>
    <n v="2024"/>
    <n v="1"/>
    <n v="0"/>
    <d v="1899-12-30T11:45:00"/>
    <d v="1899-12-30T16:58:00"/>
    <s v="Work From Home"/>
    <s v="Evening"/>
    <s v="Remote"/>
    <n v="0"/>
  </r>
  <r>
    <s v="E1058"/>
    <s v="Employee_58"/>
    <x v="2"/>
    <d v="2024-03-13T00:00:00"/>
    <x v="0"/>
    <n v="2024"/>
    <n v="1"/>
    <n v="1"/>
    <d v="1899-12-30T09:43:00"/>
    <d v="1899-12-30T17:11:00"/>
    <s v="Late"/>
    <s v="Morning"/>
    <s v="Remote"/>
    <n v="0"/>
  </r>
  <r>
    <s v="E1002"/>
    <s v="Employee_2"/>
    <x v="4"/>
    <d v="2024-02-13T00:00:00"/>
    <x v="5"/>
    <n v="2024"/>
    <n v="1"/>
    <n v="1"/>
    <d v="1899-12-30T11:46:00"/>
    <d v="1899-12-30T16:18:00"/>
    <s v="Late"/>
    <s v="Evening"/>
    <s v="Office"/>
    <n v="0"/>
  </r>
  <r>
    <s v="E1047"/>
    <s v="Employee_47"/>
    <x v="2"/>
    <d v="2024-02-28T00:00:00"/>
    <x v="5"/>
    <n v="2024"/>
    <n v="1"/>
    <n v="0"/>
    <d v="1899-12-30T11:10:00"/>
    <d v="1899-12-30T17:13:00"/>
    <s v="Present"/>
    <s v="Evening"/>
    <s v="Office"/>
    <n v="0"/>
  </r>
  <r>
    <s v="E1029"/>
    <s v="Employee_29"/>
    <x v="0"/>
    <d v="2024-03-20T00:00:00"/>
    <x v="0"/>
    <n v="2024"/>
    <n v="1"/>
    <n v="0"/>
    <d v="1899-12-30T10:10:00"/>
    <d v="1899-12-30T20:22:00"/>
    <s v="Present"/>
    <s v="Evening"/>
    <s v="Office"/>
    <n v="0"/>
  </r>
  <r>
    <s v="E1017"/>
    <s v="Employee_17"/>
    <x v="2"/>
    <d v="2024-02-27T00:00:00"/>
    <x v="5"/>
    <n v="2024"/>
    <n v="0"/>
    <n v="0"/>
    <m/>
    <m/>
    <s v="Absent"/>
    <s v="Morning"/>
    <s v="Remote"/>
    <n v="0"/>
  </r>
  <r>
    <s v="E1039"/>
    <s v="Employee_39"/>
    <x v="4"/>
    <d v="2024-01-13T00:00:00"/>
    <x v="2"/>
    <n v="2024"/>
    <n v="1"/>
    <n v="0"/>
    <d v="1899-12-30T10:51:00"/>
    <d v="1899-12-30T16:26:00"/>
    <s v="Work From Home"/>
    <s v="Morning"/>
    <s v="Remote"/>
    <n v="0"/>
  </r>
  <r>
    <s v="E1041"/>
    <s v="Employee_41"/>
    <x v="1"/>
    <d v="2024-09-01T00:00:00"/>
    <x v="3"/>
    <n v="2024"/>
    <n v="1"/>
    <n v="0"/>
    <d v="1899-12-30T08:24:00"/>
    <d v="1899-12-30T16:24:00"/>
    <s v="Work From Home"/>
    <s v="Evening"/>
    <s v="Remote"/>
    <n v="0"/>
  </r>
  <r>
    <s v="E1014"/>
    <s v="Employee_14"/>
    <x v="1"/>
    <d v="2024-03-18T00:00:00"/>
    <x v="0"/>
    <n v="2024"/>
    <n v="0"/>
    <n v="0"/>
    <m/>
    <m/>
    <s v="Absent"/>
    <s v="Morning"/>
    <s v="Remote"/>
    <n v="0"/>
  </r>
  <r>
    <s v="E1049"/>
    <s v="Employee_49"/>
    <x v="0"/>
    <d v="2024-01-28T00:00:00"/>
    <x v="2"/>
    <n v="2024"/>
    <n v="1"/>
    <n v="0"/>
    <d v="1899-12-30T11:22:00"/>
    <d v="1899-12-30T18:45:00"/>
    <s v="Work From Home"/>
    <s v="Evening"/>
    <s v="Office"/>
    <n v="0"/>
  </r>
  <r>
    <s v="E1033"/>
    <s v="Employee_33"/>
    <x v="4"/>
    <d v="2024-01-29T00:00:00"/>
    <x v="2"/>
    <n v="2024"/>
    <n v="1"/>
    <n v="0"/>
    <d v="1899-12-30T09:57:00"/>
    <d v="1899-12-30T20:51:00"/>
    <s v="Work From Home"/>
    <s v="Morning"/>
    <s v="Office"/>
    <n v="0"/>
  </r>
  <r>
    <s v="E1040"/>
    <s v="Employee_40"/>
    <x v="1"/>
    <d v="2024-02-18T00:00:00"/>
    <x v="5"/>
    <n v="2024"/>
    <n v="1"/>
    <n v="1"/>
    <d v="1899-12-30T11:40:00"/>
    <d v="1899-12-30T19:48:00"/>
    <s v="Late"/>
    <s v="Morning"/>
    <s v="Office"/>
    <n v="0"/>
  </r>
  <r>
    <s v="E1037"/>
    <s v="Employee_37"/>
    <x v="4"/>
    <d v="2024-03-01T00:00:00"/>
    <x v="0"/>
    <n v="2024"/>
    <n v="0"/>
    <n v="0"/>
    <m/>
    <m/>
    <s v="Absent"/>
    <s v="Morning"/>
    <s v="Remote"/>
    <n v="0"/>
  </r>
  <r>
    <s v="E1044"/>
    <s v="Employee_44"/>
    <x v="2"/>
    <d v="2024-08-01T00:00:00"/>
    <x v="9"/>
    <n v="2024"/>
    <n v="1"/>
    <n v="0"/>
    <d v="1899-12-30T11:12:00"/>
    <d v="1899-12-30T19:48:00"/>
    <s v="Work From Home"/>
    <s v="Evening"/>
    <s v="Office"/>
    <n v="0"/>
  </r>
  <r>
    <s v="E1020"/>
    <s v="Employee_20"/>
    <x v="4"/>
    <d v="2024-06-02T00:00:00"/>
    <x v="11"/>
    <n v="2024"/>
    <n v="1"/>
    <n v="0"/>
    <d v="1899-12-30T08:59:00"/>
    <d v="1899-12-30T18:22:00"/>
    <s v="Work From Home"/>
    <s v="Morning"/>
    <s v="Remote"/>
    <n v="0"/>
  </r>
  <r>
    <s v="E1055"/>
    <s v="Employee_55"/>
    <x v="1"/>
    <d v="2024-03-27T00:00:00"/>
    <x v="0"/>
    <n v="2024"/>
    <n v="0"/>
    <n v="0"/>
    <m/>
    <m/>
    <s v="Absent"/>
    <s v="Morning"/>
    <s v="Remote"/>
    <n v="0"/>
  </r>
  <r>
    <s v="E1041"/>
    <s v="Employee_41"/>
    <x v="1"/>
    <d v="2024-02-29T00:00:00"/>
    <x v="5"/>
    <n v="2024"/>
    <n v="1"/>
    <n v="0"/>
    <d v="1899-12-30T09:33:00"/>
    <d v="1899-12-30T17:58:00"/>
    <s v="Present"/>
    <s v="Evening"/>
    <s v="Remote"/>
    <n v="0"/>
  </r>
  <r>
    <s v="E1002"/>
    <s v="Employee_2"/>
    <x v="3"/>
    <d v="2024-03-25T00:00:00"/>
    <x v="0"/>
    <n v="2024"/>
    <n v="1"/>
    <n v="1"/>
    <d v="1899-12-30T09:05:00"/>
    <d v="1899-12-30T18:54:00"/>
    <s v="Late"/>
    <s v="Evening"/>
    <s v="Remote"/>
    <n v="0"/>
  </r>
  <r>
    <s v="E1001"/>
    <s v="Employee_1"/>
    <x v="0"/>
    <d v="2024-02-13T00:00:00"/>
    <x v="5"/>
    <n v="2024"/>
    <n v="1"/>
    <n v="0"/>
    <d v="1899-12-30T10:52:00"/>
    <d v="1899-12-30T20:22:00"/>
    <s v="Work From Home"/>
    <s v="Morning"/>
    <s v="Remote"/>
    <n v="0"/>
  </r>
  <r>
    <s v="E1050"/>
    <s v="Employee_50"/>
    <x v="1"/>
    <d v="2024-05-02T00:00:00"/>
    <x v="6"/>
    <n v="2024"/>
    <n v="1"/>
    <n v="0"/>
    <d v="1899-12-30T08:51:00"/>
    <d v="1899-12-30T17:03:00"/>
    <s v="Present"/>
    <s v="Morning"/>
    <s v="Office"/>
    <n v="0"/>
  </r>
  <r>
    <s v="E1044"/>
    <s v="Employee_44"/>
    <x v="3"/>
    <d v="2024-01-29T00:00:00"/>
    <x v="2"/>
    <n v="2024"/>
    <n v="1"/>
    <n v="0"/>
    <d v="1899-12-30T09:40:00"/>
    <d v="1899-12-30T19:10:00"/>
    <s v="Work From Home"/>
    <s v="Evening"/>
    <s v="Remote"/>
    <n v="0"/>
  </r>
  <r>
    <s v="E1000"/>
    <s v="Employee_0"/>
    <x v="3"/>
    <d v="2024-01-24T00:00:00"/>
    <x v="2"/>
    <n v="2024"/>
    <n v="0"/>
    <n v="0"/>
    <m/>
    <m/>
    <s v="Absent"/>
    <s v="Evening"/>
    <s v="Remote"/>
    <n v="0"/>
  </r>
  <r>
    <s v="E1048"/>
    <s v="Employee_48"/>
    <x v="0"/>
    <d v="2024-03-28T00:00:00"/>
    <x v="0"/>
    <n v="2024"/>
    <n v="1"/>
    <n v="1"/>
    <d v="1899-12-30T11:04:00"/>
    <d v="1899-12-30T16:09:00"/>
    <s v="Late"/>
    <s v="Morning"/>
    <s v="Remote"/>
    <n v="0"/>
  </r>
  <r>
    <s v="E1026"/>
    <s v="Employee_26"/>
    <x v="3"/>
    <d v="2024-01-28T00:00:00"/>
    <x v="2"/>
    <n v="2024"/>
    <n v="1"/>
    <n v="0"/>
    <d v="1899-12-30T08:50:00"/>
    <d v="1899-12-30T19:04:00"/>
    <s v="Present"/>
    <s v="Evening"/>
    <s v="Office"/>
    <n v="0"/>
  </r>
  <r>
    <s v="E1005"/>
    <s v="Employee_5"/>
    <x v="4"/>
    <d v="2024-03-02T00:00:00"/>
    <x v="0"/>
    <n v="2024"/>
    <n v="1"/>
    <n v="0"/>
    <d v="1899-12-30T10:29:00"/>
    <d v="1899-12-30T20:15:00"/>
    <s v="Work From Home"/>
    <s v="Evening"/>
    <s v="Office"/>
    <n v="0"/>
  </r>
  <r>
    <s v="E1053"/>
    <s v="Employee_53"/>
    <x v="2"/>
    <d v="2024-01-15T00:00:00"/>
    <x v="2"/>
    <n v="2024"/>
    <n v="1"/>
    <n v="0"/>
    <d v="1899-12-30T11:27:00"/>
    <d v="1899-12-30T20:35:00"/>
    <s v="Work From Home"/>
    <s v="Evening"/>
    <s v="Remote"/>
    <n v="0"/>
  </r>
  <r>
    <s v="E1042"/>
    <s v="Employee_42"/>
    <x v="4"/>
    <d v="2024-02-23T00:00:00"/>
    <x v="5"/>
    <n v="2024"/>
    <n v="1"/>
    <n v="0"/>
    <d v="1899-12-30T08:23:00"/>
    <d v="1899-12-30T16:26:00"/>
    <s v="Present"/>
    <s v="Morning"/>
    <s v="Office"/>
    <n v="0"/>
  </r>
  <r>
    <s v="E1058"/>
    <s v="Employee_58"/>
    <x v="0"/>
    <d v="2024-01-14T00:00:00"/>
    <x v="2"/>
    <n v="2024"/>
    <n v="0"/>
    <n v="0"/>
    <m/>
    <m/>
    <s v="Absent"/>
    <s v="Morning"/>
    <s v="Remote"/>
    <n v="0"/>
  </r>
  <r>
    <s v="E1026"/>
    <s v="Employee_26"/>
    <x v="4"/>
    <d v="2024-03-19T00:00:00"/>
    <x v="0"/>
    <n v="2024"/>
    <n v="1"/>
    <n v="0"/>
    <d v="1899-12-30T09:08:00"/>
    <d v="1899-12-30T20:47:00"/>
    <s v="Present"/>
    <s v="Morning"/>
    <s v="Remote"/>
    <n v="0"/>
  </r>
  <r>
    <s v="E1021"/>
    <s v="Employee_21"/>
    <x v="2"/>
    <d v="2024-01-13T00:00:00"/>
    <x v="2"/>
    <n v="2024"/>
    <n v="0"/>
    <n v="0"/>
    <m/>
    <m/>
    <s v="Absent"/>
    <s v="Evening"/>
    <s v="Remote"/>
    <n v="0"/>
  </r>
  <r>
    <s v="E1004"/>
    <s v="Employee_4"/>
    <x v="3"/>
    <d v="2024-06-03T00:00:00"/>
    <x v="11"/>
    <n v="2024"/>
    <n v="1"/>
    <n v="0"/>
    <d v="1899-12-30T08:38:00"/>
    <d v="1899-12-30T17:33:00"/>
    <s v="Work From Home"/>
    <s v="Morning"/>
    <s v="Remote"/>
    <n v="0"/>
  </r>
  <r>
    <s v="E1050"/>
    <s v="Employee_50"/>
    <x v="0"/>
    <d v="2024-05-03T00:00:00"/>
    <x v="6"/>
    <n v="2024"/>
    <n v="1"/>
    <n v="1"/>
    <d v="1899-12-30T08:10:00"/>
    <d v="1899-12-30T20:55:00"/>
    <s v="Late"/>
    <s v="Evening"/>
    <s v="Remote"/>
    <n v="0"/>
  </r>
  <r>
    <s v="E1027"/>
    <s v="Employee_27"/>
    <x v="3"/>
    <d v="2024-08-02T00:00:00"/>
    <x v="9"/>
    <n v="2024"/>
    <n v="1"/>
    <n v="1"/>
    <d v="1899-12-30T11:35:00"/>
    <d v="1899-12-30T17:38:00"/>
    <s v="Late"/>
    <s v="Morning"/>
    <s v="Remote"/>
    <n v="0"/>
  </r>
  <r>
    <s v="E1041"/>
    <s v="Employee_41"/>
    <x v="3"/>
    <d v="2024-02-19T00:00:00"/>
    <x v="5"/>
    <n v="2024"/>
    <n v="1"/>
    <n v="0"/>
    <d v="1899-12-30T11:01:00"/>
    <d v="1899-12-30T16:52:00"/>
    <s v="Work From Home"/>
    <s v="Evening"/>
    <s v="Office"/>
    <n v="0"/>
  </r>
  <r>
    <s v="E1059"/>
    <s v="Employee_59"/>
    <x v="4"/>
    <d v="2024-01-18T00:00:00"/>
    <x v="2"/>
    <n v="2024"/>
    <n v="1"/>
    <n v="1"/>
    <d v="1899-12-30T08:32:00"/>
    <d v="1899-12-30T19:18:00"/>
    <s v="Late"/>
    <s v="Evening"/>
    <s v="Remote"/>
    <n v="0"/>
  </r>
  <r>
    <s v="E1054"/>
    <s v="Employee_54"/>
    <x v="4"/>
    <d v="2024-01-06T00:00:00"/>
    <x v="2"/>
    <n v="2024"/>
    <n v="1"/>
    <n v="0"/>
    <d v="1899-12-30T08:53:00"/>
    <d v="1899-12-30T20:15:00"/>
    <s v="Work From Home"/>
    <s v="Morning"/>
    <s v="Office"/>
    <n v="0"/>
  </r>
  <r>
    <s v="E1056"/>
    <s v="Employee_56"/>
    <x v="0"/>
    <d v="2024-03-25T00:00:00"/>
    <x v="0"/>
    <n v="2024"/>
    <n v="1"/>
    <n v="0"/>
    <d v="1899-12-30T09:53:00"/>
    <d v="1899-12-30T18:43:00"/>
    <s v="Present"/>
    <s v="Morning"/>
    <s v="Office"/>
    <n v="0"/>
  </r>
  <r>
    <s v="E1048"/>
    <s v="Employee_48"/>
    <x v="1"/>
    <d v="2024-03-15T00:00:00"/>
    <x v="0"/>
    <n v="2024"/>
    <n v="1"/>
    <n v="0"/>
    <d v="1899-12-30T09:23:00"/>
    <d v="1899-12-30T17:36:00"/>
    <s v="Work From Home"/>
    <s v="Evening"/>
    <s v="Remote"/>
    <n v="0"/>
  </r>
  <r>
    <s v="E1024"/>
    <s v="Employee_24"/>
    <x v="3"/>
    <d v="2024-01-14T00:00:00"/>
    <x v="2"/>
    <n v="2024"/>
    <n v="1"/>
    <n v="1"/>
    <d v="1899-12-30T08:34:00"/>
    <d v="1899-12-30T16:16:00"/>
    <s v="Late"/>
    <s v="Evening"/>
    <s v="Office"/>
    <n v="0"/>
  </r>
  <r>
    <s v="E1049"/>
    <s v="Employee_49"/>
    <x v="3"/>
    <d v="2024-03-25T00:00:00"/>
    <x v="0"/>
    <n v="2024"/>
    <n v="1"/>
    <n v="1"/>
    <d v="1899-12-30T10:10:00"/>
    <d v="1899-12-30T19:43:00"/>
    <s v="Late"/>
    <s v="Morning"/>
    <s v="Remote"/>
    <n v="0"/>
  </r>
  <r>
    <s v="E1019"/>
    <s v="Employee_19"/>
    <x v="3"/>
    <d v="2024-02-28T00:00:00"/>
    <x v="5"/>
    <n v="2024"/>
    <n v="0"/>
    <n v="0"/>
    <m/>
    <m/>
    <s v="Absent"/>
    <s v="Morning"/>
    <s v="Remote"/>
    <n v="0"/>
  </r>
  <r>
    <s v="E1014"/>
    <s v="Employee_14"/>
    <x v="1"/>
    <d v="2024-03-07T00:00:00"/>
    <x v="0"/>
    <n v="2024"/>
    <n v="1"/>
    <n v="0"/>
    <d v="1899-12-30T09:42:00"/>
    <d v="1899-12-30T20:02:00"/>
    <s v="Work From Home"/>
    <s v="Evening"/>
    <s v="Remote"/>
    <n v="0"/>
  </r>
  <r>
    <s v="E1038"/>
    <s v="Employee_38"/>
    <x v="4"/>
    <d v="2024-01-20T00:00:00"/>
    <x v="2"/>
    <n v="2024"/>
    <n v="0"/>
    <n v="0"/>
    <m/>
    <m/>
    <s v="Absent"/>
    <s v="Morning"/>
    <s v="Remote"/>
    <n v="0"/>
  </r>
  <r>
    <s v="E1011"/>
    <s v="Employee_11"/>
    <x v="3"/>
    <d v="2024-01-03T00:00:00"/>
    <x v="2"/>
    <n v="2024"/>
    <n v="1"/>
    <n v="1"/>
    <d v="1899-12-30T11:27:00"/>
    <d v="1899-12-30T16:51:00"/>
    <s v="Late"/>
    <s v="Morning"/>
    <s v="Remote"/>
    <n v="0"/>
  </r>
  <r>
    <s v="E1023"/>
    <s v="Employee_23"/>
    <x v="4"/>
    <d v="2024-02-06T00:00:00"/>
    <x v="5"/>
    <n v="2024"/>
    <n v="1"/>
    <n v="1"/>
    <d v="1899-12-30T08:52:00"/>
    <d v="1899-12-30T20:58:00"/>
    <s v="Late"/>
    <s v="Morning"/>
    <s v="Remote"/>
    <n v="0"/>
  </r>
  <r>
    <s v="E1037"/>
    <s v="Employee_37"/>
    <x v="3"/>
    <d v="2024-04-02T00:00:00"/>
    <x v="10"/>
    <n v="2024"/>
    <n v="0"/>
    <n v="0"/>
    <m/>
    <m/>
    <s v="Absent"/>
    <s v="Morning"/>
    <s v="Office"/>
    <n v="0"/>
  </r>
  <r>
    <s v="E1009"/>
    <s v="Employee_9"/>
    <x v="0"/>
    <d v="2024-02-02T00:00:00"/>
    <x v="5"/>
    <n v="2024"/>
    <n v="0"/>
    <n v="0"/>
    <m/>
    <m/>
    <s v="Absent"/>
    <s v="Morning"/>
    <s v="Remote"/>
    <n v="0"/>
  </r>
  <r>
    <s v="E1025"/>
    <s v="Employee_25"/>
    <x v="4"/>
    <d v="2024-02-25T00:00:00"/>
    <x v="5"/>
    <n v="2024"/>
    <n v="1"/>
    <n v="0"/>
    <d v="1899-12-30T10:12:00"/>
    <d v="1899-12-30T19:40:00"/>
    <s v="Present"/>
    <s v="Evening"/>
    <s v="Remote"/>
    <n v="0"/>
  </r>
  <r>
    <s v="E1003"/>
    <s v="Employee_3"/>
    <x v="2"/>
    <d v="2024-01-24T00:00:00"/>
    <x v="2"/>
    <n v="2024"/>
    <n v="1"/>
    <n v="1"/>
    <d v="1899-12-30T09:35:00"/>
    <d v="1899-12-30T18:54:00"/>
    <s v="Late"/>
    <s v="Morning"/>
    <s v="Office"/>
    <n v="0"/>
  </r>
  <r>
    <s v="E1032"/>
    <s v="Employee_32"/>
    <x v="4"/>
    <d v="2024-02-16T00:00:00"/>
    <x v="5"/>
    <n v="2024"/>
    <n v="0"/>
    <n v="0"/>
    <m/>
    <m/>
    <s v="Absent"/>
    <s v="Evening"/>
    <s v="Remote"/>
    <n v="0"/>
  </r>
  <r>
    <s v="E1035"/>
    <s v="Employee_35"/>
    <x v="4"/>
    <d v="2024-03-21T00:00:00"/>
    <x v="0"/>
    <n v="2024"/>
    <n v="1"/>
    <n v="1"/>
    <d v="1899-12-30T08:44:00"/>
    <d v="1899-12-30T18:37:00"/>
    <s v="Late"/>
    <s v="Evening"/>
    <s v="Remote"/>
    <n v="0"/>
  </r>
  <r>
    <s v="E1045"/>
    <s v="Employee_45"/>
    <x v="0"/>
    <d v="2024-02-11T00:00:00"/>
    <x v="5"/>
    <n v="2024"/>
    <n v="1"/>
    <n v="0"/>
    <d v="1899-12-30T11:25:00"/>
    <d v="1899-12-30T17:23:00"/>
    <s v="Present"/>
    <s v="Evening"/>
    <s v="Office"/>
    <n v="0"/>
  </r>
  <r>
    <s v="E1045"/>
    <s v="Employee_45"/>
    <x v="0"/>
    <d v="2024-01-20T00:00:00"/>
    <x v="2"/>
    <n v="2024"/>
    <n v="0"/>
    <n v="0"/>
    <m/>
    <m/>
    <s v="Absent"/>
    <s v="Morning"/>
    <s v="Office"/>
    <n v="0"/>
  </r>
  <r>
    <s v="E1004"/>
    <s v="Employee_4"/>
    <x v="3"/>
    <d v="2024-03-17T00:00:00"/>
    <x v="0"/>
    <n v="2024"/>
    <n v="1"/>
    <n v="1"/>
    <d v="1899-12-30T08:28:00"/>
    <d v="1899-12-30T20:58:00"/>
    <s v="Late"/>
    <s v="Evening"/>
    <s v="Office"/>
    <n v="0"/>
  </r>
  <r>
    <s v="E1019"/>
    <s v="Employee_19"/>
    <x v="3"/>
    <d v="2024-02-13T00:00:00"/>
    <x v="5"/>
    <n v="2024"/>
    <n v="1"/>
    <n v="0"/>
    <d v="1899-12-30T10:12:00"/>
    <d v="1899-12-30T16:29:00"/>
    <s v="Present"/>
    <s v="Evening"/>
    <s v="Office"/>
    <n v="0"/>
  </r>
  <r>
    <s v="E1011"/>
    <s v="Employee_11"/>
    <x v="4"/>
    <d v="2024-05-02T00:00:00"/>
    <x v="6"/>
    <n v="2024"/>
    <n v="0"/>
    <n v="0"/>
    <m/>
    <m/>
    <s v="Absent"/>
    <s v="Morning"/>
    <s v="Remote"/>
    <n v="0"/>
  </r>
  <r>
    <s v="E1013"/>
    <s v="Employee_13"/>
    <x v="2"/>
    <d v="2024-02-23T00:00:00"/>
    <x v="5"/>
    <n v="2024"/>
    <n v="1"/>
    <n v="1"/>
    <d v="1899-12-30T10:12:00"/>
    <d v="1899-12-30T18:16:00"/>
    <s v="Late"/>
    <s v="Morning"/>
    <s v="Remote"/>
    <n v="0"/>
  </r>
  <r>
    <s v="E1035"/>
    <s v="Employee_35"/>
    <x v="2"/>
    <d v="2024-01-19T00:00:00"/>
    <x v="2"/>
    <n v="2024"/>
    <n v="0"/>
    <n v="0"/>
    <m/>
    <m/>
    <s v="Absent"/>
    <s v="Morning"/>
    <s v="Office"/>
    <n v="0"/>
  </r>
  <r>
    <s v="E1034"/>
    <s v="Employee_34"/>
    <x v="0"/>
    <d v="2024-02-25T00:00:00"/>
    <x v="5"/>
    <n v="2024"/>
    <n v="0"/>
    <n v="0"/>
    <m/>
    <m/>
    <s v="Absent"/>
    <s v="Morning"/>
    <s v="Remote"/>
    <n v="0"/>
  </r>
  <r>
    <s v="E1035"/>
    <s v="Employee_35"/>
    <x v="2"/>
    <d v="2024-03-21T00:00:00"/>
    <x v="0"/>
    <n v="2024"/>
    <n v="0"/>
    <n v="0"/>
    <m/>
    <m/>
    <s v="Absent"/>
    <s v="Morning"/>
    <s v="Office"/>
    <n v="0"/>
  </r>
  <r>
    <s v="E1043"/>
    <s v="Employee_43"/>
    <x v="1"/>
    <d v="2024-01-14T00:00:00"/>
    <x v="2"/>
    <n v="2024"/>
    <n v="1"/>
    <n v="0"/>
    <d v="1899-12-30T10:48:00"/>
    <d v="1899-12-30T17:28:00"/>
    <s v="Present"/>
    <s v="Morning"/>
    <s v="Remote"/>
    <n v="0"/>
  </r>
  <r>
    <s v="E1052"/>
    <s v="Employee_52"/>
    <x v="2"/>
    <d v="2024-08-02T00:00:00"/>
    <x v="9"/>
    <n v="2024"/>
    <n v="1"/>
    <n v="0"/>
    <d v="1899-12-30T08:12:00"/>
    <d v="1899-12-30T17:03:00"/>
    <s v="Present"/>
    <s v="Evening"/>
    <s v="Office"/>
    <n v="0"/>
  </r>
  <r>
    <s v="E1004"/>
    <s v="Employee_4"/>
    <x v="0"/>
    <d v="2024-02-02T00:00:00"/>
    <x v="5"/>
    <n v="2024"/>
    <n v="0"/>
    <n v="0"/>
    <m/>
    <m/>
    <s v="Absent"/>
    <s v="Morning"/>
    <s v="Remote"/>
    <n v="0"/>
  </r>
  <r>
    <s v="E1025"/>
    <s v="Employee_25"/>
    <x v="0"/>
    <d v="2024-03-23T00:00:00"/>
    <x v="0"/>
    <n v="2024"/>
    <n v="1"/>
    <n v="0"/>
    <d v="1899-12-30T10:08:00"/>
    <d v="1899-12-30T18:13:00"/>
    <s v="Present"/>
    <s v="Evening"/>
    <s v="Remote"/>
    <n v="0"/>
  </r>
  <r>
    <s v="E1005"/>
    <s v="Employee_5"/>
    <x v="0"/>
    <d v="2024-02-25T00:00:00"/>
    <x v="5"/>
    <n v="2024"/>
    <n v="0"/>
    <n v="0"/>
    <m/>
    <m/>
    <s v="Absent"/>
    <s v="Morning"/>
    <s v="Office"/>
    <n v="0"/>
  </r>
  <r>
    <s v="E1044"/>
    <s v="Employee_44"/>
    <x v="0"/>
    <d v="2024-01-20T00:00:00"/>
    <x v="2"/>
    <n v="2024"/>
    <n v="0"/>
    <n v="0"/>
    <m/>
    <m/>
    <s v="Absent"/>
    <s v="Evening"/>
    <s v="Office"/>
    <n v="0"/>
  </r>
  <r>
    <s v="E1052"/>
    <s v="Employee_52"/>
    <x v="0"/>
    <d v="2024-02-16T00:00:00"/>
    <x v="5"/>
    <n v="2024"/>
    <n v="1"/>
    <n v="0"/>
    <d v="1899-12-30T11:13:00"/>
    <d v="1899-12-30T17:16:00"/>
    <s v="Present"/>
    <s v="Evening"/>
    <s v="Office"/>
    <n v="0"/>
  </r>
  <r>
    <s v="E1017"/>
    <s v="Employee_17"/>
    <x v="1"/>
    <d v="2024-02-28T00:00:00"/>
    <x v="5"/>
    <n v="2024"/>
    <n v="1"/>
    <n v="1"/>
    <d v="1899-12-30T10:28:00"/>
    <d v="1899-12-30T20:04:00"/>
    <s v="Late"/>
    <s v="Evening"/>
    <s v="Remote"/>
    <n v="0"/>
  </r>
  <r>
    <s v="E1048"/>
    <s v="Employee_48"/>
    <x v="3"/>
    <d v="2024-02-26T00:00:00"/>
    <x v="5"/>
    <n v="2024"/>
    <n v="1"/>
    <n v="1"/>
    <d v="1899-12-30T10:34:00"/>
    <d v="1899-12-30T17:00:00"/>
    <s v="Late"/>
    <s v="Morning"/>
    <s v="Office"/>
    <n v="0"/>
  </r>
  <r>
    <s v="E1044"/>
    <s v="Employee_44"/>
    <x v="3"/>
    <d v="2024-01-20T00:00:00"/>
    <x v="2"/>
    <n v="2024"/>
    <n v="1"/>
    <n v="0"/>
    <d v="1899-12-30T08:16:00"/>
    <d v="1899-12-30T16:18:00"/>
    <s v="Work From Home"/>
    <s v="Morning"/>
    <s v="Remote"/>
    <n v="0"/>
  </r>
  <r>
    <s v="E1053"/>
    <s v="Employee_53"/>
    <x v="3"/>
    <d v="2024-02-12T00:00:00"/>
    <x v="5"/>
    <n v="2024"/>
    <n v="1"/>
    <n v="0"/>
    <d v="1899-12-30T10:27:00"/>
    <d v="1899-12-30T19:47:00"/>
    <s v="Present"/>
    <s v="Morning"/>
    <s v="Remote"/>
    <n v="0"/>
  </r>
  <r>
    <s v="E1031"/>
    <s v="Employee_31"/>
    <x v="2"/>
    <d v="2024-03-24T00:00:00"/>
    <x v="0"/>
    <n v="2024"/>
    <n v="1"/>
    <n v="1"/>
    <d v="1899-12-30T11:10:00"/>
    <d v="1899-12-30T19:31:00"/>
    <s v="Late"/>
    <s v="Evening"/>
    <s v="Remote"/>
    <n v="0"/>
  </r>
  <r>
    <s v="E1006"/>
    <s v="Employee_6"/>
    <x v="0"/>
    <d v="2024-03-03T00:00:00"/>
    <x v="0"/>
    <n v="2024"/>
    <n v="1"/>
    <n v="0"/>
    <d v="1899-12-30T09:09:00"/>
    <d v="1899-12-30T18:41:00"/>
    <s v="Present"/>
    <s v="Morning"/>
    <s v="Remote"/>
    <n v="0"/>
  </r>
  <r>
    <s v="E1017"/>
    <s v="Employee_17"/>
    <x v="4"/>
    <d v="2024-02-25T00:00:00"/>
    <x v="5"/>
    <n v="2024"/>
    <n v="1"/>
    <n v="0"/>
    <d v="1899-12-30T10:26:00"/>
    <d v="1899-12-30T17:42:00"/>
    <s v="Present"/>
    <s v="Morning"/>
    <s v="Office"/>
    <n v="0"/>
  </r>
  <r>
    <s v="E1039"/>
    <s v="Employee_39"/>
    <x v="3"/>
    <d v="2024-01-25T00:00:00"/>
    <x v="2"/>
    <n v="2024"/>
    <n v="1"/>
    <n v="0"/>
    <d v="1899-12-30T08:03:00"/>
    <d v="1899-12-30T17:43:00"/>
    <s v="Present"/>
    <s v="Evening"/>
    <s v="Office"/>
    <n v="0"/>
  </r>
  <r>
    <s v="E1040"/>
    <s v="Employee_40"/>
    <x v="2"/>
    <d v="2024-02-21T00:00:00"/>
    <x v="5"/>
    <n v="2024"/>
    <n v="1"/>
    <n v="1"/>
    <d v="1899-12-30T11:14:00"/>
    <d v="1899-12-30T19:45:00"/>
    <s v="Late"/>
    <s v="Evening"/>
    <s v="Office"/>
    <n v="0"/>
  </r>
  <r>
    <s v="E1040"/>
    <s v="Employee_40"/>
    <x v="3"/>
    <d v="2024-02-03T00:00:00"/>
    <x v="5"/>
    <n v="2024"/>
    <n v="1"/>
    <n v="0"/>
    <d v="1899-12-30T10:37:00"/>
    <d v="1899-12-30T17:00:00"/>
    <s v="Work From Home"/>
    <s v="Morning"/>
    <s v="Remote"/>
    <n v="0"/>
  </r>
  <r>
    <s v="E1043"/>
    <s v="Employee_43"/>
    <x v="2"/>
    <d v="2024-01-15T00:00:00"/>
    <x v="2"/>
    <n v="2024"/>
    <n v="1"/>
    <n v="1"/>
    <d v="1899-12-30T08:02:00"/>
    <d v="1899-12-30T16:32:00"/>
    <s v="Late"/>
    <s v="Morning"/>
    <s v="Office"/>
    <n v="0"/>
  </r>
  <r>
    <s v="E1035"/>
    <s v="Employee_35"/>
    <x v="4"/>
    <d v="2024-03-11T00:00:00"/>
    <x v="0"/>
    <n v="2024"/>
    <n v="1"/>
    <n v="1"/>
    <d v="1899-12-30T11:11:00"/>
    <d v="1899-12-30T18:42:00"/>
    <s v="Late"/>
    <s v="Morning"/>
    <s v="Remote"/>
    <n v="0"/>
  </r>
  <r>
    <s v="E1021"/>
    <s v="Employee_21"/>
    <x v="0"/>
    <d v="2024-02-25T00:00:00"/>
    <x v="5"/>
    <n v="2024"/>
    <n v="1"/>
    <n v="0"/>
    <d v="1899-12-30T08:23:00"/>
    <d v="1899-12-30T19:15:00"/>
    <s v="Present"/>
    <s v="Morning"/>
    <s v="Office"/>
    <n v="0"/>
  </r>
  <r>
    <s v="E1056"/>
    <s v="Employee_56"/>
    <x v="2"/>
    <d v="2024-02-21T00:00:00"/>
    <x v="5"/>
    <n v="2024"/>
    <n v="1"/>
    <n v="1"/>
    <d v="1899-12-30T09:00:00"/>
    <d v="1899-12-30T20:57:00"/>
    <s v="Late"/>
    <s v="Evening"/>
    <s v="Remote"/>
    <n v="0"/>
  </r>
  <r>
    <s v="E1024"/>
    <s v="Employee_24"/>
    <x v="2"/>
    <d v="2024-03-13T00:00:00"/>
    <x v="0"/>
    <n v="2024"/>
    <n v="1"/>
    <n v="0"/>
    <d v="1899-12-30T10:39:00"/>
    <d v="1899-12-30T20:42:00"/>
    <s v="Present"/>
    <s v="Morning"/>
    <s v="Remote"/>
    <n v="0"/>
  </r>
  <r>
    <s v="E1006"/>
    <s v="Employee_6"/>
    <x v="3"/>
    <d v="2024-03-26T00:00:00"/>
    <x v="0"/>
    <n v="2024"/>
    <n v="1"/>
    <n v="0"/>
    <d v="1899-12-30T08:20:00"/>
    <d v="1899-12-30T16:51:00"/>
    <s v="Work From Home"/>
    <s v="Morning"/>
    <s v="Remote"/>
    <n v="0"/>
  </r>
  <r>
    <s v="E1009"/>
    <s v="Employee_9"/>
    <x v="1"/>
    <d v="2024-01-24T00:00:00"/>
    <x v="2"/>
    <n v="2024"/>
    <n v="1"/>
    <n v="0"/>
    <d v="1899-12-30T09:21:00"/>
    <d v="1899-12-30T18:55:00"/>
    <s v="Work From Home"/>
    <s v="Evening"/>
    <s v="Remote"/>
    <n v="0"/>
  </r>
  <r>
    <s v="E1037"/>
    <s v="Employee_37"/>
    <x v="2"/>
    <d v="2024-03-11T00:00:00"/>
    <x v="0"/>
    <n v="2024"/>
    <n v="0"/>
    <n v="0"/>
    <m/>
    <m/>
    <s v="Absent"/>
    <s v="Evening"/>
    <s v="Office"/>
    <n v="0"/>
  </r>
  <r>
    <s v="E1030"/>
    <s v="Employee_30"/>
    <x v="3"/>
    <d v="2024-02-03T00:00:00"/>
    <x v="5"/>
    <n v="2024"/>
    <n v="1"/>
    <n v="1"/>
    <d v="1899-12-30T08:03:00"/>
    <d v="1899-12-30T19:40:00"/>
    <s v="Late"/>
    <s v="Evening"/>
    <s v="Office"/>
    <n v="0"/>
  </r>
  <r>
    <s v="E1017"/>
    <s v="Employee_17"/>
    <x v="3"/>
    <d v="2024-01-24T00:00:00"/>
    <x v="2"/>
    <n v="2024"/>
    <n v="1"/>
    <n v="0"/>
    <d v="1899-12-30T11:24:00"/>
    <d v="1899-12-30T20:49:00"/>
    <s v="Present"/>
    <s v="Morning"/>
    <s v="Office"/>
    <n v="0"/>
  </r>
  <r>
    <s v="E1053"/>
    <s v="Employee_53"/>
    <x v="2"/>
    <d v="2024-03-28T00:00:00"/>
    <x v="0"/>
    <n v="2024"/>
    <n v="1"/>
    <n v="1"/>
    <d v="1899-12-30T08:52:00"/>
    <d v="1899-12-30T20:00:00"/>
    <s v="Late"/>
    <s v="Morning"/>
    <s v="Remote"/>
    <n v="0"/>
  </r>
  <r>
    <s v="E1018"/>
    <s v="Employee_18"/>
    <x v="2"/>
    <d v="2024-09-01T00:00:00"/>
    <x v="3"/>
    <n v="2024"/>
    <n v="1"/>
    <n v="1"/>
    <d v="1899-12-30T11:03:00"/>
    <d v="1899-12-30T20:32:00"/>
    <s v="Late"/>
    <s v="Evening"/>
    <s v="Remote"/>
    <n v="0"/>
  </r>
  <r>
    <s v="E1015"/>
    <s v="Employee_15"/>
    <x v="2"/>
    <d v="2024-02-19T00:00:00"/>
    <x v="5"/>
    <n v="2024"/>
    <n v="1"/>
    <n v="0"/>
    <d v="1899-12-30T11:26:00"/>
    <d v="1899-12-30T17:26:00"/>
    <s v="Work From Home"/>
    <s v="Evening"/>
    <s v="Office"/>
    <n v="0"/>
  </r>
  <r>
    <s v="E1057"/>
    <s v="Employee_57"/>
    <x v="1"/>
    <d v="2024-03-21T00:00:00"/>
    <x v="0"/>
    <n v="2024"/>
    <n v="1"/>
    <n v="0"/>
    <d v="1899-12-30T08:55:00"/>
    <d v="1899-12-30T19:40:00"/>
    <s v="Work From Home"/>
    <s v="Morning"/>
    <s v="Office"/>
    <n v="0"/>
  </r>
  <r>
    <s v="E1052"/>
    <s v="Employee_52"/>
    <x v="2"/>
    <d v="2024-02-12T00:00:00"/>
    <x v="5"/>
    <n v="2024"/>
    <n v="0"/>
    <n v="0"/>
    <m/>
    <m/>
    <s v="Absent"/>
    <s v="Morning"/>
    <s v="Office"/>
    <n v="0"/>
  </r>
  <r>
    <s v="E1033"/>
    <s v="Employee_33"/>
    <x v="4"/>
    <d v="2024-12-02T00:00:00"/>
    <x v="8"/>
    <n v="2024"/>
    <n v="1"/>
    <n v="0"/>
    <d v="1899-12-30T09:53:00"/>
    <d v="1899-12-30T19:08:00"/>
    <s v="Work From Home"/>
    <s v="Evening"/>
    <s v="Office"/>
    <n v="0"/>
  </r>
  <r>
    <s v="E1038"/>
    <s v="Employee_38"/>
    <x v="3"/>
    <d v="2024-03-03T00:00:00"/>
    <x v="0"/>
    <n v="2024"/>
    <n v="1"/>
    <n v="1"/>
    <d v="1899-12-30T09:12:00"/>
    <d v="1899-12-30T20:54:00"/>
    <s v="Late"/>
    <s v="Evening"/>
    <s v="Remote"/>
    <n v="0"/>
  </r>
  <r>
    <s v="E1010"/>
    <s v="Employee_10"/>
    <x v="1"/>
    <d v="2024-02-06T00:00:00"/>
    <x v="5"/>
    <n v="2024"/>
    <n v="1"/>
    <n v="1"/>
    <d v="1899-12-30T11:28:00"/>
    <d v="1899-12-30T19:27:00"/>
    <s v="Late"/>
    <s v="Morning"/>
    <s v="Remote"/>
    <n v="0"/>
  </r>
  <r>
    <s v="E1012"/>
    <s v="Employee_12"/>
    <x v="4"/>
    <d v="2024-01-27T00:00:00"/>
    <x v="2"/>
    <n v="2024"/>
    <n v="1"/>
    <n v="0"/>
    <d v="1899-12-30T08:07:00"/>
    <d v="1899-12-30T17:20:00"/>
    <s v="Present"/>
    <s v="Morning"/>
    <s v="Remote"/>
    <n v="0"/>
  </r>
  <r>
    <s v="E1027"/>
    <s v="Employee_27"/>
    <x v="1"/>
    <d v="2024-11-02T00:00:00"/>
    <x v="1"/>
    <n v="2024"/>
    <n v="1"/>
    <n v="0"/>
    <d v="1899-12-30T10:13:00"/>
    <d v="1899-12-30T18:23:00"/>
    <s v="Present"/>
    <s v="Morning"/>
    <s v="Remote"/>
    <n v="0"/>
  </r>
  <r>
    <s v="E1032"/>
    <s v="Employee_32"/>
    <x v="2"/>
    <d v="2024-04-02T00:00:00"/>
    <x v="10"/>
    <n v="2024"/>
    <n v="0"/>
    <n v="0"/>
    <m/>
    <m/>
    <s v="Absent"/>
    <s v="Morning"/>
    <s v="Office"/>
    <n v="0"/>
  </r>
  <r>
    <s v="E1052"/>
    <s v="Employee_52"/>
    <x v="0"/>
    <d v="2024-02-16T00:00:00"/>
    <x v="5"/>
    <n v="2024"/>
    <n v="1"/>
    <n v="0"/>
    <d v="1899-12-30T10:00:00"/>
    <d v="1899-12-30T19:11:00"/>
    <s v="Present"/>
    <s v="Morning"/>
    <s v="Office"/>
    <n v="0"/>
  </r>
  <r>
    <s v="E1032"/>
    <s v="Employee_32"/>
    <x v="3"/>
    <d v="2024-01-22T00:00:00"/>
    <x v="2"/>
    <n v="2024"/>
    <n v="1"/>
    <n v="0"/>
    <d v="1899-12-30T09:19:00"/>
    <d v="1899-12-30T19:58:00"/>
    <s v="Work From Home"/>
    <s v="Evening"/>
    <s v="Remote"/>
    <n v="0"/>
  </r>
  <r>
    <s v="E1030"/>
    <s v="Employee_30"/>
    <x v="0"/>
    <d v="2024-01-17T00:00:00"/>
    <x v="2"/>
    <n v="2024"/>
    <n v="1"/>
    <n v="0"/>
    <d v="1899-12-30T10:28:00"/>
    <d v="1899-12-30T19:41:00"/>
    <s v="Work From Home"/>
    <s v="Morning"/>
    <s v="Remote"/>
    <n v="0"/>
  </r>
  <r>
    <s v="E1058"/>
    <s v="Employee_58"/>
    <x v="0"/>
    <d v="2024-05-02T00:00:00"/>
    <x v="6"/>
    <n v="2024"/>
    <n v="1"/>
    <n v="1"/>
    <d v="1899-12-30T10:58:00"/>
    <d v="1899-12-30T19:32:00"/>
    <s v="Late"/>
    <s v="Morning"/>
    <s v="Office"/>
    <n v="0"/>
  </r>
  <r>
    <s v="E1050"/>
    <s v="Employee_50"/>
    <x v="1"/>
    <d v="2024-02-21T00:00:00"/>
    <x v="5"/>
    <n v="2024"/>
    <n v="1"/>
    <n v="0"/>
    <d v="1899-12-30T10:02:00"/>
    <d v="1899-12-30T16:55:00"/>
    <s v="Work From Home"/>
    <s v="Evening"/>
    <s v="Office"/>
    <n v="0"/>
  </r>
  <r>
    <s v="E1024"/>
    <s v="Employee_24"/>
    <x v="2"/>
    <d v="2024-03-24T00:00:00"/>
    <x v="0"/>
    <n v="2024"/>
    <n v="1"/>
    <n v="1"/>
    <d v="1899-12-30T08:52:00"/>
    <d v="1899-12-30T16:14:00"/>
    <s v="Late"/>
    <s v="Morning"/>
    <s v="Office"/>
    <n v="0"/>
  </r>
  <r>
    <s v="E1046"/>
    <s v="Employee_46"/>
    <x v="3"/>
    <d v="2024-03-03T00:00:00"/>
    <x v="0"/>
    <n v="2024"/>
    <n v="1"/>
    <n v="0"/>
    <d v="1899-12-30T08:51:00"/>
    <d v="1899-12-30T20:23:00"/>
    <s v="Work From Home"/>
    <s v="Morning"/>
    <s v="Office"/>
    <n v="0"/>
  </r>
  <r>
    <s v="E1025"/>
    <s v="Employee_25"/>
    <x v="4"/>
    <d v="2024-02-21T00:00:00"/>
    <x v="5"/>
    <n v="2024"/>
    <n v="0"/>
    <n v="0"/>
    <m/>
    <m/>
    <s v="Absent"/>
    <s v="Morning"/>
    <s v="Remote"/>
    <n v="0"/>
  </r>
  <r>
    <s v="E1049"/>
    <s v="Employee_49"/>
    <x v="2"/>
    <d v="2024-11-02T00:00:00"/>
    <x v="1"/>
    <n v="2024"/>
    <n v="1"/>
    <n v="0"/>
    <d v="1899-12-30T10:36:00"/>
    <d v="1899-12-30T20:28:00"/>
    <s v="Work From Home"/>
    <s v="Evening"/>
    <s v="Office"/>
    <n v="0"/>
  </r>
  <r>
    <s v="E1025"/>
    <s v="Employee_25"/>
    <x v="4"/>
    <d v="2024-01-01T00:00:00"/>
    <x v="2"/>
    <n v="2024"/>
    <n v="0"/>
    <n v="0"/>
    <m/>
    <m/>
    <s v="Absent"/>
    <s v="Morning"/>
    <s v="Office"/>
    <n v="0"/>
  </r>
  <r>
    <s v="E1016"/>
    <s v="Employee_16"/>
    <x v="4"/>
    <d v="2024-03-13T00:00:00"/>
    <x v="0"/>
    <n v="2024"/>
    <n v="1"/>
    <n v="1"/>
    <d v="1899-12-30T10:36:00"/>
    <d v="1899-12-30T20:49:00"/>
    <s v="Late"/>
    <s v="Evening"/>
    <s v="Office"/>
    <n v="0"/>
  </r>
  <r>
    <s v="E1014"/>
    <s v="Employee_14"/>
    <x v="1"/>
    <d v="2024-03-22T00:00:00"/>
    <x v="0"/>
    <n v="2024"/>
    <n v="1"/>
    <n v="1"/>
    <d v="1899-12-30T09:03:00"/>
    <d v="1899-12-30T16:31:00"/>
    <s v="Late"/>
    <s v="Evening"/>
    <s v="Office"/>
    <n v="0"/>
  </r>
  <r>
    <s v="E1032"/>
    <s v="Employee_32"/>
    <x v="0"/>
    <d v="2024-10-01T00:00:00"/>
    <x v="7"/>
    <n v="2024"/>
    <n v="1"/>
    <n v="1"/>
    <d v="1899-12-30T11:05:00"/>
    <d v="1899-12-30T16:01:00"/>
    <s v="Late"/>
    <s v="Morning"/>
    <s v="Office"/>
    <n v="0"/>
  </r>
  <r>
    <s v="E1041"/>
    <s v="Employee_41"/>
    <x v="3"/>
    <d v="2024-02-09T00:00:00"/>
    <x v="5"/>
    <n v="2024"/>
    <n v="1"/>
    <n v="1"/>
    <d v="1899-12-30T08:29:00"/>
    <d v="1899-12-30T20:49:00"/>
    <s v="Late"/>
    <s v="Evening"/>
    <s v="Remote"/>
    <n v="0"/>
  </r>
  <r>
    <s v="E1053"/>
    <s v="Employee_53"/>
    <x v="1"/>
    <d v="2024-01-03T00:00:00"/>
    <x v="2"/>
    <n v="2024"/>
    <n v="1"/>
    <n v="0"/>
    <d v="1899-12-30T11:44:00"/>
    <d v="1899-12-30T17:59:00"/>
    <s v="Present"/>
    <s v="Evening"/>
    <s v="Remote"/>
    <n v="0"/>
  </r>
  <r>
    <s v="E1054"/>
    <s v="Employee_54"/>
    <x v="2"/>
    <d v="2024-02-18T00:00:00"/>
    <x v="5"/>
    <n v="2024"/>
    <n v="1"/>
    <n v="1"/>
    <d v="1899-12-30T09:23:00"/>
    <d v="1899-12-30T20:24:00"/>
    <s v="Late"/>
    <s v="Evening"/>
    <s v="Office"/>
    <n v="0"/>
  </r>
  <r>
    <s v="E1047"/>
    <s v="Employee_47"/>
    <x v="3"/>
    <d v="2024-03-30T00:00:00"/>
    <x v="0"/>
    <n v="2024"/>
    <n v="1"/>
    <n v="0"/>
    <d v="1899-12-30T09:30:00"/>
    <d v="1899-12-30T20:10:00"/>
    <s v="Present"/>
    <s v="Morning"/>
    <s v="Remote"/>
    <n v="0"/>
  </r>
  <r>
    <s v="E1001"/>
    <s v="Employee_1"/>
    <x v="3"/>
    <d v="2024-01-30T00:00:00"/>
    <x v="2"/>
    <n v="2024"/>
    <n v="1"/>
    <n v="1"/>
    <d v="1899-12-30T08:30:00"/>
    <d v="1899-12-30T18:00:00"/>
    <s v="Late"/>
    <s v="Evening"/>
    <s v="Office"/>
    <n v="0"/>
  </r>
  <r>
    <s v="E1043"/>
    <s v="Employee_43"/>
    <x v="0"/>
    <d v="2024-02-21T00:00:00"/>
    <x v="5"/>
    <n v="2024"/>
    <n v="1"/>
    <n v="0"/>
    <d v="1899-12-30T11:24:00"/>
    <d v="1899-12-30T18:05:00"/>
    <s v="Present"/>
    <s v="Evening"/>
    <s v="Remote"/>
    <n v="0"/>
  </r>
  <r>
    <s v="E1003"/>
    <s v="Employee_3"/>
    <x v="0"/>
    <d v="2024-02-26T00:00:00"/>
    <x v="5"/>
    <n v="2024"/>
    <n v="1"/>
    <n v="0"/>
    <d v="1899-12-30T08:30:00"/>
    <d v="1899-12-30T18:53:00"/>
    <s v="Work From Home"/>
    <s v="Evening"/>
    <s v="Office"/>
    <n v="0"/>
  </r>
  <r>
    <s v="E1054"/>
    <s v="Employee_54"/>
    <x v="1"/>
    <d v="2024-01-14T00:00:00"/>
    <x v="2"/>
    <n v="2024"/>
    <n v="1"/>
    <n v="0"/>
    <d v="1899-12-30T09:45:00"/>
    <d v="1899-12-30T20:00:00"/>
    <s v="Present"/>
    <s v="Morning"/>
    <s v="Remote"/>
    <n v="0"/>
  </r>
  <r>
    <s v="E1015"/>
    <s v="Employee_15"/>
    <x v="1"/>
    <d v="2024-01-31T00:00:00"/>
    <x v="2"/>
    <n v="2024"/>
    <n v="1"/>
    <n v="0"/>
    <d v="1899-12-30T11:34:00"/>
    <d v="1899-12-30T20:41:00"/>
    <s v="Work From Home"/>
    <s v="Morning"/>
    <s v="Remote"/>
    <n v="0"/>
  </r>
  <r>
    <s v="E1031"/>
    <s v="Employee_31"/>
    <x v="0"/>
    <d v="2024-06-01T00:00:00"/>
    <x v="11"/>
    <n v="2024"/>
    <n v="0"/>
    <n v="0"/>
    <m/>
    <m/>
    <s v="Absent"/>
    <s v="Morning"/>
    <s v="Office"/>
    <n v="0"/>
  </r>
  <r>
    <s v="E1002"/>
    <s v="Employee_2"/>
    <x v="2"/>
    <d v="2024-06-03T00:00:00"/>
    <x v="11"/>
    <n v="2024"/>
    <n v="1"/>
    <n v="0"/>
    <d v="1899-12-30T11:29:00"/>
    <d v="1899-12-30T20:58:00"/>
    <s v="Present"/>
    <s v="Morning"/>
    <s v="Remote"/>
    <n v="0"/>
  </r>
  <r>
    <s v="E1002"/>
    <s v="Employee_2"/>
    <x v="4"/>
    <d v="2024-01-15T00:00:00"/>
    <x v="2"/>
    <n v="2024"/>
    <n v="0"/>
    <n v="0"/>
    <m/>
    <m/>
    <s v="Absent"/>
    <s v="Evening"/>
    <s v="Office"/>
    <n v="0"/>
  </r>
  <r>
    <s v="E1049"/>
    <s v="Employee_49"/>
    <x v="0"/>
    <d v="2024-03-24T00:00:00"/>
    <x v="0"/>
    <n v="2024"/>
    <n v="1"/>
    <n v="1"/>
    <d v="1899-12-30T08:18:00"/>
    <d v="1899-12-30T18:12:00"/>
    <s v="Late"/>
    <s v="Evening"/>
    <s v="Remote"/>
    <n v="0"/>
  </r>
  <r>
    <s v="E1042"/>
    <s v="Employee_42"/>
    <x v="2"/>
    <d v="2024-01-27T00:00:00"/>
    <x v="2"/>
    <n v="2024"/>
    <n v="1"/>
    <n v="1"/>
    <d v="1899-12-30T09:49:00"/>
    <d v="1899-12-30T18:34:00"/>
    <s v="Late"/>
    <s v="Morning"/>
    <s v="Office"/>
    <n v="0"/>
  </r>
  <r>
    <s v="E1052"/>
    <s v="Employee_52"/>
    <x v="4"/>
    <d v="2024-05-01T00:00:00"/>
    <x v="6"/>
    <n v="2024"/>
    <n v="1"/>
    <n v="0"/>
    <d v="1899-12-30T10:12:00"/>
    <d v="1899-12-30T16:47:00"/>
    <s v="Work From Home"/>
    <s v="Morning"/>
    <s v="Office"/>
    <n v="0"/>
  </r>
  <r>
    <s v="E1012"/>
    <s v="Employee_12"/>
    <x v="3"/>
    <d v="2024-03-24T00:00:00"/>
    <x v="0"/>
    <n v="2024"/>
    <n v="1"/>
    <n v="0"/>
    <d v="1899-12-30T10:13:00"/>
    <d v="1899-12-30T17:57:00"/>
    <s v="Present"/>
    <s v="Evening"/>
    <s v="Remote"/>
    <n v="0"/>
  </r>
  <r>
    <s v="E1054"/>
    <s v="Employee_54"/>
    <x v="1"/>
    <d v="2024-03-01T00:00:00"/>
    <x v="0"/>
    <n v="2024"/>
    <n v="0"/>
    <n v="0"/>
    <m/>
    <m/>
    <s v="Absent"/>
    <s v="Morning"/>
    <s v="Remote"/>
    <n v="0"/>
  </r>
  <r>
    <s v="E1019"/>
    <s v="Employee_19"/>
    <x v="1"/>
    <d v="2024-03-27T00:00:00"/>
    <x v="0"/>
    <n v="2024"/>
    <n v="1"/>
    <n v="1"/>
    <d v="1899-12-30T11:17:00"/>
    <d v="1899-12-30T18:19:00"/>
    <s v="Late"/>
    <s v="Morning"/>
    <s v="Office"/>
    <n v="0"/>
  </r>
  <r>
    <s v="E1009"/>
    <s v="Employee_9"/>
    <x v="3"/>
    <d v="2024-09-01T00:00:00"/>
    <x v="3"/>
    <n v="2024"/>
    <n v="1"/>
    <n v="0"/>
    <d v="1899-12-30T10:02:00"/>
    <d v="1899-12-30T17:35:00"/>
    <s v="Present"/>
    <s v="Evening"/>
    <s v="Remote"/>
    <n v="0"/>
  </r>
  <r>
    <s v="E1058"/>
    <s v="Employee_58"/>
    <x v="4"/>
    <d v="2024-03-21T00:00:00"/>
    <x v="0"/>
    <n v="2024"/>
    <n v="0"/>
    <n v="0"/>
    <m/>
    <m/>
    <s v="Absent"/>
    <s v="Morning"/>
    <s v="Remote"/>
    <n v="0"/>
  </r>
  <r>
    <s v="E1012"/>
    <s v="Employee_12"/>
    <x v="4"/>
    <d v="2024-02-08T00:00:00"/>
    <x v="5"/>
    <n v="2024"/>
    <n v="1"/>
    <n v="1"/>
    <d v="1899-12-30T10:37:00"/>
    <d v="1899-12-30T16:25:00"/>
    <s v="Late"/>
    <s v="Evening"/>
    <s v="Office"/>
    <n v="0"/>
  </r>
  <r>
    <s v="E1020"/>
    <s v="Employee_20"/>
    <x v="0"/>
    <d v="2024-10-03T00:00:00"/>
    <x v="7"/>
    <n v="2024"/>
    <n v="1"/>
    <n v="1"/>
    <d v="1899-12-30T08:42:00"/>
    <d v="1899-12-30T20:59:00"/>
    <s v="Late"/>
    <s v="Evening"/>
    <s v="Office"/>
    <n v="0"/>
  </r>
  <r>
    <s v="E1037"/>
    <s v="Employee_37"/>
    <x v="1"/>
    <d v="2024-01-27T00:00:00"/>
    <x v="2"/>
    <n v="2024"/>
    <n v="1"/>
    <n v="0"/>
    <d v="1899-12-30T10:58:00"/>
    <d v="1899-12-30T20:37:00"/>
    <s v="Present"/>
    <s v="Morning"/>
    <s v="Remote"/>
    <n v="0"/>
  </r>
  <r>
    <s v="E1009"/>
    <s v="Employee_9"/>
    <x v="3"/>
    <d v="2024-03-08T00:00:00"/>
    <x v="0"/>
    <n v="2024"/>
    <n v="0"/>
    <n v="0"/>
    <m/>
    <m/>
    <s v="Absent"/>
    <s v="Evening"/>
    <s v="Office"/>
    <n v="0"/>
  </r>
  <r>
    <s v="E1003"/>
    <s v="Employee_3"/>
    <x v="1"/>
    <d v="2024-01-21T00:00:00"/>
    <x v="2"/>
    <n v="2024"/>
    <n v="1"/>
    <n v="0"/>
    <d v="1899-12-30T08:49:00"/>
    <d v="1899-12-30T16:31:00"/>
    <s v="Work From Home"/>
    <s v="Morning"/>
    <s v="Remote"/>
    <n v="0"/>
  </r>
  <r>
    <s v="E1012"/>
    <s v="Employee_12"/>
    <x v="4"/>
    <d v="2024-02-19T00:00:00"/>
    <x v="5"/>
    <n v="2024"/>
    <n v="1"/>
    <n v="1"/>
    <d v="1899-12-30T08:41:00"/>
    <d v="1899-12-30T18:44:00"/>
    <s v="Late"/>
    <s v="Morning"/>
    <s v="Office"/>
    <n v="0"/>
  </r>
  <r>
    <s v="E1024"/>
    <s v="Employee_24"/>
    <x v="4"/>
    <d v="2024-01-24T00:00:00"/>
    <x v="2"/>
    <n v="2024"/>
    <n v="1"/>
    <n v="1"/>
    <d v="1899-12-30T11:35:00"/>
    <d v="1899-12-30T20:35:00"/>
    <s v="Late"/>
    <s v="Morning"/>
    <s v="Office"/>
    <n v="0"/>
  </r>
  <r>
    <s v="E1056"/>
    <s v="Employee_56"/>
    <x v="2"/>
    <d v="2024-03-25T00:00:00"/>
    <x v="0"/>
    <n v="2024"/>
    <n v="0"/>
    <n v="0"/>
    <m/>
    <m/>
    <s v="Absent"/>
    <s v="Morning"/>
    <s v="Remote"/>
    <n v="0"/>
  </r>
  <r>
    <s v="E1017"/>
    <s v="Employee_17"/>
    <x v="0"/>
    <d v="2024-03-18T00:00:00"/>
    <x v="0"/>
    <n v="2024"/>
    <n v="0"/>
    <n v="0"/>
    <m/>
    <m/>
    <s v="Absent"/>
    <s v="Evening"/>
    <s v="Office"/>
    <n v="0"/>
  </r>
  <r>
    <s v="E1008"/>
    <s v="Employee_8"/>
    <x v="3"/>
    <d v="2024-03-06T00:00:00"/>
    <x v="0"/>
    <n v="2024"/>
    <n v="1"/>
    <n v="0"/>
    <d v="1899-12-30T09:18:00"/>
    <d v="1899-12-30T17:59:00"/>
    <s v="Work From Home"/>
    <s v="Evening"/>
    <s v="Office"/>
    <n v="0"/>
  </r>
  <r>
    <s v="E1025"/>
    <s v="Employee_25"/>
    <x v="2"/>
    <d v="2024-01-31T00:00:00"/>
    <x v="2"/>
    <n v="2024"/>
    <n v="0"/>
    <n v="0"/>
    <m/>
    <m/>
    <s v="Absent"/>
    <s v="Evening"/>
    <s v="Remote"/>
    <n v="0"/>
  </r>
  <r>
    <s v="E1053"/>
    <s v="Employee_53"/>
    <x v="0"/>
    <d v="2024-02-16T00:00:00"/>
    <x v="5"/>
    <n v="2024"/>
    <n v="1"/>
    <n v="1"/>
    <d v="1899-12-30T08:52:00"/>
    <d v="1899-12-30T16:22:00"/>
    <s v="Late"/>
    <s v="Morning"/>
    <s v="Remote"/>
    <n v="0"/>
  </r>
  <r>
    <s v="E1034"/>
    <s v="Employee_34"/>
    <x v="0"/>
    <d v="2024-02-24T00:00:00"/>
    <x v="5"/>
    <n v="2024"/>
    <n v="1"/>
    <n v="1"/>
    <d v="1899-12-30T09:58:00"/>
    <d v="1899-12-30T20:52:00"/>
    <s v="Late"/>
    <s v="Evening"/>
    <s v="Office"/>
    <n v="0"/>
  </r>
  <r>
    <s v="E1020"/>
    <s v="Employee_20"/>
    <x v="3"/>
    <d v="2024-01-25T00:00:00"/>
    <x v="2"/>
    <n v="2024"/>
    <n v="1"/>
    <n v="0"/>
    <d v="1899-12-30T10:32:00"/>
    <d v="1899-12-30T17:50:00"/>
    <s v="Present"/>
    <s v="Evening"/>
    <s v="Office"/>
    <n v="0"/>
  </r>
  <r>
    <s v="E1021"/>
    <s v="Employee_21"/>
    <x v="0"/>
    <d v="2024-01-31T00:00:00"/>
    <x v="2"/>
    <n v="2024"/>
    <n v="1"/>
    <n v="1"/>
    <d v="1899-12-30T09:03:00"/>
    <d v="1899-12-30T20:10:00"/>
    <s v="Late"/>
    <s v="Morning"/>
    <s v="Remote"/>
    <n v="0"/>
  </r>
  <r>
    <s v="E1039"/>
    <s v="Employee_39"/>
    <x v="3"/>
    <d v="2024-03-20T00:00:00"/>
    <x v="0"/>
    <n v="2024"/>
    <n v="1"/>
    <n v="0"/>
    <d v="1899-12-30T10:29:00"/>
    <d v="1899-12-30T18:58:00"/>
    <s v="Present"/>
    <s v="Morning"/>
    <s v="Office"/>
    <n v="0"/>
  </r>
  <r>
    <s v="E1011"/>
    <s v="Employee_11"/>
    <x v="0"/>
    <d v="2024-01-17T00:00:00"/>
    <x v="2"/>
    <n v="2024"/>
    <n v="0"/>
    <n v="0"/>
    <m/>
    <m/>
    <s v="Absent"/>
    <s v="Evening"/>
    <s v="Remote"/>
    <n v="0"/>
  </r>
  <r>
    <s v="E1045"/>
    <s v="Employee_45"/>
    <x v="0"/>
    <d v="2024-02-11T00:00:00"/>
    <x v="5"/>
    <n v="2024"/>
    <n v="1"/>
    <n v="0"/>
    <d v="1899-12-30T11:42:00"/>
    <d v="1899-12-30T17:37:00"/>
    <s v="Present"/>
    <s v="Evening"/>
    <s v="Remote"/>
    <n v="0"/>
  </r>
  <r>
    <s v="E1059"/>
    <s v="Employee_59"/>
    <x v="1"/>
    <d v="2024-01-28T00:00:00"/>
    <x v="2"/>
    <n v="2024"/>
    <n v="1"/>
    <n v="0"/>
    <d v="1899-12-30T08:36:00"/>
    <d v="1899-12-30T20:37:00"/>
    <s v="Work From Home"/>
    <s v="Evening"/>
    <s v="Remote"/>
    <n v="0"/>
  </r>
  <r>
    <s v="E1036"/>
    <s v="Employee_36"/>
    <x v="0"/>
    <d v="2024-02-02T00:00:00"/>
    <x v="5"/>
    <n v="2024"/>
    <n v="1"/>
    <n v="1"/>
    <d v="1899-12-30T10:01:00"/>
    <d v="1899-12-30T16:39:00"/>
    <s v="Late"/>
    <s v="Morning"/>
    <s v="Office"/>
    <n v="0"/>
  </r>
  <r>
    <s v="E1037"/>
    <s v="Employee_37"/>
    <x v="4"/>
    <d v="2024-01-23T00:00:00"/>
    <x v="2"/>
    <n v="2024"/>
    <n v="0"/>
    <n v="0"/>
    <m/>
    <m/>
    <s v="Absent"/>
    <s v="Evening"/>
    <s v="Office"/>
    <n v="0"/>
  </r>
  <r>
    <s v="E1034"/>
    <s v="Employee_34"/>
    <x v="0"/>
    <d v="2024-03-27T00:00:00"/>
    <x v="0"/>
    <n v="2024"/>
    <n v="1"/>
    <n v="0"/>
    <d v="1899-12-30T08:42:00"/>
    <d v="1899-12-30T19:54:00"/>
    <s v="Present"/>
    <s v="Morning"/>
    <s v="Remote"/>
    <n v="0"/>
  </r>
  <r>
    <s v="E1048"/>
    <s v="Employee_48"/>
    <x v="2"/>
    <d v="2024-02-01T00:00:00"/>
    <x v="5"/>
    <n v="2024"/>
    <n v="1"/>
    <n v="1"/>
    <d v="1899-12-30T09:17:00"/>
    <d v="1899-12-30T18:28:00"/>
    <s v="Late"/>
    <s v="Evening"/>
    <s v="Remote"/>
    <n v="0"/>
  </r>
  <r>
    <s v="E1031"/>
    <s v="Employee_31"/>
    <x v="4"/>
    <d v="2024-03-29T00:00:00"/>
    <x v="0"/>
    <n v="2024"/>
    <n v="1"/>
    <n v="0"/>
    <d v="1899-12-30T10:54:00"/>
    <d v="1899-12-30T19:10:00"/>
    <s v="Work From Home"/>
    <s v="Evening"/>
    <s v="Office"/>
    <n v="0"/>
  </r>
  <r>
    <s v="E1050"/>
    <s v="Employee_50"/>
    <x v="1"/>
    <d v="2024-01-25T00:00:00"/>
    <x v="2"/>
    <n v="2024"/>
    <n v="1"/>
    <n v="1"/>
    <d v="1899-12-30T10:55:00"/>
    <d v="1899-12-30T20:54:00"/>
    <s v="Late"/>
    <s v="Morning"/>
    <s v="Remote"/>
    <n v="0"/>
  </r>
  <r>
    <s v="E1022"/>
    <s v="Employee_22"/>
    <x v="4"/>
    <d v="2024-02-21T00:00:00"/>
    <x v="5"/>
    <n v="2024"/>
    <n v="1"/>
    <n v="0"/>
    <d v="1899-12-30T08:10:00"/>
    <d v="1899-12-30T19:21:00"/>
    <s v="Present"/>
    <s v="Evening"/>
    <s v="Remote"/>
    <n v="0"/>
  </r>
  <r>
    <s v="E1037"/>
    <s v="Employee_37"/>
    <x v="0"/>
    <d v="2024-03-25T00:00:00"/>
    <x v="0"/>
    <n v="2024"/>
    <n v="1"/>
    <n v="0"/>
    <d v="1899-12-30T09:37:00"/>
    <d v="1899-12-30T18:59:00"/>
    <s v="Work From Home"/>
    <s v="Morning"/>
    <s v="Remote"/>
    <n v="0"/>
  </r>
  <r>
    <s v="E1006"/>
    <s v="Employee_6"/>
    <x v="4"/>
    <d v="2024-03-03T00:00:00"/>
    <x v="0"/>
    <n v="2024"/>
    <n v="1"/>
    <n v="0"/>
    <d v="1899-12-30T11:57:00"/>
    <d v="1899-12-30T19:47:00"/>
    <s v="Work From Home"/>
    <s v="Evening"/>
    <s v="Office"/>
    <n v="0"/>
  </r>
  <r>
    <s v="E1057"/>
    <s v="Employee_57"/>
    <x v="1"/>
    <d v="2024-03-27T00:00:00"/>
    <x v="0"/>
    <n v="2024"/>
    <n v="1"/>
    <n v="0"/>
    <d v="1899-12-30T11:06:00"/>
    <d v="1899-12-30T20:32:00"/>
    <s v="Present"/>
    <s v="Morning"/>
    <s v="Office"/>
    <n v="0"/>
  </r>
  <r>
    <s v="E1027"/>
    <s v="Employee_27"/>
    <x v="4"/>
    <d v="2024-02-20T00:00:00"/>
    <x v="5"/>
    <n v="2024"/>
    <n v="1"/>
    <n v="1"/>
    <d v="1899-12-30T09:59:00"/>
    <d v="1899-12-30T19:44:00"/>
    <s v="Late"/>
    <s v="Morning"/>
    <s v="Remote"/>
    <n v="0"/>
  </r>
  <r>
    <s v="E1002"/>
    <s v="Employee_2"/>
    <x v="0"/>
    <d v="2024-09-01T00:00:00"/>
    <x v="3"/>
    <n v="2024"/>
    <n v="1"/>
    <n v="0"/>
    <d v="1899-12-30T09:23:00"/>
    <d v="1899-12-30T20:33:00"/>
    <s v="Work From Home"/>
    <s v="Morning"/>
    <s v="Office"/>
    <n v="0"/>
  </r>
  <r>
    <s v="E1053"/>
    <s v="Employee_53"/>
    <x v="3"/>
    <d v="2024-01-16T00:00:00"/>
    <x v="2"/>
    <n v="2024"/>
    <n v="1"/>
    <n v="0"/>
    <d v="1899-12-30T11:35:00"/>
    <d v="1899-12-30T18:11:00"/>
    <s v="Present"/>
    <s v="Morning"/>
    <s v="Office"/>
    <n v="0"/>
  </r>
  <r>
    <s v="E1010"/>
    <s v="Employee_10"/>
    <x v="4"/>
    <d v="2024-06-01T00:00:00"/>
    <x v="11"/>
    <n v="2024"/>
    <n v="1"/>
    <n v="0"/>
    <d v="1899-12-30T10:52:00"/>
    <d v="1899-12-30T16:48:00"/>
    <s v="Present"/>
    <s v="Morning"/>
    <s v="Remote"/>
    <n v="0"/>
  </r>
  <r>
    <s v="E1002"/>
    <s v="Employee_2"/>
    <x v="2"/>
    <d v="2024-01-19T00:00:00"/>
    <x v="2"/>
    <n v="2024"/>
    <n v="1"/>
    <n v="0"/>
    <d v="1899-12-30T08:20:00"/>
    <d v="1899-12-30T17:20:00"/>
    <s v="Work From Home"/>
    <s v="Evening"/>
    <s v="Office"/>
    <n v="0"/>
  </r>
  <r>
    <s v="E1052"/>
    <s v="Employee_52"/>
    <x v="1"/>
    <d v="2024-12-02T00:00:00"/>
    <x v="8"/>
    <n v="2024"/>
    <n v="1"/>
    <n v="0"/>
    <d v="1899-12-30T10:22:00"/>
    <d v="1899-12-30T16:41:00"/>
    <s v="Present"/>
    <s v="Evening"/>
    <s v="Remote"/>
    <n v="0"/>
  </r>
  <r>
    <s v="E1035"/>
    <s v="Employee_35"/>
    <x v="0"/>
    <d v="2024-01-19T00:00:00"/>
    <x v="2"/>
    <n v="2024"/>
    <n v="1"/>
    <n v="0"/>
    <d v="1899-12-30T09:23:00"/>
    <d v="1899-12-30T18:31:00"/>
    <s v="Work From Home"/>
    <s v="Evening"/>
    <s v="Office"/>
    <n v="0"/>
  </r>
  <r>
    <s v="E1052"/>
    <s v="Employee_52"/>
    <x v="3"/>
    <d v="2024-12-02T00:00:00"/>
    <x v="8"/>
    <n v="2024"/>
    <n v="1"/>
    <n v="1"/>
    <d v="1899-12-30T09:56:00"/>
    <d v="1899-12-30T20:00:00"/>
    <s v="Late"/>
    <s v="Morning"/>
    <s v="Office"/>
    <n v="0"/>
  </r>
  <r>
    <s v="E1016"/>
    <s v="Employee_16"/>
    <x v="1"/>
    <d v="2024-01-23T00:00:00"/>
    <x v="2"/>
    <n v="2024"/>
    <n v="1"/>
    <n v="0"/>
    <d v="1899-12-30T10:28:00"/>
    <d v="1899-12-30T16:36:00"/>
    <s v="Work From Home"/>
    <s v="Morning"/>
    <s v="Remote"/>
    <n v="0"/>
  </r>
  <r>
    <s v="E1057"/>
    <s v="Employee_57"/>
    <x v="1"/>
    <d v="2024-05-03T00:00:00"/>
    <x v="6"/>
    <n v="2024"/>
    <n v="1"/>
    <n v="1"/>
    <d v="1899-12-30T11:04:00"/>
    <d v="1899-12-30T18:31:00"/>
    <s v="Late"/>
    <s v="Evening"/>
    <s v="Office"/>
    <n v="0"/>
  </r>
  <r>
    <s v="E1059"/>
    <s v="Employee_59"/>
    <x v="1"/>
    <d v="2024-02-21T00:00:00"/>
    <x v="5"/>
    <n v="2024"/>
    <n v="1"/>
    <n v="0"/>
    <d v="1899-12-30T11:34:00"/>
    <d v="1899-12-30T20:52:00"/>
    <s v="Present"/>
    <s v="Morning"/>
    <s v="Remote"/>
    <n v="0"/>
  </r>
  <r>
    <s v="E1030"/>
    <s v="Employee_30"/>
    <x v="1"/>
    <d v="2024-03-06T00:00:00"/>
    <x v="0"/>
    <n v="2024"/>
    <n v="1"/>
    <n v="0"/>
    <d v="1899-12-30T09:29:00"/>
    <d v="1899-12-30T16:41:00"/>
    <s v="Present"/>
    <s v="Evening"/>
    <s v="Remote"/>
    <n v="0"/>
  </r>
  <r>
    <s v="E1009"/>
    <s v="Employee_9"/>
    <x v="3"/>
    <d v="2024-01-14T00:00:00"/>
    <x v="2"/>
    <n v="2024"/>
    <n v="0"/>
    <n v="0"/>
    <m/>
    <m/>
    <s v="Absent"/>
    <s v="Evening"/>
    <s v="Remote"/>
    <n v="0"/>
  </r>
  <r>
    <s v="E1026"/>
    <s v="Employee_26"/>
    <x v="0"/>
    <d v="2024-01-04T00:00:00"/>
    <x v="2"/>
    <n v="2024"/>
    <n v="1"/>
    <n v="0"/>
    <d v="1899-12-30T11:39:00"/>
    <d v="1899-12-30T20:21:00"/>
    <s v="Work From Home"/>
    <s v="Morning"/>
    <s v="Remote"/>
    <n v="0"/>
  </r>
  <r>
    <s v="E1010"/>
    <s v="Employee_10"/>
    <x v="3"/>
    <d v="2024-02-24T00:00:00"/>
    <x v="5"/>
    <n v="2024"/>
    <n v="1"/>
    <n v="0"/>
    <d v="1899-12-30T10:37:00"/>
    <d v="1899-12-30T16:42:00"/>
    <s v="Present"/>
    <s v="Morning"/>
    <s v="Office"/>
    <n v="0"/>
  </r>
  <r>
    <s v="E1045"/>
    <s v="Employee_45"/>
    <x v="2"/>
    <d v="2024-03-06T00:00:00"/>
    <x v="0"/>
    <n v="2024"/>
    <n v="0"/>
    <n v="0"/>
    <m/>
    <m/>
    <s v="Absent"/>
    <s v="Morning"/>
    <s v="Office"/>
    <n v="0"/>
  </r>
  <r>
    <s v="E1030"/>
    <s v="Employee_30"/>
    <x v="4"/>
    <d v="2024-06-01T00:00:00"/>
    <x v="11"/>
    <n v="2024"/>
    <n v="1"/>
    <n v="0"/>
    <d v="1899-12-30T09:37:00"/>
    <d v="1899-12-30T18:25:00"/>
    <s v="Work From Home"/>
    <s v="Evening"/>
    <s v="Office"/>
    <n v="0"/>
  </r>
  <r>
    <s v="E1025"/>
    <s v="Employee_25"/>
    <x v="2"/>
    <d v="2024-03-22T00:00:00"/>
    <x v="0"/>
    <n v="2024"/>
    <n v="0"/>
    <n v="0"/>
    <m/>
    <m/>
    <s v="Absent"/>
    <s v="Morning"/>
    <s v="Office"/>
    <n v="0"/>
  </r>
  <r>
    <s v="E1016"/>
    <s v="Employee_16"/>
    <x v="1"/>
    <d v="2024-01-02T00:00:00"/>
    <x v="2"/>
    <n v="2024"/>
    <n v="1"/>
    <n v="1"/>
    <d v="1899-12-30T10:43:00"/>
    <d v="1899-12-30T20:35:00"/>
    <s v="Late"/>
    <s v="Evening"/>
    <s v="Office"/>
    <n v="0"/>
  </r>
  <r>
    <s v="E1002"/>
    <s v="Employee_2"/>
    <x v="4"/>
    <d v="2024-03-06T00:00:00"/>
    <x v="0"/>
    <n v="2024"/>
    <n v="0"/>
    <n v="0"/>
    <m/>
    <m/>
    <s v="Absent"/>
    <s v="Evening"/>
    <s v="Remote"/>
    <n v="0"/>
  </r>
  <r>
    <s v="E1017"/>
    <s v="Employee_17"/>
    <x v="2"/>
    <d v="2024-06-03T00:00:00"/>
    <x v="11"/>
    <n v="2024"/>
    <n v="1"/>
    <n v="0"/>
    <d v="1899-12-30T08:53:00"/>
    <d v="1899-12-30T16:34:00"/>
    <s v="Present"/>
    <s v="Evening"/>
    <s v="Remote"/>
    <n v="0"/>
  </r>
  <r>
    <s v="E1046"/>
    <s v="Employee_46"/>
    <x v="2"/>
    <d v="2024-02-03T00:00:00"/>
    <x v="5"/>
    <n v="2024"/>
    <n v="1"/>
    <n v="0"/>
    <d v="1899-12-30T11:00:00"/>
    <d v="1899-12-30T17:46:00"/>
    <s v="Work From Home"/>
    <s v="Evening"/>
    <s v="Office"/>
    <n v="0"/>
  </r>
  <r>
    <s v="E1006"/>
    <s v="Employee_6"/>
    <x v="1"/>
    <d v="2024-03-18T00:00:00"/>
    <x v="0"/>
    <n v="2024"/>
    <n v="1"/>
    <n v="0"/>
    <d v="1899-12-30T10:44:00"/>
    <d v="1899-12-30T16:02:00"/>
    <s v="Present"/>
    <s v="Evening"/>
    <s v="Remote"/>
    <n v="0"/>
  </r>
  <r>
    <s v="E1036"/>
    <s v="Employee_36"/>
    <x v="2"/>
    <d v="2024-01-02T00:00:00"/>
    <x v="2"/>
    <n v="2024"/>
    <n v="1"/>
    <n v="1"/>
    <d v="1899-12-30T10:45:00"/>
    <d v="1899-12-30T19:27:00"/>
    <s v="Late"/>
    <s v="Morning"/>
    <s v="Remote"/>
    <n v="0"/>
  </r>
  <r>
    <s v="E1022"/>
    <s v="Employee_22"/>
    <x v="3"/>
    <d v="2024-03-20T00:00:00"/>
    <x v="0"/>
    <n v="2024"/>
    <n v="1"/>
    <n v="1"/>
    <d v="1899-12-30T10:47:00"/>
    <d v="1899-12-30T17:23:00"/>
    <s v="Late"/>
    <s v="Morning"/>
    <s v="Office"/>
    <n v="0"/>
  </r>
  <r>
    <s v="E1022"/>
    <s v="Employee_22"/>
    <x v="2"/>
    <d v="2024-02-05T00:00:00"/>
    <x v="5"/>
    <n v="2024"/>
    <n v="1"/>
    <n v="0"/>
    <d v="1899-12-30T10:56:00"/>
    <d v="1899-12-30T20:38:00"/>
    <s v="Present"/>
    <s v="Evening"/>
    <s v="Remote"/>
    <n v="0"/>
  </r>
  <r>
    <s v="E1021"/>
    <s v="Employee_21"/>
    <x v="1"/>
    <d v="2024-01-29T00:00:00"/>
    <x v="2"/>
    <n v="2024"/>
    <n v="0"/>
    <n v="0"/>
    <m/>
    <m/>
    <s v="Absent"/>
    <s v="Morning"/>
    <s v="Remote"/>
    <n v="0"/>
  </r>
  <r>
    <s v="E1020"/>
    <s v="Employee_20"/>
    <x v="4"/>
    <d v="2024-06-03T00:00:00"/>
    <x v="11"/>
    <n v="2024"/>
    <n v="1"/>
    <n v="0"/>
    <d v="1899-12-30T09:53:00"/>
    <d v="1899-12-30T16:06:00"/>
    <s v="Present"/>
    <s v="Evening"/>
    <s v="Remote"/>
    <n v="0"/>
  </r>
  <r>
    <s v="E1031"/>
    <s v="Employee_31"/>
    <x v="1"/>
    <d v="2024-02-26T00:00:00"/>
    <x v="5"/>
    <n v="2024"/>
    <n v="0"/>
    <n v="0"/>
    <m/>
    <m/>
    <s v="Absent"/>
    <s v="Morning"/>
    <s v="Remote"/>
    <n v="0"/>
  </r>
  <r>
    <s v="E1041"/>
    <s v="Employee_41"/>
    <x v="3"/>
    <d v="2024-03-15T00:00:00"/>
    <x v="0"/>
    <n v="2024"/>
    <n v="1"/>
    <n v="0"/>
    <d v="1899-12-30T08:44:00"/>
    <d v="1899-12-30T16:17:00"/>
    <s v="Present"/>
    <s v="Morning"/>
    <s v="Remote"/>
    <n v="0"/>
  </r>
  <r>
    <s v="E1054"/>
    <s v="Employee_54"/>
    <x v="2"/>
    <d v="2024-03-27T00:00:00"/>
    <x v="0"/>
    <n v="2024"/>
    <n v="1"/>
    <n v="1"/>
    <d v="1899-12-30T08:42:00"/>
    <d v="1899-12-30T16:00:00"/>
    <s v="Late"/>
    <s v="Morning"/>
    <s v="Office"/>
    <n v="0"/>
  </r>
  <r>
    <s v="E1049"/>
    <s v="Employee_49"/>
    <x v="2"/>
    <d v="2024-04-01T00:00:00"/>
    <x v="10"/>
    <n v="2024"/>
    <n v="1"/>
    <n v="1"/>
    <d v="1899-12-30T09:21:00"/>
    <d v="1899-12-30T17:30:00"/>
    <s v="Late"/>
    <s v="Morning"/>
    <s v="Remote"/>
    <n v="0"/>
  </r>
  <r>
    <s v="E1013"/>
    <s v="Employee_13"/>
    <x v="0"/>
    <d v="2024-12-02T00:00:00"/>
    <x v="8"/>
    <n v="2024"/>
    <n v="0"/>
    <n v="0"/>
    <m/>
    <m/>
    <s v="Absent"/>
    <s v="Morning"/>
    <s v="Remote"/>
    <n v="0"/>
  </r>
  <r>
    <s v="E1002"/>
    <s v="Employee_2"/>
    <x v="3"/>
    <d v="2024-01-15T00:00:00"/>
    <x v="2"/>
    <n v="2024"/>
    <n v="1"/>
    <n v="0"/>
    <d v="1899-12-30T09:11:00"/>
    <d v="1899-12-30T17:25:00"/>
    <s v="Work From Home"/>
    <s v="Morning"/>
    <s v="Office"/>
    <n v="0"/>
  </r>
  <r>
    <s v="E1027"/>
    <s v="Employee_27"/>
    <x v="0"/>
    <d v="2024-01-21T00:00:00"/>
    <x v="2"/>
    <n v="2024"/>
    <n v="1"/>
    <n v="1"/>
    <d v="1899-12-30T10:25:00"/>
    <d v="1899-12-30T17:40:00"/>
    <s v="Late"/>
    <s v="Evening"/>
    <s v="Office"/>
    <n v="0"/>
  </r>
  <r>
    <s v="E1027"/>
    <s v="Employee_27"/>
    <x v="0"/>
    <d v="2024-11-02T00:00:00"/>
    <x v="1"/>
    <n v="2024"/>
    <n v="1"/>
    <n v="0"/>
    <d v="1899-12-30T09:10:00"/>
    <d v="1899-12-30T20:27:00"/>
    <s v="Work From Home"/>
    <s v="Morning"/>
    <s v="Remote"/>
    <n v="0"/>
  </r>
  <r>
    <s v="E1055"/>
    <s v="Employee_55"/>
    <x v="1"/>
    <d v="2024-02-22T00:00:00"/>
    <x v="5"/>
    <n v="2024"/>
    <n v="1"/>
    <n v="0"/>
    <d v="1899-12-30T09:30:00"/>
    <d v="1899-12-30T19:29:00"/>
    <s v="Work From Home"/>
    <s v="Morning"/>
    <s v="Office"/>
    <n v="0"/>
  </r>
  <r>
    <s v="E1019"/>
    <s v="Employee_19"/>
    <x v="0"/>
    <d v="2024-03-19T00:00:00"/>
    <x v="0"/>
    <n v="2024"/>
    <n v="1"/>
    <n v="1"/>
    <d v="1899-12-30T09:02:00"/>
    <d v="1899-12-30T20:50:00"/>
    <s v="Late"/>
    <s v="Evening"/>
    <s v="Office"/>
    <n v="0"/>
  </r>
  <r>
    <s v="E1019"/>
    <s v="Employee_19"/>
    <x v="0"/>
    <d v="2024-02-22T00:00:00"/>
    <x v="5"/>
    <n v="2024"/>
    <n v="1"/>
    <n v="0"/>
    <d v="1899-12-30T09:33:00"/>
    <d v="1899-12-30T18:01:00"/>
    <s v="Present"/>
    <s v="Morning"/>
    <s v="Office"/>
    <n v="0"/>
  </r>
  <r>
    <s v="E1007"/>
    <s v="Employee_7"/>
    <x v="1"/>
    <d v="2024-02-12T00:00:00"/>
    <x v="5"/>
    <n v="2024"/>
    <n v="1"/>
    <n v="1"/>
    <d v="1899-12-30T08:44:00"/>
    <d v="1899-12-30T17:34:00"/>
    <s v="Late"/>
    <s v="Morning"/>
    <s v="Remote"/>
    <n v="0"/>
  </r>
  <r>
    <s v="E1006"/>
    <s v="Employee_6"/>
    <x v="4"/>
    <d v="2024-02-18T00:00:00"/>
    <x v="5"/>
    <n v="2024"/>
    <n v="1"/>
    <n v="0"/>
    <d v="1899-12-30T08:21:00"/>
    <d v="1899-12-30T16:52:00"/>
    <s v="Work From Home"/>
    <s v="Morning"/>
    <s v="Office"/>
    <n v="0"/>
  </r>
  <r>
    <s v="E1033"/>
    <s v="Employee_33"/>
    <x v="1"/>
    <d v="2024-08-01T00:00:00"/>
    <x v="9"/>
    <n v="2024"/>
    <n v="0"/>
    <n v="0"/>
    <m/>
    <m/>
    <s v="Absent"/>
    <s v="Morning"/>
    <s v="Office"/>
    <n v="0"/>
  </r>
  <r>
    <s v="E1014"/>
    <s v="Employee_14"/>
    <x v="1"/>
    <d v="2024-03-03T00:00:00"/>
    <x v="0"/>
    <n v="2024"/>
    <n v="1"/>
    <n v="0"/>
    <d v="1899-12-30T08:39:00"/>
    <d v="1899-12-30T17:19:00"/>
    <s v="Work From Home"/>
    <s v="Evening"/>
    <s v="Remote"/>
    <n v="0"/>
  </r>
  <r>
    <s v="E1054"/>
    <s v="Employee_54"/>
    <x v="1"/>
    <d v="2024-01-20T00:00:00"/>
    <x v="2"/>
    <n v="2024"/>
    <n v="1"/>
    <n v="1"/>
    <d v="1899-12-30T08:01:00"/>
    <d v="1899-12-30T17:14:00"/>
    <s v="Late"/>
    <s v="Evening"/>
    <s v="Remote"/>
    <n v="0"/>
  </r>
  <r>
    <s v="E1032"/>
    <s v="Employee_32"/>
    <x v="2"/>
    <d v="2024-10-03T00:00:00"/>
    <x v="7"/>
    <n v="2024"/>
    <n v="1"/>
    <n v="1"/>
    <d v="1899-12-30T09:25:00"/>
    <d v="1899-12-30T19:56:00"/>
    <s v="Late"/>
    <s v="Evening"/>
    <s v="Office"/>
    <n v="0"/>
  </r>
  <r>
    <s v="E1049"/>
    <s v="Employee_49"/>
    <x v="3"/>
    <d v="2024-01-31T00:00:00"/>
    <x v="2"/>
    <n v="2024"/>
    <n v="1"/>
    <n v="0"/>
    <d v="1899-12-30T09:07:00"/>
    <d v="1899-12-30T18:12:00"/>
    <s v="Work From Home"/>
    <s v="Evening"/>
    <s v="Remote"/>
    <n v="0"/>
  </r>
  <r>
    <s v="E1015"/>
    <s v="Employee_15"/>
    <x v="1"/>
    <d v="2024-02-25T00:00:00"/>
    <x v="5"/>
    <n v="2024"/>
    <n v="1"/>
    <n v="0"/>
    <d v="1899-12-30T11:12:00"/>
    <d v="1899-12-30T20:59:00"/>
    <s v="Work From Home"/>
    <s v="Morning"/>
    <s v="Remote"/>
    <n v="0"/>
  </r>
  <r>
    <s v="E1050"/>
    <s v="Employee_50"/>
    <x v="3"/>
    <d v="2024-02-29T00:00:00"/>
    <x v="5"/>
    <n v="2024"/>
    <n v="1"/>
    <n v="1"/>
    <d v="1899-12-30T08:52:00"/>
    <d v="1899-12-30T20:09:00"/>
    <s v="Late"/>
    <s v="Morning"/>
    <s v="Office"/>
    <n v="0"/>
  </r>
  <r>
    <s v="E1001"/>
    <s v="Employee_1"/>
    <x v="1"/>
    <d v="2024-01-21T00:00:00"/>
    <x v="2"/>
    <n v="2024"/>
    <n v="1"/>
    <n v="1"/>
    <d v="1899-12-30T08:44:00"/>
    <d v="1899-12-30T20:57:00"/>
    <s v="Late"/>
    <s v="Morning"/>
    <s v="Remote"/>
    <n v="0"/>
  </r>
  <r>
    <s v="E1004"/>
    <s v="Employee_4"/>
    <x v="3"/>
    <d v="2024-03-03T00:00:00"/>
    <x v="0"/>
    <n v="2024"/>
    <n v="1"/>
    <n v="0"/>
    <d v="1899-12-30T11:08:00"/>
    <d v="1899-12-30T16:43:00"/>
    <s v="Work From Home"/>
    <s v="Evening"/>
    <s v="Remote"/>
    <n v="0"/>
  </r>
  <r>
    <s v="E1052"/>
    <s v="Employee_52"/>
    <x v="3"/>
    <d v="2024-01-01T00:00:00"/>
    <x v="2"/>
    <n v="2024"/>
    <n v="1"/>
    <n v="0"/>
    <d v="1899-12-30T11:10:00"/>
    <d v="1899-12-30T18:59:00"/>
    <s v="Work From Home"/>
    <s v="Morning"/>
    <s v="Remote"/>
    <n v="0"/>
  </r>
  <r>
    <s v="E1035"/>
    <s v="Employee_35"/>
    <x v="2"/>
    <d v="2024-02-28T00:00:00"/>
    <x v="5"/>
    <n v="2024"/>
    <n v="1"/>
    <n v="1"/>
    <d v="1899-12-30T11:15:00"/>
    <d v="1899-12-30T20:20:00"/>
    <s v="Late"/>
    <s v="Morning"/>
    <s v="Remote"/>
    <n v="0"/>
  </r>
  <r>
    <s v="E1007"/>
    <s v="Employee_7"/>
    <x v="0"/>
    <d v="2024-02-01T00:00:00"/>
    <x v="5"/>
    <n v="2024"/>
    <n v="1"/>
    <n v="0"/>
    <d v="1899-12-30T09:48:00"/>
    <d v="1899-12-30T16:47:00"/>
    <s v="Present"/>
    <s v="Morning"/>
    <s v="Remote"/>
    <n v="0"/>
  </r>
  <r>
    <s v="E1036"/>
    <s v="Employee_36"/>
    <x v="3"/>
    <d v="2024-01-03T00:00:00"/>
    <x v="2"/>
    <n v="2024"/>
    <n v="1"/>
    <n v="0"/>
    <d v="1899-12-30T08:18:00"/>
    <d v="1899-12-30T20:16:00"/>
    <s v="Work From Home"/>
    <s v="Evening"/>
    <s v="Remote"/>
    <n v="0"/>
  </r>
  <r>
    <s v="E1000"/>
    <s v="Employee_0"/>
    <x v="1"/>
    <d v="2024-03-28T00:00:00"/>
    <x v="0"/>
    <n v="2024"/>
    <n v="0"/>
    <n v="0"/>
    <m/>
    <m/>
    <s v="Absent"/>
    <s v="Evening"/>
    <s v="Remote"/>
    <n v="0"/>
  </r>
  <r>
    <s v="E1050"/>
    <s v="Employee_50"/>
    <x v="0"/>
    <d v="2024-01-21T00:00:00"/>
    <x v="2"/>
    <n v="2024"/>
    <n v="1"/>
    <n v="0"/>
    <d v="1899-12-30T09:26:00"/>
    <d v="1899-12-30T19:54:00"/>
    <s v="Present"/>
    <s v="Evening"/>
    <s v="Remote"/>
    <n v="0"/>
  </r>
  <r>
    <s v="E1015"/>
    <s v="Employee_15"/>
    <x v="3"/>
    <d v="2024-03-21T00:00:00"/>
    <x v="0"/>
    <n v="2024"/>
    <n v="1"/>
    <n v="0"/>
    <d v="1899-12-30T08:32:00"/>
    <d v="1899-12-30T17:16:00"/>
    <s v="Present"/>
    <s v="Morning"/>
    <s v="Office"/>
    <n v="0"/>
  </r>
  <r>
    <s v="E1024"/>
    <s v="Employee_24"/>
    <x v="1"/>
    <d v="2024-03-23T00:00:00"/>
    <x v="0"/>
    <n v="2024"/>
    <n v="1"/>
    <n v="1"/>
    <d v="1899-12-30T08:03:00"/>
    <d v="1899-12-30T19:26:00"/>
    <s v="Late"/>
    <s v="Evening"/>
    <s v="Remote"/>
    <n v="0"/>
  </r>
  <r>
    <s v="E1048"/>
    <s v="Employee_48"/>
    <x v="0"/>
    <d v="2024-01-22T00:00:00"/>
    <x v="2"/>
    <n v="2024"/>
    <n v="0"/>
    <n v="0"/>
    <m/>
    <m/>
    <s v="Absent"/>
    <s v="Morning"/>
    <s v="Office"/>
    <n v="0"/>
  </r>
  <r>
    <s v="E1032"/>
    <s v="Employee_32"/>
    <x v="2"/>
    <d v="2024-09-02T00:00:00"/>
    <x v="3"/>
    <n v="2024"/>
    <n v="1"/>
    <n v="1"/>
    <d v="1899-12-30T09:49:00"/>
    <d v="1899-12-30T20:57:00"/>
    <s v="Late"/>
    <s v="Evening"/>
    <s v="Remote"/>
    <n v="0"/>
  </r>
  <r>
    <s v="E1044"/>
    <s v="Employee_44"/>
    <x v="4"/>
    <d v="2024-02-13T00:00:00"/>
    <x v="5"/>
    <n v="2024"/>
    <n v="0"/>
    <n v="0"/>
    <m/>
    <m/>
    <s v="Absent"/>
    <s v="Morning"/>
    <s v="Remote"/>
    <n v="0"/>
  </r>
  <r>
    <s v="E1022"/>
    <s v="Employee_22"/>
    <x v="2"/>
    <d v="2024-09-03T00:00:00"/>
    <x v="3"/>
    <n v="2024"/>
    <n v="1"/>
    <n v="1"/>
    <d v="1899-12-30T09:29:00"/>
    <d v="1899-12-30T16:24:00"/>
    <s v="Late"/>
    <s v="Morning"/>
    <s v="Remote"/>
    <n v="0"/>
  </r>
  <r>
    <s v="E1020"/>
    <s v="Employee_20"/>
    <x v="0"/>
    <d v="2024-01-24T00:00:00"/>
    <x v="2"/>
    <n v="2024"/>
    <n v="1"/>
    <n v="1"/>
    <d v="1899-12-30T11:16:00"/>
    <d v="1899-12-30T18:20:00"/>
    <s v="Late"/>
    <s v="Evening"/>
    <s v="Office"/>
    <n v="0"/>
  </r>
  <r>
    <s v="E1025"/>
    <s v="Employee_25"/>
    <x v="0"/>
    <d v="2024-05-03T00:00:00"/>
    <x v="6"/>
    <n v="2024"/>
    <n v="1"/>
    <n v="0"/>
    <d v="1899-12-30T08:08:00"/>
    <d v="1899-12-30T18:16:00"/>
    <s v="Present"/>
    <s v="Morning"/>
    <s v="Office"/>
    <n v="0"/>
  </r>
  <r>
    <s v="E1034"/>
    <s v="Employee_34"/>
    <x v="3"/>
    <d v="2024-02-03T00:00:00"/>
    <x v="5"/>
    <n v="2024"/>
    <n v="1"/>
    <n v="1"/>
    <d v="1899-12-30T11:14:00"/>
    <d v="1899-12-30T17:04:00"/>
    <s v="Late"/>
    <s v="Evening"/>
    <s v="Remote"/>
    <n v="0"/>
  </r>
  <r>
    <s v="E1036"/>
    <s v="Employee_36"/>
    <x v="4"/>
    <d v="2024-09-01T00:00:00"/>
    <x v="3"/>
    <n v="2024"/>
    <n v="1"/>
    <n v="0"/>
    <d v="1899-12-30T10:24:00"/>
    <d v="1899-12-30T18:07:00"/>
    <s v="Present"/>
    <s v="Evening"/>
    <s v="Office"/>
    <n v="0"/>
  </r>
  <r>
    <s v="E1051"/>
    <s v="Employee_51"/>
    <x v="2"/>
    <d v="2024-08-03T00:00:00"/>
    <x v="9"/>
    <n v="2024"/>
    <n v="0"/>
    <n v="0"/>
    <m/>
    <m/>
    <s v="Absent"/>
    <s v="Morning"/>
    <s v="Remote"/>
    <n v="0"/>
  </r>
  <r>
    <s v="E1024"/>
    <s v="Employee_24"/>
    <x v="4"/>
    <d v="2024-01-02T00:00:00"/>
    <x v="2"/>
    <n v="2024"/>
    <n v="1"/>
    <n v="1"/>
    <d v="1899-12-30T08:57:00"/>
    <d v="1899-12-30T16:48:00"/>
    <s v="Late"/>
    <s v="Evening"/>
    <s v="Office"/>
    <n v="0"/>
  </r>
  <r>
    <s v="E1022"/>
    <s v="Employee_22"/>
    <x v="2"/>
    <d v="2024-03-20T00:00:00"/>
    <x v="0"/>
    <n v="2024"/>
    <n v="1"/>
    <n v="0"/>
    <d v="1899-12-30T10:34:00"/>
    <d v="1899-12-30T17:47:00"/>
    <s v="Present"/>
    <s v="Morning"/>
    <s v="Remote"/>
    <n v="0"/>
  </r>
  <r>
    <s v="E1036"/>
    <s v="Employee_36"/>
    <x v="2"/>
    <d v="2024-01-23T00:00:00"/>
    <x v="2"/>
    <n v="2024"/>
    <n v="1"/>
    <n v="1"/>
    <d v="1899-12-30T11:54:00"/>
    <d v="1899-12-30T19:42:00"/>
    <s v="Late"/>
    <s v="Evening"/>
    <s v="Office"/>
    <n v="0"/>
  </r>
  <r>
    <s v="E1044"/>
    <s v="Employee_44"/>
    <x v="4"/>
    <d v="2024-01-17T00:00:00"/>
    <x v="2"/>
    <n v="2024"/>
    <n v="1"/>
    <n v="1"/>
    <d v="1899-12-30T11:48:00"/>
    <d v="1899-12-30T19:48:00"/>
    <s v="Late"/>
    <s v="Evening"/>
    <s v="Office"/>
    <n v="0"/>
  </r>
  <r>
    <s v="E1050"/>
    <s v="Employee_50"/>
    <x v="1"/>
    <d v="2024-02-21T00:00:00"/>
    <x v="5"/>
    <n v="2024"/>
    <n v="1"/>
    <n v="0"/>
    <d v="1899-12-30T11:02:00"/>
    <d v="1899-12-30T19:04:00"/>
    <s v="Present"/>
    <s v="Morning"/>
    <s v="Office"/>
    <n v="0"/>
  </r>
  <r>
    <s v="E1056"/>
    <s v="Employee_56"/>
    <x v="1"/>
    <d v="2024-01-09T00:00:00"/>
    <x v="2"/>
    <n v="2024"/>
    <n v="1"/>
    <n v="0"/>
    <d v="1899-12-30T09:49:00"/>
    <d v="1899-12-30T17:14:00"/>
    <s v="Present"/>
    <s v="Evening"/>
    <s v="Office"/>
    <n v="0"/>
  </r>
  <r>
    <s v="E1047"/>
    <s v="Employee_47"/>
    <x v="0"/>
    <d v="2024-03-01T00:00:00"/>
    <x v="0"/>
    <n v="2024"/>
    <n v="0"/>
    <n v="0"/>
    <m/>
    <m/>
    <s v="Absent"/>
    <s v="Morning"/>
    <s v="Remote"/>
    <n v="0"/>
  </r>
  <r>
    <s v="E1044"/>
    <s v="Employee_44"/>
    <x v="2"/>
    <d v="2024-02-26T00:00:00"/>
    <x v="5"/>
    <n v="2024"/>
    <n v="1"/>
    <n v="0"/>
    <d v="1899-12-30T09:43:00"/>
    <d v="1899-12-30T20:56:00"/>
    <s v="Work From Home"/>
    <s v="Evening"/>
    <s v="Remote"/>
    <n v="0"/>
  </r>
  <r>
    <s v="E1018"/>
    <s v="Employee_18"/>
    <x v="4"/>
    <d v="2024-09-03T00:00:00"/>
    <x v="3"/>
    <n v="2024"/>
    <n v="1"/>
    <n v="0"/>
    <d v="1899-12-30T09:45:00"/>
    <d v="1899-12-30T17:03:00"/>
    <s v="Present"/>
    <s v="Evening"/>
    <s v="Remote"/>
    <n v="0"/>
  </r>
  <r>
    <s v="E1026"/>
    <s v="Employee_26"/>
    <x v="3"/>
    <d v="2024-03-14T00:00:00"/>
    <x v="0"/>
    <n v="2024"/>
    <n v="0"/>
    <n v="0"/>
    <m/>
    <m/>
    <s v="Absent"/>
    <s v="Evening"/>
    <s v="Office"/>
    <n v="0"/>
  </r>
  <r>
    <s v="E1017"/>
    <s v="Employee_17"/>
    <x v="3"/>
    <d v="2024-09-03T00:00:00"/>
    <x v="3"/>
    <n v="2024"/>
    <n v="1"/>
    <n v="0"/>
    <d v="1899-12-30T10:25:00"/>
    <d v="1899-12-30T18:45:00"/>
    <s v="Work From Home"/>
    <s v="Morning"/>
    <s v="Office"/>
    <n v="0"/>
  </r>
  <r>
    <s v="E1046"/>
    <s v="Employee_46"/>
    <x v="0"/>
    <d v="2024-01-21T00:00:00"/>
    <x v="2"/>
    <n v="2024"/>
    <n v="1"/>
    <n v="1"/>
    <d v="1899-12-30T08:03:00"/>
    <d v="1899-12-30T20:01:00"/>
    <s v="Late"/>
    <s v="Morning"/>
    <s v="Office"/>
    <n v="0"/>
  </r>
  <r>
    <s v="E1035"/>
    <s v="Employee_35"/>
    <x v="2"/>
    <d v="2024-01-01T00:00:00"/>
    <x v="2"/>
    <n v="2024"/>
    <n v="0"/>
    <n v="0"/>
    <m/>
    <m/>
    <s v="Absent"/>
    <s v="Morning"/>
    <s v="Remote"/>
    <n v="0"/>
  </r>
  <r>
    <s v="E1029"/>
    <s v="Employee_29"/>
    <x v="0"/>
    <d v="2024-01-20T00:00:00"/>
    <x v="2"/>
    <n v="2024"/>
    <n v="1"/>
    <n v="1"/>
    <d v="1899-12-30T09:15:00"/>
    <d v="1899-12-30T19:06:00"/>
    <s v="Late"/>
    <s v="Morning"/>
    <s v="Office"/>
    <n v="0"/>
  </r>
  <r>
    <s v="E1035"/>
    <s v="Employee_35"/>
    <x v="3"/>
    <d v="2024-02-23T00:00:00"/>
    <x v="5"/>
    <n v="2024"/>
    <n v="1"/>
    <n v="0"/>
    <d v="1899-12-30T10:29:00"/>
    <d v="1899-12-30T16:36:00"/>
    <s v="Work From Home"/>
    <s v="Evening"/>
    <s v="Office"/>
    <n v="0"/>
  </r>
  <r>
    <s v="E1023"/>
    <s v="Employee_23"/>
    <x v="1"/>
    <d v="2024-03-19T00:00:00"/>
    <x v="0"/>
    <n v="2024"/>
    <n v="0"/>
    <n v="0"/>
    <m/>
    <m/>
    <s v="Absent"/>
    <s v="Morning"/>
    <s v="Remote"/>
    <n v="0"/>
  </r>
  <r>
    <s v="E1050"/>
    <s v="Employee_50"/>
    <x v="2"/>
    <d v="2024-03-20T00:00:00"/>
    <x v="0"/>
    <n v="2024"/>
    <n v="1"/>
    <n v="0"/>
    <d v="1899-12-30T08:54:00"/>
    <d v="1899-12-30T19:51:00"/>
    <s v="Present"/>
    <s v="Morning"/>
    <s v="Office"/>
    <n v="0"/>
  </r>
  <r>
    <s v="E1026"/>
    <s v="Employee_26"/>
    <x v="0"/>
    <d v="2024-02-28T00:00:00"/>
    <x v="5"/>
    <n v="2024"/>
    <n v="1"/>
    <n v="0"/>
    <d v="1899-12-30T11:13:00"/>
    <d v="1899-12-30T19:53:00"/>
    <s v="Work From Home"/>
    <s v="Morning"/>
    <s v="Office"/>
    <n v="0"/>
  </r>
  <r>
    <s v="E1005"/>
    <s v="Employee_5"/>
    <x v="4"/>
    <d v="2024-01-11T00:00:00"/>
    <x v="2"/>
    <n v="2024"/>
    <n v="1"/>
    <n v="1"/>
    <d v="1899-12-30T10:58:00"/>
    <d v="1899-12-30T20:37:00"/>
    <s v="Late"/>
    <s v="Evening"/>
    <s v="Office"/>
    <n v="0"/>
  </r>
  <r>
    <s v="E1052"/>
    <s v="Employee_52"/>
    <x v="3"/>
    <d v="2024-01-27T00:00:00"/>
    <x v="2"/>
    <n v="2024"/>
    <n v="1"/>
    <n v="1"/>
    <d v="1899-12-30T11:48:00"/>
    <d v="1899-12-30T17:44:00"/>
    <s v="Late"/>
    <s v="Morning"/>
    <s v="Remote"/>
    <n v="0"/>
  </r>
  <r>
    <s v="E1019"/>
    <s v="Employee_19"/>
    <x v="0"/>
    <d v="2024-11-01T00:00:00"/>
    <x v="1"/>
    <n v="2024"/>
    <n v="1"/>
    <n v="1"/>
    <d v="1899-12-30T08:29:00"/>
    <d v="1899-12-30T20:14:00"/>
    <s v="Late"/>
    <s v="Morning"/>
    <s v="Office"/>
    <n v="0"/>
  </r>
  <r>
    <s v="E1039"/>
    <s v="Employee_39"/>
    <x v="2"/>
    <d v="2024-02-10T00:00:00"/>
    <x v="5"/>
    <n v="2024"/>
    <n v="0"/>
    <n v="0"/>
    <m/>
    <m/>
    <s v="Absent"/>
    <s v="Morning"/>
    <s v="Office"/>
    <n v="0"/>
  </r>
  <r>
    <s v="E1019"/>
    <s v="Employee_19"/>
    <x v="3"/>
    <d v="2024-03-25T00:00:00"/>
    <x v="0"/>
    <n v="2024"/>
    <n v="1"/>
    <n v="0"/>
    <d v="1899-12-30T08:14:00"/>
    <d v="1899-12-30T18:58:00"/>
    <s v="Present"/>
    <s v="Evening"/>
    <s v="Office"/>
    <n v="0"/>
  </r>
  <r>
    <s v="E1011"/>
    <s v="Employee_11"/>
    <x v="3"/>
    <d v="2024-02-26T00:00:00"/>
    <x v="5"/>
    <n v="2024"/>
    <n v="1"/>
    <n v="0"/>
    <d v="1899-12-30T09:38:00"/>
    <d v="1899-12-30T17:44:00"/>
    <s v="Work From Home"/>
    <s v="Evening"/>
    <s v="Remote"/>
    <n v="0"/>
  </r>
  <r>
    <s v="E1031"/>
    <s v="Employee_31"/>
    <x v="2"/>
    <d v="2024-09-03T00:00:00"/>
    <x v="3"/>
    <n v="2024"/>
    <n v="0"/>
    <n v="0"/>
    <m/>
    <m/>
    <s v="Absent"/>
    <s v="Morning"/>
    <s v="Remote"/>
    <n v="0"/>
  </r>
  <r>
    <s v="E1025"/>
    <s v="Employee_25"/>
    <x v="2"/>
    <d v="2024-02-24T00:00:00"/>
    <x v="5"/>
    <n v="2024"/>
    <n v="1"/>
    <n v="0"/>
    <d v="1899-12-30T08:27:00"/>
    <d v="1899-12-30T17:59:00"/>
    <s v="Present"/>
    <s v="Evening"/>
    <s v="Office"/>
    <n v="0"/>
  </r>
  <r>
    <s v="E1040"/>
    <s v="Employee_40"/>
    <x v="4"/>
    <d v="2024-01-25T00:00:00"/>
    <x v="2"/>
    <n v="2024"/>
    <n v="1"/>
    <n v="1"/>
    <d v="1899-12-30T09:45:00"/>
    <d v="1899-12-30T18:22:00"/>
    <s v="Late"/>
    <s v="Evening"/>
    <s v="Office"/>
    <n v="0"/>
  </r>
  <r>
    <s v="E1024"/>
    <s v="Employee_24"/>
    <x v="1"/>
    <d v="2024-02-27T00:00:00"/>
    <x v="5"/>
    <n v="2024"/>
    <n v="1"/>
    <n v="0"/>
    <d v="1899-12-30T10:18:00"/>
    <d v="1899-12-30T16:52:00"/>
    <s v="Work From Home"/>
    <s v="Evening"/>
    <s v="Office"/>
    <n v="0"/>
  </r>
  <r>
    <s v="E1045"/>
    <s v="Employee_45"/>
    <x v="2"/>
    <d v="2024-03-26T00:00:00"/>
    <x v="0"/>
    <n v="2024"/>
    <n v="1"/>
    <n v="0"/>
    <d v="1899-12-30T08:02:00"/>
    <d v="1899-12-30T17:21:00"/>
    <s v="Work From Home"/>
    <s v="Morning"/>
    <s v="Remote"/>
    <n v="0"/>
  </r>
  <r>
    <s v="E1004"/>
    <s v="Employee_4"/>
    <x v="4"/>
    <d v="2024-09-03T00:00:00"/>
    <x v="3"/>
    <n v="2024"/>
    <n v="1"/>
    <n v="0"/>
    <d v="1899-12-30T10:11:00"/>
    <d v="1899-12-30T16:12:00"/>
    <s v="Present"/>
    <s v="Morning"/>
    <s v="Office"/>
    <n v="0"/>
  </r>
  <r>
    <s v="E1037"/>
    <s v="Employee_37"/>
    <x v="0"/>
    <d v="2024-03-07T00:00:00"/>
    <x v="0"/>
    <n v="2024"/>
    <n v="1"/>
    <n v="1"/>
    <d v="1899-12-30T10:52:00"/>
    <d v="1899-12-30T20:08:00"/>
    <s v="Late"/>
    <s v="Evening"/>
    <s v="Remote"/>
    <n v="0"/>
  </r>
  <r>
    <s v="E1015"/>
    <s v="Employee_15"/>
    <x v="0"/>
    <d v="2024-02-29T00:00:00"/>
    <x v="5"/>
    <n v="2024"/>
    <n v="1"/>
    <n v="0"/>
    <d v="1899-12-30T09:30:00"/>
    <d v="1899-12-30T17:03:00"/>
    <s v="Work From Home"/>
    <s v="Evening"/>
    <s v="Office"/>
    <n v="0"/>
  </r>
  <r>
    <s v="E1009"/>
    <s v="Employee_9"/>
    <x v="0"/>
    <d v="2024-03-29T00:00:00"/>
    <x v="0"/>
    <n v="2024"/>
    <n v="1"/>
    <n v="0"/>
    <d v="1899-12-30T09:38:00"/>
    <d v="1899-12-30T20:55:00"/>
    <s v="Present"/>
    <s v="Morning"/>
    <s v="Remote"/>
    <n v="0"/>
  </r>
  <r>
    <s v="E1000"/>
    <s v="Employee_0"/>
    <x v="1"/>
    <d v="2024-03-25T00:00:00"/>
    <x v="0"/>
    <n v="2024"/>
    <n v="0"/>
    <n v="0"/>
    <m/>
    <m/>
    <s v="Absent"/>
    <s v="Morning"/>
    <s v="Office"/>
    <n v="0"/>
  </r>
  <r>
    <s v="E1016"/>
    <s v="Employee_16"/>
    <x v="1"/>
    <d v="2024-01-03T00:00:00"/>
    <x v="2"/>
    <n v="2024"/>
    <n v="1"/>
    <n v="0"/>
    <d v="1899-12-30T10:14:00"/>
    <d v="1899-12-30T20:37:00"/>
    <s v="Work From Home"/>
    <s v="Evening"/>
    <s v="Office"/>
    <n v="0"/>
  </r>
  <r>
    <s v="E1016"/>
    <s v="Employee_16"/>
    <x v="4"/>
    <d v="2024-03-24T00:00:00"/>
    <x v="0"/>
    <n v="2024"/>
    <n v="0"/>
    <n v="0"/>
    <m/>
    <m/>
    <s v="Absent"/>
    <s v="Evening"/>
    <s v="Office"/>
    <n v="0"/>
  </r>
  <r>
    <s v="E1033"/>
    <s v="Employee_33"/>
    <x v="0"/>
    <d v="2024-02-24T00:00:00"/>
    <x v="5"/>
    <n v="2024"/>
    <n v="1"/>
    <n v="1"/>
    <d v="1899-12-30T09:43:00"/>
    <d v="1899-12-30T16:54:00"/>
    <s v="Late"/>
    <s v="Evening"/>
    <s v="Remote"/>
    <n v="0"/>
  </r>
  <r>
    <s v="E1050"/>
    <s v="Employee_50"/>
    <x v="0"/>
    <d v="2024-01-18T00:00:00"/>
    <x v="2"/>
    <n v="2024"/>
    <n v="1"/>
    <n v="1"/>
    <d v="1899-12-30T09:59:00"/>
    <d v="1899-12-30T18:50:00"/>
    <s v="Late"/>
    <s v="Morning"/>
    <s v="Remote"/>
    <n v="0"/>
  </r>
  <r>
    <s v="E1031"/>
    <s v="Employee_31"/>
    <x v="2"/>
    <d v="2024-08-03T00:00:00"/>
    <x v="9"/>
    <n v="2024"/>
    <n v="1"/>
    <n v="0"/>
    <d v="1899-12-30T11:14:00"/>
    <d v="1899-12-30T18:44:00"/>
    <s v="Work From Home"/>
    <s v="Evening"/>
    <s v="Office"/>
    <n v="0"/>
  </r>
  <r>
    <s v="E1014"/>
    <s v="Employee_14"/>
    <x v="3"/>
    <d v="2024-02-06T00:00:00"/>
    <x v="5"/>
    <n v="2024"/>
    <n v="0"/>
    <n v="0"/>
    <m/>
    <m/>
    <s v="Absent"/>
    <s v="Evening"/>
    <s v="Remote"/>
    <n v="0"/>
  </r>
  <r>
    <s v="E1015"/>
    <s v="Employee_15"/>
    <x v="1"/>
    <d v="2024-12-02T00:00:00"/>
    <x v="8"/>
    <n v="2024"/>
    <n v="1"/>
    <n v="0"/>
    <d v="1899-12-30T09:52:00"/>
    <d v="1899-12-30T18:12:00"/>
    <s v="Work From Home"/>
    <s v="Evening"/>
    <s v="Office"/>
    <n v="0"/>
  </r>
  <r>
    <s v="E1042"/>
    <s v="Employee_42"/>
    <x v="0"/>
    <d v="2024-03-29T00:00:00"/>
    <x v="0"/>
    <n v="2024"/>
    <n v="1"/>
    <n v="0"/>
    <d v="1899-12-30T09:53:00"/>
    <d v="1899-12-30T16:27:00"/>
    <s v="Work From Home"/>
    <s v="Evening"/>
    <s v="Office"/>
    <n v="0"/>
  </r>
  <r>
    <s v="E1059"/>
    <s v="Employee_59"/>
    <x v="4"/>
    <d v="2024-09-01T00:00:00"/>
    <x v="3"/>
    <n v="2024"/>
    <n v="0"/>
    <n v="0"/>
    <m/>
    <m/>
    <s v="Absent"/>
    <s v="Evening"/>
    <s v="Remote"/>
    <n v="0"/>
  </r>
  <r>
    <s v="E1027"/>
    <s v="Employee_27"/>
    <x v="4"/>
    <d v="2024-02-05T00:00:00"/>
    <x v="5"/>
    <n v="2024"/>
    <n v="1"/>
    <n v="0"/>
    <d v="1899-12-30T08:52:00"/>
    <d v="1899-12-30T17:48:00"/>
    <s v="Work From Home"/>
    <s v="Evening"/>
    <s v="Office"/>
    <n v="0"/>
  </r>
  <r>
    <s v="E1042"/>
    <s v="Employee_42"/>
    <x v="2"/>
    <d v="2024-03-07T00:00:00"/>
    <x v="0"/>
    <n v="2024"/>
    <n v="1"/>
    <n v="0"/>
    <d v="1899-12-30T08:16:00"/>
    <d v="1899-12-30T17:23:00"/>
    <s v="Work From Home"/>
    <s v="Evening"/>
    <s v="Remote"/>
    <n v="0"/>
  </r>
  <r>
    <s v="E1058"/>
    <s v="Employee_58"/>
    <x v="4"/>
    <d v="2024-01-23T00:00:00"/>
    <x v="2"/>
    <n v="2024"/>
    <n v="1"/>
    <n v="0"/>
    <d v="1899-12-30T09:22:00"/>
    <d v="1899-12-30T17:03:00"/>
    <s v="Work From Home"/>
    <s v="Morning"/>
    <s v="Remote"/>
    <n v="0"/>
  </r>
  <r>
    <s v="E1005"/>
    <s v="Employee_5"/>
    <x v="0"/>
    <d v="2024-01-04T00:00:00"/>
    <x v="2"/>
    <n v="2024"/>
    <n v="1"/>
    <n v="0"/>
    <d v="1899-12-30T10:07:00"/>
    <d v="1899-12-30T19:52:00"/>
    <s v="Work From Home"/>
    <s v="Morning"/>
    <s v="Remote"/>
    <n v="0"/>
  </r>
  <r>
    <s v="E1009"/>
    <s v="Employee_9"/>
    <x v="1"/>
    <d v="2024-10-02T00:00:00"/>
    <x v="7"/>
    <n v="2024"/>
    <n v="1"/>
    <n v="0"/>
    <d v="1899-12-30T09:32:00"/>
    <d v="1899-12-30T17:55:00"/>
    <s v="Work From Home"/>
    <s v="Morning"/>
    <s v="Remote"/>
    <n v="0"/>
  </r>
  <r>
    <s v="E1001"/>
    <s v="Employee_1"/>
    <x v="2"/>
    <d v="2024-01-13T00:00:00"/>
    <x v="2"/>
    <n v="2024"/>
    <n v="1"/>
    <n v="0"/>
    <d v="1899-12-30T08:47:00"/>
    <d v="1899-12-30T16:34:00"/>
    <s v="Work From Home"/>
    <s v="Morning"/>
    <s v="Office"/>
    <n v="0"/>
  </r>
  <r>
    <s v="E1052"/>
    <s v="Employee_52"/>
    <x v="0"/>
    <d v="2024-10-03T00:00:00"/>
    <x v="7"/>
    <n v="2024"/>
    <n v="1"/>
    <n v="0"/>
    <d v="1899-12-30T09:02:00"/>
    <d v="1899-12-30T16:23:00"/>
    <s v="Present"/>
    <s v="Evening"/>
    <s v="Remote"/>
    <n v="0"/>
  </r>
  <r>
    <s v="E1035"/>
    <s v="Employee_35"/>
    <x v="2"/>
    <d v="2024-05-02T00:00:00"/>
    <x v="6"/>
    <n v="2024"/>
    <n v="1"/>
    <n v="0"/>
    <d v="1899-12-30T11:30:00"/>
    <d v="1899-12-30T20:53:00"/>
    <s v="Present"/>
    <s v="Morning"/>
    <s v="Office"/>
    <n v="0"/>
  </r>
  <r>
    <s v="E1057"/>
    <s v="Employee_57"/>
    <x v="2"/>
    <d v="2024-01-30T00:00:00"/>
    <x v="2"/>
    <n v="2024"/>
    <n v="1"/>
    <n v="0"/>
    <d v="1899-12-30T09:04:00"/>
    <d v="1899-12-30T19:14:00"/>
    <s v="Present"/>
    <s v="Morning"/>
    <s v="Remote"/>
    <n v="0"/>
  </r>
  <r>
    <s v="E1049"/>
    <s v="Employee_49"/>
    <x v="3"/>
    <d v="2024-02-15T00:00:00"/>
    <x v="5"/>
    <n v="2024"/>
    <n v="1"/>
    <n v="0"/>
    <d v="1899-12-30T08:51:00"/>
    <d v="1899-12-30T20:26:00"/>
    <s v="Present"/>
    <s v="Morning"/>
    <s v="Office"/>
    <n v="0"/>
  </r>
  <r>
    <s v="E1031"/>
    <s v="Employee_31"/>
    <x v="4"/>
    <d v="2024-02-19T00:00:00"/>
    <x v="5"/>
    <n v="2024"/>
    <n v="1"/>
    <n v="0"/>
    <d v="1899-12-30T09:46:00"/>
    <d v="1899-12-30T18:20:00"/>
    <s v="Work From Home"/>
    <s v="Evening"/>
    <s v="Office"/>
    <n v="0"/>
  </r>
  <r>
    <s v="E1037"/>
    <s v="Employee_37"/>
    <x v="1"/>
    <d v="2024-02-06T00:00:00"/>
    <x v="5"/>
    <n v="2024"/>
    <n v="0"/>
    <n v="0"/>
    <m/>
    <m/>
    <s v="Absent"/>
    <s v="Morning"/>
    <s v="Remote"/>
    <n v="0"/>
  </r>
  <r>
    <s v="E1005"/>
    <s v="Employee_5"/>
    <x v="4"/>
    <d v="2024-03-25T00:00:00"/>
    <x v="0"/>
    <n v="2024"/>
    <n v="1"/>
    <n v="1"/>
    <d v="1899-12-30T09:30:00"/>
    <d v="1899-12-30T17:27:00"/>
    <s v="Late"/>
    <s v="Evening"/>
    <s v="Office"/>
    <n v="0"/>
  </r>
  <r>
    <s v="E1056"/>
    <s v="Employee_56"/>
    <x v="1"/>
    <d v="2024-01-18T00:00:00"/>
    <x v="2"/>
    <n v="2024"/>
    <n v="1"/>
    <n v="0"/>
    <d v="1899-12-30T10:47:00"/>
    <d v="1899-12-30T19:54:00"/>
    <s v="Present"/>
    <s v="Evening"/>
    <s v="Office"/>
    <n v="0"/>
  </r>
  <r>
    <s v="E1002"/>
    <s v="Employee_2"/>
    <x v="1"/>
    <d v="2024-02-01T00:00:00"/>
    <x v="5"/>
    <n v="2024"/>
    <n v="1"/>
    <n v="0"/>
    <d v="1899-12-30T08:38:00"/>
    <d v="1899-12-30T17:57:00"/>
    <s v="Work From Home"/>
    <s v="Morning"/>
    <s v="Remote"/>
    <n v="0"/>
  </r>
  <r>
    <s v="E1032"/>
    <s v="Employee_32"/>
    <x v="2"/>
    <d v="2024-01-25T00:00:00"/>
    <x v="2"/>
    <n v="2024"/>
    <n v="1"/>
    <n v="0"/>
    <d v="1899-12-30T10:20:00"/>
    <d v="1899-12-30T18:18:00"/>
    <s v="Present"/>
    <s v="Evening"/>
    <s v="Office"/>
    <n v="0"/>
  </r>
  <r>
    <s v="E1053"/>
    <s v="Employee_53"/>
    <x v="1"/>
    <d v="2024-09-03T00:00:00"/>
    <x v="3"/>
    <n v="2024"/>
    <n v="1"/>
    <n v="0"/>
    <d v="1899-12-30T08:39:00"/>
    <d v="1899-12-30T20:12:00"/>
    <s v="Work From Home"/>
    <s v="Evening"/>
    <s v="Remote"/>
    <n v="0"/>
  </r>
  <r>
    <s v="E1046"/>
    <s v="Employee_46"/>
    <x v="0"/>
    <d v="2024-01-21T00:00:00"/>
    <x v="2"/>
    <n v="2024"/>
    <n v="1"/>
    <n v="1"/>
    <d v="1899-12-30T10:09:00"/>
    <d v="1899-12-30T16:54:00"/>
    <s v="Late"/>
    <s v="Morning"/>
    <s v="Office"/>
    <n v="0"/>
  </r>
  <r>
    <s v="E1043"/>
    <s v="Employee_43"/>
    <x v="3"/>
    <d v="2024-03-10T00:00:00"/>
    <x v="0"/>
    <n v="2024"/>
    <n v="1"/>
    <n v="0"/>
    <d v="1899-12-30T09:44:00"/>
    <d v="1899-12-30T18:13:00"/>
    <s v="Present"/>
    <s v="Morning"/>
    <s v="Remote"/>
    <n v="0"/>
  </r>
  <r>
    <s v="E1051"/>
    <s v="Employee_51"/>
    <x v="3"/>
    <d v="2024-03-17T00:00:00"/>
    <x v="0"/>
    <n v="2024"/>
    <n v="1"/>
    <n v="1"/>
    <d v="1899-12-30T11:02:00"/>
    <d v="1899-12-30T17:23:00"/>
    <s v="Late"/>
    <s v="Morning"/>
    <s v="Office"/>
    <n v="0"/>
  </r>
  <r>
    <s v="E1011"/>
    <s v="Employee_11"/>
    <x v="1"/>
    <d v="2024-02-21T00:00:00"/>
    <x v="5"/>
    <n v="2024"/>
    <n v="0"/>
    <n v="0"/>
    <m/>
    <m/>
    <s v="Absent"/>
    <s v="Evening"/>
    <s v="Office"/>
    <n v="0"/>
  </r>
  <r>
    <s v="E1022"/>
    <s v="Employee_22"/>
    <x v="0"/>
    <d v="2024-01-24T00:00:00"/>
    <x v="2"/>
    <n v="2024"/>
    <n v="0"/>
    <n v="0"/>
    <m/>
    <m/>
    <s v="Absent"/>
    <s v="Evening"/>
    <s v="Remote"/>
    <n v="0"/>
  </r>
  <r>
    <s v="E1046"/>
    <s v="Employee_46"/>
    <x v="2"/>
    <d v="2024-03-25T00:00:00"/>
    <x v="0"/>
    <n v="2024"/>
    <n v="0"/>
    <n v="0"/>
    <m/>
    <m/>
    <s v="Absent"/>
    <s v="Morning"/>
    <s v="Remote"/>
    <n v="0"/>
  </r>
  <r>
    <s v="E1027"/>
    <s v="Employee_27"/>
    <x v="4"/>
    <d v="2024-02-27T00:00:00"/>
    <x v="5"/>
    <n v="2024"/>
    <n v="0"/>
    <n v="0"/>
    <m/>
    <m/>
    <s v="Absent"/>
    <s v="Evening"/>
    <s v="Office"/>
    <n v="0"/>
  </r>
  <r>
    <s v="E1042"/>
    <s v="Employee_42"/>
    <x v="3"/>
    <d v="2024-02-01T00:00:00"/>
    <x v="5"/>
    <n v="2024"/>
    <n v="1"/>
    <n v="0"/>
    <d v="1899-12-30T09:42:00"/>
    <d v="1899-12-30T17:01:00"/>
    <s v="Present"/>
    <s v="Evening"/>
    <s v="Office"/>
    <n v="0"/>
  </r>
  <r>
    <s v="E1051"/>
    <s v="Employee_51"/>
    <x v="4"/>
    <d v="2024-01-25T00:00:00"/>
    <x v="2"/>
    <n v="2024"/>
    <n v="1"/>
    <n v="0"/>
    <d v="1899-12-30T10:32:00"/>
    <d v="1899-12-30T20:25:00"/>
    <s v="Work From Home"/>
    <s v="Morning"/>
    <s v="Office"/>
    <n v="0"/>
  </r>
  <r>
    <s v="E1056"/>
    <s v="Employee_56"/>
    <x v="0"/>
    <d v="2024-07-01T00:00:00"/>
    <x v="4"/>
    <n v="2024"/>
    <n v="0"/>
    <n v="0"/>
    <m/>
    <m/>
    <s v="Absent"/>
    <s v="Evening"/>
    <s v="Remote"/>
    <n v="0"/>
  </r>
  <r>
    <s v="E1005"/>
    <s v="Employee_5"/>
    <x v="3"/>
    <d v="2024-02-01T00:00:00"/>
    <x v="5"/>
    <n v="2024"/>
    <n v="1"/>
    <n v="0"/>
    <d v="1899-12-30T08:51:00"/>
    <d v="1899-12-30T17:13:00"/>
    <s v="Work From Home"/>
    <s v="Morning"/>
    <s v="Remote"/>
    <n v="0"/>
  </r>
  <r>
    <s v="E1025"/>
    <s v="Employee_25"/>
    <x v="1"/>
    <d v="2024-05-02T00:00:00"/>
    <x v="6"/>
    <n v="2024"/>
    <n v="0"/>
    <n v="0"/>
    <m/>
    <m/>
    <s v="Absent"/>
    <s v="Morning"/>
    <s v="Office"/>
    <n v="0"/>
  </r>
  <r>
    <s v="E1048"/>
    <s v="Employee_48"/>
    <x v="2"/>
    <d v="2024-01-06T00:00:00"/>
    <x v="2"/>
    <n v="2024"/>
    <n v="1"/>
    <n v="0"/>
    <d v="1899-12-30T09:03:00"/>
    <d v="1899-12-30T18:27:00"/>
    <s v="Present"/>
    <s v="Evening"/>
    <s v="Remote"/>
    <n v="0"/>
  </r>
  <r>
    <s v="E1041"/>
    <s v="Employee_41"/>
    <x v="3"/>
    <d v="2024-03-18T00:00:00"/>
    <x v="0"/>
    <n v="2024"/>
    <n v="0"/>
    <n v="0"/>
    <m/>
    <m/>
    <s v="Absent"/>
    <s v="Evening"/>
    <s v="Remote"/>
    <n v="0"/>
  </r>
  <r>
    <s v="E1035"/>
    <s v="Employee_35"/>
    <x v="0"/>
    <d v="2024-03-23T00:00:00"/>
    <x v="0"/>
    <n v="2024"/>
    <n v="1"/>
    <n v="0"/>
    <d v="1899-12-30T11:08:00"/>
    <d v="1899-12-30T17:48:00"/>
    <s v="Work From Home"/>
    <s v="Morning"/>
    <s v="Remote"/>
    <n v="0"/>
  </r>
  <r>
    <s v="E1035"/>
    <s v="Employee_35"/>
    <x v="2"/>
    <d v="2024-01-25T00:00:00"/>
    <x v="2"/>
    <n v="2024"/>
    <n v="1"/>
    <n v="0"/>
    <d v="1899-12-30T08:34:00"/>
    <d v="1899-12-30T20:10:00"/>
    <s v="Work From Home"/>
    <s v="Morning"/>
    <s v="Office"/>
    <n v="0"/>
  </r>
  <r>
    <s v="E1015"/>
    <s v="Employee_15"/>
    <x v="1"/>
    <d v="2024-11-03T00:00:00"/>
    <x v="1"/>
    <n v="2024"/>
    <n v="1"/>
    <n v="0"/>
    <d v="1899-12-30T10:47:00"/>
    <d v="1899-12-30T20:10:00"/>
    <s v="Present"/>
    <s v="Morning"/>
    <s v="Office"/>
    <n v="0"/>
  </r>
  <r>
    <s v="E1047"/>
    <s v="Employee_47"/>
    <x v="1"/>
    <d v="2024-02-23T00:00:00"/>
    <x v="5"/>
    <n v="2024"/>
    <n v="0"/>
    <n v="0"/>
    <m/>
    <m/>
    <s v="Absent"/>
    <s v="Evening"/>
    <s v="Remote"/>
    <n v="0"/>
  </r>
  <r>
    <s v="E1020"/>
    <s v="Employee_20"/>
    <x v="2"/>
    <d v="2024-01-21T00:00:00"/>
    <x v="2"/>
    <n v="2024"/>
    <n v="1"/>
    <n v="0"/>
    <d v="1899-12-30T09:11:00"/>
    <d v="1899-12-30T18:00:00"/>
    <s v="Present"/>
    <s v="Morning"/>
    <s v="Remote"/>
    <n v="0"/>
  </r>
  <r>
    <s v="E1010"/>
    <s v="Employee_10"/>
    <x v="4"/>
    <d v="2024-03-20T00:00:00"/>
    <x v="0"/>
    <n v="2024"/>
    <n v="1"/>
    <n v="1"/>
    <d v="1899-12-30T08:06:00"/>
    <d v="1899-12-30T18:34:00"/>
    <s v="Late"/>
    <s v="Morning"/>
    <s v="Remote"/>
    <n v="0"/>
  </r>
  <r>
    <s v="E1020"/>
    <s v="Employee_20"/>
    <x v="1"/>
    <d v="2024-02-17T00:00:00"/>
    <x v="5"/>
    <n v="2024"/>
    <n v="0"/>
    <n v="0"/>
    <m/>
    <m/>
    <s v="Absent"/>
    <s v="Morning"/>
    <s v="Remote"/>
    <n v="0"/>
  </r>
  <r>
    <s v="E1032"/>
    <s v="Employee_32"/>
    <x v="0"/>
    <d v="2024-03-19T00:00:00"/>
    <x v="0"/>
    <n v="2024"/>
    <n v="1"/>
    <n v="1"/>
    <d v="1899-12-30T10:29:00"/>
    <d v="1899-12-30T20:27:00"/>
    <s v="Late"/>
    <s v="Morning"/>
    <s v="Office"/>
    <n v="0"/>
  </r>
  <r>
    <s v="E1042"/>
    <s v="Employee_42"/>
    <x v="4"/>
    <d v="2024-02-18T00:00:00"/>
    <x v="5"/>
    <n v="2024"/>
    <n v="0"/>
    <n v="0"/>
    <m/>
    <m/>
    <s v="Absent"/>
    <s v="Morning"/>
    <s v="Office"/>
    <n v="0"/>
  </r>
  <r>
    <s v="E1035"/>
    <s v="Employee_35"/>
    <x v="3"/>
    <d v="2024-01-31T00:00:00"/>
    <x v="2"/>
    <n v="2024"/>
    <n v="1"/>
    <n v="0"/>
    <d v="1899-12-30T09:51:00"/>
    <d v="1899-12-30T18:20:00"/>
    <s v="Present"/>
    <s v="Evening"/>
    <s v="Remote"/>
    <n v="0"/>
  </r>
  <r>
    <s v="E1015"/>
    <s v="Employee_15"/>
    <x v="3"/>
    <d v="2024-02-13T00:00:00"/>
    <x v="5"/>
    <n v="2024"/>
    <n v="1"/>
    <n v="1"/>
    <d v="1899-12-30T11:58:00"/>
    <d v="1899-12-30T17:53:00"/>
    <s v="Late"/>
    <s v="Morning"/>
    <s v="Remote"/>
    <n v="0"/>
  </r>
  <r>
    <s v="E1025"/>
    <s v="Employee_25"/>
    <x v="4"/>
    <d v="2024-03-24T00:00:00"/>
    <x v="0"/>
    <n v="2024"/>
    <n v="1"/>
    <n v="0"/>
    <d v="1899-12-30T11:29:00"/>
    <d v="1899-12-30T17:57:00"/>
    <s v="Work From Home"/>
    <s v="Evening"/>
    <s v="Remote"/>
    <n v="0"/>
  </r>
  <r>
    <s v="E1046"/>
    <s v="Employee_46"/>
    <x v="4"/>
    <d v="2024-01-28T00:00:00"/>
    <x v="2"/>
    <n v="2024"/>
    <n v="1"/>
    <n v="0"/>
    <d v="1899-12-30T10:40:00"/>
    <d v="1899-12-30T18:52:00"/>
    <s v="Present"/>
    <s v="Morning"/>
    <s v="Remote"/>
    <n v="0"/>
  </r>
  <r>
    <s v="E1045"/>
    <s v="Employee_45"/>
    <x v="1"/>
    <d v="2024-03-21T00:00:00"/>
    <x v="0"/>
    <n v="2024"/>
    <n v="0"/>
    <n v="0"/>
    <m/>
    <m/>
    <s v="Absent"/>
    <s v="Morning"/>
    <s v="Office"/>
    <n v="0"/>
  </r>
  <r>
    <s v="E1057"/>
    <s v="Employee_57"/>
    <x v="2"/>
    <d v="2024-03-23T00:00:00"/>
    <x v="0"/>
    <n v="2024"/>
    <n v="0"/>
    <n v="0"/>
    <m/>
    <m/>
    <s v="Absent"/>
    <s v="Evening"/>
    <s v="Remote"/>
    <n v="0"/>
  </r>
  <r>
    <s v="E1050"/>
    <s v="Employee_50"/>
    <x v="4"/>
    <d v="2024-01-26T00:00:00"/>
    <x v="2"/>
    <n v="2024"/>
    <n v="1"/>
    <n v="0"/>
    <d v="1899-12-30T08:11:00"/>
    <d v="1899-12-30T17:21:00"/>
    <s v="Work From Home"/>
    <s v="Evening"/>
    <s v="Office"/>
    <n v="0"/>
  </r>
  <r>
    <s v="E1034"/>
    <s v="Employee_34"/>
    <x v="1"/>
    <d v="2024-03-28T00:00:00"/>
    <x v="0"/>
    <n v="2024"/>
    <n v="1"/>
    <n v="1"/>
    <d v="1899-12-30T08:26:00"/>
    <d v="1899-12-30T16:05:00"/>
    <s v="Late"/>
    <s v="Evening"/>
    <s v="Office"/>
    <n v="0"/>
  </r>
  <r>
    <s v="E1058"/>
    <s v="Employee_58"/>
    <x v="3"/>
    <d v="2024-02-28T00:00:00"/>
    <x v="5"/>
    <n v="2024"/>
    <n v="1"/>
    <n v="0"/>
    <d v="1899-12-30T10:59:00"/>
    <d v="1899-12-30T17:47:00"/>
    <s v="Work From Home"/>
    <s v="Morning"/>
    <s v="Office"/>
    <n v="0"/>
  </r>
  <r>
    <s v="E1033"/>
    <s v="Employee_33"/>
    <x v="4"/>
    <d v="2024-02-01T00:00:00"/>
    <x v="5"/>
    <n v="2024"/>
    <n v="1"/>
    <n v="0"/>
    <d v="1899-12-30T11:46:00"/>
    <d v="1899-12-30T18:36:00"/>
    <s v="Work From Home"/>
    <s v="Evening"/>
    <s v="Office"/>
    <n v="0"/>
  </r>
  <r>
    <s v="E1039"/>
    <s v="Employee_39"/>
    <x v="0"/>
    <d v="2024-02-06T00:00:00"/>
    <x v="5"/>
    <n v="2024"/>
    <n v="1"/>
    <n v="1"/>
    <d v="1899-12-30T10:24:00"/>
    <d v="1899-12-30T16:18:00"/>
    <s v="Late"/>
    <s v="Morning"/>
    <s v="Remote"/>
    <n v="0"/>
  </r>
  <r>
    <s v="E1000"/>
    <s v="Employee_0"/>
    <x v="2"/>
    <d v="2024-01-13T00:00:00"/>
    <x v="2"/>
    <n v="2024"/>
    <n v="1"/>
    <n v="0"/>
    <d v="1899-12-30T08:37:00"/>
    <d v="1899-12-30T16:48:00"/>
    <s v="Work From Home"/>
    <s v="Evening"/>
    <s v="Office"/>
    <n v="0"/>
  </r>
  <r>
    <s v="E1033"/>
    <s v="Employee_33"/>
    <x v="3"/>
    <d v="2024-03-17T00:00:00"/>
    <x v="0"/>
    <n v="2024"/>
    <n v="1"/>
    <n v="1"/>
    <d v="1899-12-30T11:23:00"/>
    <d v="1899-12-30T16:45:00"/>
    <s v="Late"/>
    <s v="Morning"/>
    <s v="Remote"/>
    <n v="0"/>
  </r>
  <r>
    <s v="E1055"/>
    <s v="Employee_55"/>
    <x v="0"/>
    <d v="2024-01-01T00:00:00"/>
    <x v="2"/>
    <n v="2024"/>
    <n v="1"/>
    <n v="0"/>
    <d v="1899-12-30T11:32:00"/>
    <d v="1899-12-30T20:39:00"/>
    <s v="Present"/>
    <s v="Morning"/>
    <s v="Office"/>
    <n v="0"/>
  </r>
  <r>
    <s v="E1016"/>
    <s v="Employee_16"/>
    <x v="3"/>
    <d v="2024-09-01T00:00:00"/>
    <x v="3"/>
    <n v="2024"/>
    <n v="0"/>
    <n v="0"/>
    <m/>
    <m/>
    <s v="Absent"/>
    <s v="Morning"/>
    <s v="Office"/>
    <n v="0"/>
  </r>
  <r>
    <s v="E1024"/>
    <s v="Employee_24"/>
    <x v="4"/>
    <d v="2024-01-03T00:00:00"/>
    <x v="2"/>
    <n v="2024"/>
    <n v="1"/>
    <n v="0"/>
    <d v="1899-12-30T10:09:00"/>
    <d v="1899-12-30T18:51:00"/>
    <s v="Work From Home"/>
    <s v="Morning"/>
    <s v="Remote"/>
    <n v="0"/>
  </r>
  <r>
    <s v="E1000"/>
    <s v="Employee_0"/>
    <x v="3"/>
    <d v="2024-04-01T00:00:00"/>
    <x v="10"/>
    <n v="2024"/>
    <n v="1"/>
    <n v="0"/>
    <d v="1899-12-30T10:10:00"/>
    <d v="1899-12-30T19:29:00"/>
    <s v="Present"/>
    <s v="Morning"/>
    <s v="Office"/>
    <n v="0"/>
  </r>
  <r>
    <s v="E1041"/>
    <s v="Employee_41"/>
    <x v="1"/>
    <d v="2024-03-25T00:00:00"/>
    <x v="0"/>
    <n v="2024"/>
    <n v="1"/>
    <n v="1"/>
    <d v="1899-12-30T08:39:00"/>
    <d v="1899-12-30T17:38:00"/>
    <s v="Late"/>
    <s v="Evening"/>
    <s v="Office"/>
    <n v="0"/>
  </r>
  <r>
    <s v="E1049"/>
    <s v="Employee_49"/>
    <x v="2"/>
    <d v="2024-01-18T00:00:00"/>
    <x v="2"/>
    <n v="2024"/>
    <n v="1"/>
    <n v="1"/>
    <d v="1899-12-30T11:44:00"/>
    <d v="1899-12-30T18:40:00"/>
    <s v="Late"/>
    <s v="Morning"/>
    <s v="Office"/>
    <n v="0"/>
  </r>
  <r>
    <s v="E1042"/>
    <s v="Employee_42"/>
    <x v="4"/>
    <d v="2024-03-02T00:00:00"/>
    <x v="0"/>
    <n v="2024"/>
    <n v="1"/>
    <n v="1"/>
    <d v="1899-12-30T11:27:00"/>
    <d v="1899-12-30T19:50:00"/>
    <s v="Late"/>
    <s v="Evening"/>
    <s v="Remote"/>
    <n v="0"/>
  </r>
  <r>
    <s v="E1013"/>
    <s v="Employee_13"/>
    <x v="1"/>
    <d v="2024-03-30T00:00:00"/>
    <x v="0"/>
    <n v="2024"/>
    <n v="1"/>
    <n v="0"/>
    <d v="1899-12-30T09:18:00"/>
    <d v="1899-12-30T17:25:00"/>
    <s v="Work From Home"/>
    <s v="Morning"/>
    <s v="Remote"/>
    <n v="0"/>
  </r>
  <r>
    <s v="E1016"/>
    <s v="Employee_16"/>
    <x v="1"/>
    <d v="2024-01-04T00:00:00"/>
    <x v="2"/>
    <n v="2024"/>
    <n v="0"/>
    <n v="0"/>
    <m/>
    <m/>
    <s v="Absent"/>
    <s v="Evening"/>
    <s v="Office"/>
    <n v="0"/>
  </r>
  <r>
    <s v="E1051"/>
    <s v="Employee_51"/>
    <x v="4"/>
    <d v="2024-01-28T00:00:00"/>
    <x v="2"/>
    <n v="2024"/>
    <n v="1"/>
    <n v="1"/>
    <d v="1899-12-30T11:36:00"/>
    <d v="1899-12-30T18:37:00"/>
    <s v="Late"/>
    <s v="Evening"/>
    <s v="Remote"/>
    <n v="0"/>
  </r>
  <r>
    <s v="E1031"/>
    <s v="Employee_31"/>
    <x v="3"/>
    <d v="2024-01-17T00:00:00"/>
    <x v="2"/>
    <n v="2024"/>
    <n v="1"/>
    <n v="0"/>
    <d v="1899-12-30T10:01:00"/>
    <d v="1899-12-30T19:42:00"/>
    <s v="Present"/>
    <s v="Morning"/>
    <s v="Remote"/>
    <n v="0"/>
  </r>
  <r>
    <s v="E1000"/>
    <s v="Employee_0"/>
    <x v="4"/>
    <d v="2024-02-19T00:00:00"/>
    <x v="5"/>
    <n v="2024"/>
    <n v="1"/>
    <n v="0"/>
    <d v="1899-12-30T08:22:00"/>
    <d v="1899-12-30T16:58:00"/>
    <s v="Work From Home"/>
    <s v="Evening"/>
    <s v="Remote"/>
    <n v="0"/>
  </r>
  <r>
    <s v="E1052"/>
    <s v="Employee_52"/>
    <x v="4"/>
    <d v="2024-02-16T00:00:00"/>
    <x v="5"/>
    <n v="2024"/>
    <n v="1"/>
    <n v="0"/>
    <d v="1899-12-30T11:11:00"/>
    <d v="1899-12-30T16:41:00"/>
    <s v="Work From Home"/>
    <s v="Morning"/>
    <s v="Office"/>
    <n v="0"/>
  </r>
  <r>
    <s v="E1011"/>
    <s v="Employee_11"/>
    <x v="2"/>
    <d v="2024-03-23T00:00:00"/>
    <x v="0"/>
    <n v="2024"/>
    <n v="0"/>
    <n v="0"/>
    <m/>
    <m/>
    <s v="Absent"/>
    <s v="Evening"/>
    <s v="Office"/>
    <n v="0"/>
  </r>
  <r>
    <s v="E1004"/>
    <s v="Employee_4"/>
    <x v="3"/>
    <d v="2024-03-04T00:00:00"/>
    <x v="0"/>
    <n v="2024"/>
    <n v="0"/>
    <n v="0"/>
    <m/>
    <m/>
    <s v="Absent"/>
    <s v="Evening"/>
    <s v="Office"/>
    <n v="0"/>
  </r>
  <r>
    <s v="E1033"/>
    <s v="Employee_33"/>
    <x v="0"/>
    <d v="2024-03-05T00:00:00"/>
    <x v="0"/>
    <n v="2024"/>
    <n v="0"/>
    <n v="0"/>
    <m/>
    <m/>
    <s v="Absent"/>
    <s v="Morning"/>
    <s v="Remote"/>
    <n v="0"/>
  </r>
  <r>
    <s v="E1050"/>
    <s v="Employee_50"/>
    <x v="0"/>
    <d v="2024-02-25T00:00:00"/>
    <x v="5"/>
    <n v="2024"/>
    <n v="1"/>
    <n v="0"/>
    <d v="1899-12-30T10:21:00"/>
    <d v="1899-12-30T19:59:00"/>
    <s v="Present"/>
    <s v="Evening"/>
    <s v="Office"/>
    <n v="0"/>
  </r>
  <r>
    <s v="E1023"/>
    <s v="Employee_23"/>
    <x v="0"/>
    <d v="2024-01-14T00:00:00"/>
    <x v="2"/>
    <n v="2024"/>
    <n v="1"/>
    <n v="1"/>
    <d v="1899-12-30T10:36:00"/>
    <d v="1899-12-30T18:54:00"/>
    <s v="Late"/>
    <s v="Evening"/>
    <s v="Office"/>
    <n v="0"/>
  </r>
  <r>
    <s v="E1005"/>
    <s v="Employee_5"/>
    <x v="3"/>
    <d v="2024-01-13T00:00:00"/>
    <x v="2"/>
    <n v="2024"/>
    <n v="1"/>
    <n v="0"/>
    <d v="1899-12-30T09:34:00"/>
    <d v="1899-12-30T18:28:00"/>
    <s v="Work From Home"/>
    <s v="Morning"/>
    <s v="Remote"/>
    <n v="0"/>
  </r>
  <r>
    <s v="E1015"/>
    <s v="Employee_15"/>
    <x v="4"/>
    <d v="2024-02-29T00:00:00"/>
    <x v="5"/>
    <n v="2024"/>
    <n v="1"/>
    <n v="0"/>
    <d v="1899-12-30T11:16:00"/>
    <d v="1899-12-30T19:57:00"/>
    <s v="Present"/>
    <s v="Evening"/>
    <s v="Office"/>
    <n v="0"/>
  </r>
  <r>
    <s v="E1001"/>
    <s v="Employee_1"/>
    <x v="1"/>
    <d v="2024-03-14T00:00:00"/>
    <x v="0"/>
    <n v="2024"/>
    <n v="1"/>
    <n v="0"/>
    <d v="1899-12-30T09:44:00"/>
    <d v="1899-12-30T20:02:00"/>
    <s v="Present"/>
    <s v="Evening"/>
    <s v="Office"/>
    <n v="0"/>
  </r>
  <r>
    <s v="E1054"/>
    <s v="Employee_54"/>
    <x v="1"/>
    <d v="2024-12-02T00:00:00"/>
    <x v="8"/>
    <n v="2024"/>
    <n v="1"/>
    <n v="1"/>
    <d v="1899-12-30T11:01:00"/>
    <d v="1899-12-30T20:50:00"/>
    <s v="Late"/>
    <s v="Morning"/>
    <s v="Office"/>
    <n v="0"/>
  </r>
  <r>
    <s v="E1054"/>
    <s v="Employee_54"/>
    <x v="2"/>
    <d v="2024-02-29T00:00:00"/>
    <x v="5"/>
    <n v="2024"/>
    <n v="1"/>
    <n v="0"/>
    <d v="1899-12-30T09:44:00"/>
    <d v="1899-12-30T20:22:00"/>
    <s v="Present"/>
    <s v="Morning"/>
    <s v="Office"/>
    <n v="0"/>
  </r>
  <r>
    <s v="E1013"/>
    <s v="Employee_13"/>
    <x v="4"/>
    <d v="2024-07-01T00:00:00"/>
    <x v="4"/>
    <n v="2024"/>
    <n v="0"/>
    <n v="0"/>
    <m/>
    <m/>
    <s v="Absent"/>
    <s v="Morning"/>
    <s v="Office"/>
    <n v="0"/>
  </r>
  <r>
    <s v="E1031"/>
    <s v="Employee_31"/>
    <x v="1"/>
    <d v="2024-11-01T00:00:00"/>
    <x v="1"/>
    <n v="2024"/>
    <n v="1"/>
    <n v="0"/>
    <d v="1899-12-30T11:54:00"/>
    <d v="1899-12-30T16:53:00"/>
    <s v="Work From Home"/>
    <s v="Evening"/>
    <s v="Office"/>
    <n v="0"/>
  </r>
  <r>
    <s v="E1024"/>
    <s v="Employee_24"/>
    <x v="4"/>
    <d v="2024-03-15T00:00:00"/>
    <x v="0"/>
    <n v="2024"/>
    <n v="1"/>
    <n v="0"/>
    <d v="1899-12-30T09:00:00"/>
    <d v="1899-12-30T16:45:00"/>
    <s v="Work From Home"/>
    <s v="Morning"/>
    <s v="Office"/>
    <n v="0"/>
  </r>
  <r>
    <s v="E1056"/>
    <s v="Employee_56"/>
    <x v="1"/>
    <d v="2024-01-14T00:00:00"/>
    <x v="2"/>
    <n v="2024"/>
    <n v="1"/>
    <n v="1"/>
    <d v="1899-12-30T08:22:00"/>
    <d v="1899-12-30T17:50:00"/>
    <s v="Late"/>
    <s v="Morning"/>
    <s v="Remote"/>
    <n v="0"/>
  </r>
  <r>
    <s v="E1006"/>
    <s v="Employee_6"/>
    <x v="3"/>
    <d v="2024-02-15T00:00:00"/>
    <x v="5"/>
    <n v="2024"/>
    <n v="1"/>
    <n v="0"/>
    <d v="1899-12-30T10:33:00"/>
    <d v="1899-12-30T20:24:00"/>
    <s v="Present"/>
    <s v="Evening"/>
    <s v="Remote"/>
    <n v="0"/>
  </r>
  <r>
    <s v="E1059"/>
    <s v="Employee_59"/>
    <x v="0"/>
    <d v="2024-03-03T00:00:00"/>
    <x v="0"/>
    <n v="2024"/>
    <n v="0"/>
    <n v="0"/>
    <m/>
    <m/>
    <s v="Absent"/>
    <s v="Morning"/>
    <s v="Remote"/>
    <n v="0"/>
  </r>
  <r>
    <s v="E1001"/>
    <s v="Employee_1"/>
    <x v="0"/>
    <d v="2024-11-02T00:00:00"/>
    <x v="1"/>
    <n v="2024"/>
    <n v="1"/>
    <n v="0"/>
    <d v="1899-12-30T08:46:00"/>
    <d v="1899-12-30T20:56:00"/>
    <s v="Work From Home"/>
    <s v="Morning"/>
    <s v="Remote"/>
    <n v="0"/>
  </r>
  <r>
    <s v="E1033"/>
    <s v="Employee_33"/>
    <x v="1"/>
    <d v="2024-03-20T00:00:00"/>
    <x v="0"/>
    <n v="2024"/>
    <n v="1"/>
    <n v="0"/>
    <d v="1899-12-30T08:17:00"/>
    <d v="1899-12-30T18:40:00"/>
    <s v="Work From Home"/>
    <s v="Morning"/>
    <s v="Remote"/>
    <n v="0"/>
  </r>
  <r>
    <s v="E1016"/>
    <s v="Employee_16"/>
    <x v="0"/>
    <d v="2024-01-24T00:00:00"/>
    <x v="2"/>
    <n v="2024"/>
    <n v="1"/>
    <n v="1"/>
    <d v="1899-12-30T11:15:00"/>
    <d v="1899-12-30T18:29:00"/>
    <s v="Late"/>
    <s v="Morning"/>
    <s v="Office"/>
    <n v="0"/>
  </r>
  <r>
    <s v="E1046"/>
    <s v="Employee_46"/>
    <x v="3"/>
    <d v="2024-07-03T00:00:00"/>
    <x v="4"/>
    <n v="2024"/>
    <n v="0"/>
    <n v="0"/>
    <m/>
    <m/>
    <s v="Absent"/>
    <s v="Evening"/>
    <s v="Office"/>
    <n v="0"/>
  </r>
  <r>
    <s v="E1053"/>
    <s v="Employee_53"/>
    <x v="4"/>
    <d v="2024-09-03T00:00:00"/>
    <x v="3"/>
    <n v="2024"/>
    <n v="1"/>
    <n v="0"/>
    <d v="1899-12-30T10:20:00"/>
    <d v="1899-12-30T18:49:00"/>
    <s v="Work From Home"/>
    <s v="Morning"/>
    <s v="Office"/>
    <n v="0"/>
  </r>
  <r>
    <s v="E1057"/>
    <s v="Employee_57"/>
    <x v="1"/>
    <d v="2024-02-16T00:00:00"/>
    <x v="5"/>
    <n v="2024"/>
    <n v="1"/>
    <n v="0"/>
    <d v="1899-12-30T11:51:00"/>
    <d v="1899-12-30T18:11:00"/>
    <s v="Present"/>
    <s v="Evening"/>
    <s v="Office"/>
    <n v="0"/>
  </r>
  <r>
    <s v="E1026"/>
    <s v="Employee_26"/>
    <x v="2"/>
    <d v="2024-02-15T00:00:00"/>
    <x v="5"/>
    <n v="2024"/>
    <n v="0"/>
    <n v="0"/>
    <m/>
    <m/>
    <s v="Absent"/>
    <s v="Evening"/>
    <s v="Office"/>
    <n v="0"/>
  </r>
  <r>
    <s v="E1004"/>
    <s v="Employee_4"/>
    <x v="4"/>
    <d v="2024-01-24T00:00:00"/>
    <x v="2"/>
    <n v="2024"/>
    <n v="1"/>
    <n v="0"/>
    <d v="1899-12-30T08:17:00"/>
    <d v="1899-12-30T17:34:00"/>
    <s v="Work From Home"/>
    <s v="Morning"/>
    <s v="Remote"/>
    <n v="0"/>
  </r>
  <r>
    <s v="E1018"/>
    <s v="Employee_18"/>
    <x v="4"/>
    <d v="2024-03-27T00:00:00"/>
    <x v="0"/>
    <n v="2024"/>
    <n v="1"/>
    <n v="0"/>
    <d v="1899-12-30T08:26:00"/>
    <d v="1899-12-30T18:21:00"/>
    <s v="Work From Home"/>
    <s v="Evening"/>
    <s v="Remote"/>
    <n v="0"/>
  </r>
  <r>
    <s v="E1007"/>
    <s v="Employee_7"/>
    <x v="4"/>
    <d v="2024-01-31T00:00:00"/>
    <x v="2"/>
    <n v="2024"/>
    <n v="1"/>
    <n v="1"/>
    <d v="1899-12-30T11:57:00"/>
    <d v="1899-12-30T17:43:00"/>
    <s v="Late"/>
    <s v="Morning"/>
    <s v="Remote"/>
    <n v="0"/>
  </r>
  <r>
    <s v="E1002"/>
    <s v="Employee_2"/>
    <x v="3"/>
    <d v="2024-03-29T00:00:00"/>
    <x v="0"/>
    <n v="2024"/>
    <n v="0"/>
    <n v="0"/>
    <m/>
    <m/>
    <s v="Absent"/>
    <s v="Evening"/>
    <s v="Office"/>
    <n v="0"/>
  </r>
  <r>
    <s v="E1010"/>
    <s v="Employee_10"/>
    <x v="3"/>
    <d v="2024-03-09T00:00:00"/>
    <x v="0"/>
    <n v="2024"/>
    <n v="1"/>
    <n v="0"/>
    <d v="1899-12-30T08:34:00"/>
    <d v="1899-12-30T16:16:00"/>
    <s v="Work From Home"/>
    <s v="Evening"/>
    <s v="Remote"/>
    <n v="0"/>
  </r>
  <r>
    <s v="E1049"/>
    <s v="Employee_49"/>
    <x v="3"/>
    <d v="2024-08-02T00:00:00"/>
    <x v="9"/>
    <n v="2024"/>
    <n v="1"/>
    <n v="1"/>
    <d v="1899-12-30T08:44:00"/>
    <d v="1899-12-30T18:15:00"/>
    <s v="Late"/>
    <s v="Evening"/>
    <s v="Remote"/>
    <n v="0"/>
  </r>
  <r>
    <s v="E1041"/>
    <s v="Employee_41"/>
    <x v="2"/>
    <d v="2024-08-03T00:00:00"/>
    <x v="9"/>
    <n v="2024"/>
    <n v="1"/>
    <n v="0"/>
    <d v="1899-12-30T08:42:00"/>
    <d v="1899-12-30T20:53:00"/>
    <s v="Work From Home"/>
    <s v="Morning"/>
    <s v="Remote"/>
    <n v="0"/>
  </r>
  <r>
    <s v="E1059"/>
    <s v="Employee_59"/>
    <x v="3"/>
    <d v="2024-01-29T00:00:00"/>
    <x v="2"/>
    <n v="2024"/>
    <n v="0"/>
    <n v="0"/>
    <m/>
    <m/>
    <s v="Absent"/>
    <s v="Morning"/>
    <s v="Remote"/>
    <n v="0"/>
  </r>
  <r>
    <s v="E1027"/>
    <s v="Employee_27"/>
    <x v="1"/>
    <d v="2024-03-15T00:00:00"/>
    <x v="0"/>
    <n v="2024"/>
    <n v="1"/>
    <n v="0"/>
    <d v="1899-12-30T08:44:00"/>
    <d v="1899-12-30T17:35:00"/>
    <s v="Work From Home"/>
    <s v="Morning"/>
    <s v="Remote"/>
    <n v="0"/>
  </r>
  <r>
    <s v="E1057"/>
    <s v="Employee_57"/>
    <x v="4"/>
    <d v="2024-02-16T00:00:00"/>
    <x v="5"/>
    <n v="2024"/>
    <n v="1"/>
    <n v="1"/>
    <d v="1899-12-30T10:54:00"/>
    <d v="1899-12-30T18:08:00"/>
    <s v="Late"/>
    <s v="Morning"/>
    <s v="Remote"/>
    <n v="0"/>
  </r>
  <r>
    <s v="E1030"/>
    <s v="Employee_30"/>
    <x v="3"/>
    <d v="2024-01-06T00:00:00"/>
    <x v="2"/>
    <n v="2024"/>
    <n v="1"/>
    <n v="0"/>
    <d v="1899-12-30T11:16:00"/>
    <d v="1899-12-30T20:10:00"/>
    <s v="Work From Home"/>
    <s v="Evening"/>
    <s v="Office"/>
    <n v="0"/>
  </r>
  <r>
    <s v="E1018"/>
    <s v="Employee_18"/>
    <x v="3"/>
    <d v="2024-03-24T00:00:00"/>
    <x v="0"/>
    <n v="2024"/>
    <n v="1"/>
    <n v="0"/>
    <d v="1899-12-30T11:49:00"/>
    <d v="1899-12-30T18:20:00"/>
    <s v="Present"/>
    <s v="Evening"/>
    <s v="Remote"/>
    <n v="0"/>
  </r>
  <r>
    <s v="E1006"/>
    <s v="Employee_6"/>
    <x v="2"/>
    <d v="2024-02-20T00:00:00"/>
    <x v="5"/>
    <n v="2024"/>
    <n v="0"/>
    <n v="0"/>
    <m/>
    <m/>
    <s v="Absent"/>
    <s v="Evening"/>
    <s v="Remote"/>
    <n v="0"/>
  </r>
  <r>
    <s v="E1038"/>
    <s v="Employee_38"/>
    <x v="3"/>
    <d v="2024-02-11T00:00:00"/>
    <x v="5"/>
    <n v="2024"/>
    <n v="0"/>
    <n v="0"/>
    <m/>
    <m/>
    <s v="Absent"/>
    <s v="Morning"/>
    <s v="Office"/>
    <n v="0"/>
  </r>
  <r>
    <s v="E1030"/>
    <s v="Employee_30"/>
    <x v="0"/>
    <d v="2024-01-21T00:00:00"/>
    <x v="2"/>
    <n v="2024"/>
    <n v="1"/>
    <n v="1"/>
    <d v="1899-12-30T11:26:00"/>
    <d v="1899-12-30T17:18:00"/>
    <s v="Late"/>
    <s v="Morning"/>
    <s v="Remote"/>
    <n v="0"/>
  </r>
  <r>
    <s v="E1042"/>
    <s v="Employee_42"/>
    <x v="1"/>
    <d v="2024-03-14T00:00:00"/>
    <x v="0"/>
    <n v="2024"/>
    <n v="1"/>
    <n v="1"/>
    <d v="1899-12-30T10:58:00"/>
    <d v="1899-12-30T18:18:00"/>
    <s v="Late"/>
    <s v="Evening"/>
    <s v="Office"/>
    <n v="0"/>
  </r>
  <r>
    <s v="E1029"/>
    <s v="Employee_29"/>
    <x v="0"/>
    <d v="2024-12-01T00:00:00"/>
    <x v="8"/>
    <n v="2024"/>
    <n v="1"/>
    <n v="0"/>
    <d v="1899-12-30T08:03:00"/>
    <d v="1899-12-30T17:20:00"/>
    <s v="Present"/>
    <s v="Morning"/>
    <s v="Office"/>
    <n v="0"/>
  </r>
  <r>
    <s v="E1057"/>
    <s v="Employee_57"/>
    <x v="1"/>
    <d v="2024-01-13T00:00:00"/>
    <x v="2"/>
    <n v="2024"/>
    <n v="1"/>
    <n v="0"/>
    <d v="1899-12-30T08:17:00"/>
    <d v="1899-12-30T18:05:00"/>
    <s v="Work From Home"/>
    <s v="Morning"/>
    <s v="Office"/>
    <n v="0"/>
  </r>
  <r>
    <s v="E1035"/>
    <s v="Employee_35"/>
    <x v="1"/>
    <d v="2024-01-31T00:00:00"/>
    <x v="2"/>
    <n v="2024"/>
    <n v="1"/>
    <n v="0"/>
    <d v="1899-12-30T08:22:00"/>
    <d v="1899-12-30T17:21:00"/>
    <s v="Work From Home"/>
    <s v="Evening"/>
    <s v="Remote"/>
    <n v="0"/>
  </r>
  <r>
    <s v="E1034"/>
    <s v="Employee_34"/>
    <x v="2"/>
    <d v="2024-03-20T00:00:00"/>
    <x v="0"/>
    <n v="2024"/>
    <n v="1"/>
    <n v="1"/>
    <d v="1899-12-30T11:45:00"/>
    <d v="1899-12-30T17:37:00"/>
    <s v="Late"/>
    <s v="Morning"/>
    <s v="Office"/>
    <n v="0"/>
  </r>
  <r>
    <s v="E1032"/>
    <s v="Employee_32"/>
    <x v="3"/>
    <d v="2024-02-21T00:00:00"/>
    <x v="5"/>
    <n v="2024"/>
    <n v="1"/>
    <n v="0"/>
    <d v="1899-12-30T10:21:00"/>
    <d v="1899-12-30T18:57:00"/>
    <s v="Present"/>
    <s v="Morning"/>
    <s v="Remote"/>
    <n v="0"/>
  </r>
  <r>
    <s v="E1034"/>
    <s v="Employee_34"/>
    <x v="1"/>
    <d v="2024-01-14T00:00:00"/>
    <x v="2"/>
    <n v="2024"/>
    <n v="1"/>
    <n v="1"/>
    <d v="1899-12-30T11:10:00"/>
    <d v="1899-12-30T17:26:00"/>
    <s v="Late"/>
    <s v="Evening"/>
    <s v="Office"/>
    <n v="0"/>
  </r>
  <r>
    <s v="E1008"/>
    <s v="Employee_8"/>
    <x v="4"/>
    <d v="2024-09-03T00:00:00"/>
    <x v="3"/>
    <n v="2024"/>
    <n v="0"/>
    <n v="0"/>
    <m/>
    <m/>
    <s v="Absent"/>
    <s v="Morning"/>
    <s v="Office"/>
    <n v="0"/>
  </r>
  <r>
    <s v="E1040"/>
    <s v="Employee_40"/>
    <x v="0"/>
    <d v="2024-05-01T00:00:00"/>
    <x v="6"/>
    <n v="2024"/>
    <n v="1"/>
    <n v="1"/>
    <d v="1899-12-30T10:48:00"/>
    <d v="1899-12-30T20:07:00"/>
    <s v="Late"/>
    <s v="Morning"/>
    <s v="Office"/>
    <n v="0"/>
  </r>
  <r>
    <s v="E1030"/>
    <s v="Employee_30"/>
    <x v="4"/>
    <d v="2024-03-26T00:00:00"/>
    <x v="0"/>
    <n v="2024"/>
    <n v="0"/>
    <n v="0"/>
    <m/>
    <m/>
    <s v="Absent"/>
    <s v="Evening"/>
    <s v="Remote"/>
    <n v="0"/>
  </r>
  <r>
    <s v="E1043"/>
    <s v="Employee_43"/>
    <x v="0"/>
    <d v="2024-05-02T00:00:00"/>
    <x v="6"/>
    <n v="2024"/>
    <n v="0"/>
    <n v="0"/>
    <m/>
    <m/>
    <s v="Absent"/>
    <s v="Evening"/>
    <s v="Office"/>
    <n v="0"/>
  </r>
  <r>
    <s v="E1059"/>
    <s v="Employee_59"/>
    <x v="4"/>
    <d v="2024-01-26T00:00:00"/>
    <x v="2"/>
    <n v="2024"/>
    <n v="1"/>
    <n v="0"/>
    <d v="1899-12-30T08:53:00"/>
    <d v="1899-12-30T20:36:00"/>
    <s v="Present"/>
    <s v="Evening"/>
    <s v="Remote"/>
    <n v="0"/>
  </r>
  <r>
    <s v="E1018"/>
    <s v="Employee_18"/>
    <x v="1"/>
    <d v="2024-03-25T00:00:00"/>
    <x v="0"/>
    <n v="2024"/>
    <n v="0"/>
    <n v="0"/>
    <m/>
    <m/>
    <s v="Absent"/>
    <s v="Morning"/>
    <s v="Office"/>
    <n v="0"/>
  </r>
  <r>
    <s v="E1014"/>
    <s v="Employee_14"/>
    <x v="4"/>
    <d v="2024-03-22T00:00:00"/>
    <x v="0"/>
    <n v="2024"/>
    <n v="0"/>
    <n v="0"/>
    <m/>
    <m/>
    <s v="Absent"/>
    <s v="Evening"/>
    <s v="Remote"/>
    <n v="0"/>
  </r>
  <r>
    <s v="E1017"/>
    <s v="Employee_17"/>
    <x v="1"/>
    <d v="2024-03-28T00:00:00"/>
    <x v="0"/>
    <n v="2024"/>
    <n v="1"/>
    <n v="0"/>
    <d v="1899-12-30T09:31:00"/>
    <d v="1899-12-30T18:50:00"/>
    <s v="Present"/>
    <s v="Evening"/>
    <s v="Remote"/>
    <n v="0"/>
  </r>
  <r>
    <s v="E1029"/>
    <s v="Employee_29"/>
    <x v="4"/>
    <d v="2024-01-14T00:00:00"/>
    <x v="2"/>
    <n v="2024"/>
    <n v="1"/>
    <n v="0"/>
    <d v="1899-12-30T08:49:00"/>
    <d v="1899-12-30T17:15:00"/>
    <s v="Work From Home"/>
    <s v="Morning"/>
    <s v="Remote"/>
    <n v="0"/>
  </r>
  <r>
    <s v="E1037"/>
    <s v="Employee_37"/>
    <x v="3"/>
    <d v="2024-01-16T00:00:00"/>
    <x v="2"/>
    <n v="2024"/>
    <n v="1"/>
    <n v="0"/>
    <d v="1899-12-30T10:04:00"/>
    <d v="1899-12-30T19:49:00"/>
    <s v="Work From Home"/>
    <s v="Evening"/>
    <s v="Office"/>
    <n v="0"/>
  </r>
  <r>
    <s v="E1031"/>
    <s v="Employee_31"/>
    <x v="3"/>
    <d v="2024-10-02T00:00:00"/>
    <x v="7"/>
    <n v="2024"/>
    <n v="1"/>
    <n v="1"/>
    <d v="1899-12-30T08:23:00"/>
    <d v="1899-12-30T17:16:00"/>
    <s v="Late"/>
    <s v="Morning"/>
    <s v="Office"/>
    <n v="0"/>
  </r>
  <r>
    <s v="E1053"/>
    <s v="Employee_53"/>
    <x v="0"/>
    <d v="2024-09-02T00:00:00"/>
    <x v="3"/>
    <n v="2024"/>
    <n v="0"/>
    <n v="0"/>
    <m/>
    <m/>
    <s v="Absent"/>
    <s v="Morning"/>
    <s v="Office"/>
    <n v="0"/>
  </r>
  <r>
    <s v="E1047"/>
    <s v="Employee_47"/>
    <x v="2"/>
    <d v="2024-02-01T00:00:00"/>
    <x v="5"/>
    <n v="2024"/>
    <n v="0"/>
    <n v="0"/>
    <m/>
    <m/>
    <s v="Absent"/>
    <s v="Morning"/>
    <s v="Office"/>
    <n v="0"/>
  </r>
  <r>
    <s v="E1016"/>
    <s v="Employee_16"/>
    <x v="0"/>
    <d v="2024-03-06T00:00:00"/>
    <x v="0"/>
    <n v="2024"/>
    <n v="1"/>
    <n v="0"/>
    <d v="1899-12-30T09:52:00"/>
    <d v="1899-12-30T16:46:00"/>
    <s v="Present"/>
    <s v="Morning"/>
    <s v="Remote"/>
    <n v="0"/>
  </r>
  <r>
    <s v="E1009"/>
    <s v="Employee_9"/>
    <x v="0"/>
    <d v="2024-09-03T00:00:00"/>
    <x v="3"/>
    <n v="2024"/>
    <n v="1"/>
    <n v="1"/>
    <d v="1899-12-30T08:05:00"/>
    <d v="1899-12-30T17:05:00"/>
    <s v="Late"/>
    <s v="Evening"/>
    <s v="Remote"/>
    <n v="0"/>
  </r>
  <r>
    <s v="E1059"/>
    <s v="Employee_59"/>
    <x v="4"/>
    <d v="2024-03-21T00:00:00"/>
    <x v="0"/>
    <n v="2024"/>
    <n v="1"/>
    <n v="0"/>
    <d v="1899-12-30T10:04:00"/>
    <d v="1899-12-30T16:57:00"/>
    <s v="Present"/>
    <s v="Morning"/>
    <s v="Remote"/>
    <n v="0"/>
  </r>
  <r>
    <s v="E1059"/>
    <s v="Employee_59"/>
    <x v="4"/>
    <d v="2024-02-01T00:00:00"/>
    <x v="5"/>
    <n v="2024"/>
    <n v="1"/>
    <n v="0"/>
    <d v="1899-12-30T09:08:00"/>
    <d v="1899-12-30T17:54:00"/>
    <s v="Work From Home"/>
    <s v="Morning"/>
    <s v="Remote"/>
    <n v="0"/>
  </r>
  <r>
    <s v="E1056"/>
    <s v="Employee_56"/>
    <x v="0"/>
    <d v="2024-02-22T00:00:00"/>
    <x v="5"/>
    <n v="2024"/>
    <n v="1"/>
    <n v="0"/>
    <d v="1899-12-30T11:07:00"/>
    <d v="1899-12-30T19:07:00"/>
    <s v="Work From Home"/>
    <s v="Evening"/>
    <s v="Office"/>
    <n v="0"/>
  </r>
  <r>
    <s v="E1005"/>
    <s v="Employee_5"/>
    <x v="3"/>
    <d v="2024-03-27T00:00:00"/>
    <x v="0"/>
    <n v="2024"/>
    <n v="1"/>
    <n v="1"/>
    <d v="1899-12-30T08:36:00"/>
    <d v="1899-12-30T19:57:00"/>
    <s v="Late"/>
    <s v="Morning"/>
    <s v="Office"/>
    <n v="0"/>
  </r>
  <r>
    <s v="E1042"/>
    <s v="Employee_42"/>
    <x v="4"/>
    <d v="2024-03-22T00:00:00"/>
    <x v="0"/>
    <n v="2024"/>
    <n v="1"/>
    <n v="0"/>
    <d v="1899-12-30T09:13:00"/>
    <d v="1899-12-30T19:40:00"/>
    <s v="Work From Home"/>
    <s v="Morning"/>
    <s v="Remote"/>
    <n v="0"/>
  </r>
  <r>
    <s v="E1009"/>
    <s v="Employee_9"/>
    <x v="4"/>
    <d v="2024-03-03T00:00:00"/>
    <x v="0"/>
    <n v="2024"/>
    <n v="0"/>
    <n v="0"/>
    <m/>
    <m/>
    <s v="Absent"/>
    <s v="Morning"/>
    <s v="Office"/>
    <n v="0"/>
  </r>
  <r>
    <s v="E1031"/>
    <s v="Employee_31"/>
    <x v="3"/>
    <d v="2024-01-01T00:00:00"/>
    <x v="2"/>
    <n v="2024"/>
    <n v="1"/>
    <n v="0"/>
    <d v="1899-12-30T11:07:00"/>
    <d v="1899-12-30T18:44:00"/>
    <s v="Work From Home"/>
    <s v="Morning"/>
    <s v="Office"/>
    <n v="0"/>
  </r>
  <r>
    <s v="E1021"/>
    <s v="Employee_21"/>
    <x v="0"/>
    <d v="2024-02-10T00:00:00"/>
    <x v="5"/>
    <n v="2024"/>
    <n v="1"/>
    <n v="1"/>
    <d v="1899-12-30T11:00:00"/>
    <d v="1899-12-30T16:32:00"/>
    <s v="Late"/>
    <s v="Evening"/>
    <s v="Remote"/>
    <n v="0"/>
  </r>
  <r>
    <s v="E1029"/>
    <s v="Employee_29"/>
    <x v="0"/>
    <d v="2024-01-04T00:00:00"/>
    <x v="2"/>
    <n v="2024"/>
    <n v="0"/>
    <n v="0"/>
    <m/>
    <m/>
    <s v="Absent"/>
    <s v="Morning"/>
    <s v="Remote"/>
    <n v="0"/>
  </r>
  <r>
    <s v="E1029"/>
    <s v="Employee_29"/>
    <x v="0"/>
    <d v="2024-01-29T00:00:00"/>
    <x v="2"/>
    <n v="2024"/>
    <n v="0"/>
    <n v="0"/>
    <m/>
    <m/>
    <s v="Absent"/>
    <s v="Evening"/>
    <s v="Office"/>
    <n v="0"/>
  </r>
  <r>
    <s v="E1006"/>
    <s v="Employee_6"/>
    <x v="0"/>
    <d v="2024-08-03T00:00:00"/>
    <x v="9"/>
    <n v="2024"/>
    <n v="0"/>
    <n v="0"/>
    <m/>
    <m/>
    <s v="Absent"/>
    <s v="Evening"/>
    <s v="Remote"/>
    <n v="0"/>
  </r>
  <r>
    <s v="E1017"/>
    <s v="Employee_17"/>
    <x v="4"/>
    <d v="2024-03-25T00:00:00"/>
    <x v="0"/>
    <n v="2024"/>
    <n v="1"/>
    <n v="0"/>
    <d v="1899-12-30T09:56:00"/>
    <d v="1899-12-30T20:40:00"/>
    <s v="Present"/>
    <s v="Morning"/>
    <s v="Office"/>
    <n v="0"/>
  </r>
  <r>
    <s v="E1009"/>
    <s v="Employee_9"/>
    <x v="2"/>
    <d v="2024-09-01T00:00:00"/>
    <x v="3"/>
    <n v="2024"/>
    <n v="1"/>
    <n v="1"/>
    <d v="1899-12-30T10:15:00"/>
    <d v="1899-12-30T19:21:00"/>
    <s v="Late"/>
    <s v="Evening"/>
    <s v="Office"/>
    <n v="0"/>
  </r>
  <r>
    <s v="E1058"/>
    <s v="Employee_58"/>
    <x v="4"/>
    <d v="2024-03-17T00:00:00"/>
    <x v="0"/>
    <n v="2024"/>
    <n v="1"/>
    <n v="1"/>
    <d v="1899-12-30T10:59:00"/>
    <d v="1899-12-30T16:31:00"/>
    <s v="Late"/>
    <s v="Morning"/>
    <s v="Office"/>
    <n v="0"/>
  </r>
  <r>
    <s v="E1027"/>
    <s v="Employee_27"/>
    <x v="3"/>
    <d v="2024-01-19T00:00:00"/>
    <x v="2"/>
    <n v="2024"/>
    <n v="1"/>
    <n v="0"/>
    <d v="1899-12-30T08:18:00"/>
    <d v="1899-12-30T19:19:00"/>
    <s v="Work From Home"/>
    <s v="Morning"/>
    <s v="Office"/>
    <n v="0"/>
  </r>
  <r>
    <s v="E1005"/>
    <s v="Employee_5"/>
    <x v="0"/>
    <d v="2024-02-02T00:00:00"/>
    <x v="5"/>
    <n v="2024"/>
    <n v="1"/>
    <n v="0"/>
    <d v="1899-12-30T11:30:00"/>
    <d v="1899-12-30T20:34:00"/>
    <s v="Present"/>
    <s v="Evening"/>
    <s v="Remote"/>
    <n v="0"/>
  </r>
  <r>
    <s v="E1035"/>
    <s v="Employee_35"/>
    <x v="3"/>
    <d v="2024-02-25T00:00:00"/>
    <x v="5"/>
    <n v="2024"/>
    <n v="1"/>
    <n v="1"/>
    <d v="1899-12-30T11:06:00"/>
    <d v="1899-12-30T16:41:00"/>
    <s v="Late"/>
    <s v="Morning"/>
    <s v="Office"/>
    <n v="0"/>
  </r>
  <r>
    <s v="E1050"/>
    <s v="Employee_50"/>
    <x v="4"/>
    <d v="2024-02-23T00:00:00"/>
    <x v="5"/>
    <n v="2024"/>
    <n v="1"/>
    <n v="0"/>
    <d v="1899-12-30T08:22:00"/>
    <d v="1899-12-30T18:01:00"/>
    <s v="Present"/>
    <s v="Evening"/>
    <s v="Remote"/>
    <n v="0"/>
  </r>
  <r>
    <s v="E1053"/>
    <s v="Employee_53"/>
    <x v="4"/>
    <d v="2024-01-23T00:00:00"/>
    <x v="2"/>
    <n v="2024"/>
    <n v="1"/>
    <n v="1"/>
    <d v="1899-12-30T09:06:00"/>
    <d v="1899-12-30T19:31:00"/>
    <s v="Late"/>
    <s v="Evening"/>
    <s v="Office"/>
    <n v="0"/>
  </r>
  <r>
    <s v="E1007"/>
    <s v="Employee_7"/>
    <x v="2"/>
    <d v="2024-01-13T00:00:00"/>
    <x v="2"/>
    <n v="2024"/>
    <n v="1"/>
    <n v="1"/>
    <d v="1899-12-30T08:57:00"/>
    <d v="1899-12-30T18:43:00"/>
    <s v="Late"/>
    <s v="Morning"/>
    <s v="Office"/>
    <n v="0"/>
  </r>
  <r>
    <s v="E1056"/>
    <s v="Employee_56"/>
    <x v="1"/>
    <d v="2024-01-27T00:00:00"/>
    <x v="2"/>
    <n v="2024"/>
    <n v="1"/>
    <n v="0"/>
    <d v="1899-12-30T08:14:00"/>
    <d v="1899-12-30T19:46:00"/>
    <s v="Work From Home"/>
    <s v="Morning"/>
    <s v="Office"/>
    <n v="0"/>
  </r>
  <r>
    <s v="E1038"/>
    <s v="Employee_38"/>
    <x v="4"/>
    <d v="2024-01-31T00:00:00"/>
    <x v="2"/>
    <n v="2024"/>
    <n v="1"/>
    <n v="0"/>
    <d v="1899-12-30T11:02:00"/>
    <d v="1899-12-30T18:03:00"/>
    <s v="Work From Home"/>
    <s v="Evening"/>
    <s v="Remote"/>
    <n v="0"/>
  </r>
  <r>
    <s v="E1004"/>
    <s v="Employee_4"/>
    <x v="0"/>
    <d v="2024-08-01T00:00:00"/>
    <x v="9"/>
    <n v="2024"/>
    <n v="0"/>
    <n v="0"/>
    <m/>
    <m/>
    <s v="Absent"/>
    <s v="Evening"/>
    <s v="Office"/>
    <n v="0"/>
  </r>
  <r>
    <s v="E1003"/>
    <s v="Employee_3"/>
    <x v="3"/>
    <d v="2024-07-02T00:00:00"/>
    <x v="4"/>
    <n v="2024"/>
    <n v="1"/>
    <n v="0"/>
    <d v="1899-12-30T10:37:00"/>
    <d v="1899-12-30T16:40:00"/>
    <s v="Work From Home"/>
    <s v="Morning"/>
    <s v="Remote"/>
    <n v="0"/>
  </r>
  <r>
    <s v="E1031"/>
    <s v="Employee_31"/>
    <x v="4"/>
    <d v="2024-10-01T00:00:00"/>
    <x v="7"/>
    <n v="2024"/>
    <n v="1"/>
    <n v="0"/>
    <d v="1899-12-30T08:22:00"/>
    <d v="1899-12-30T17:14:00"/>
    <s v="Work From Home"/>
    <s v="Evening"/>
    <s v="Remote"/>
    <n v="0"/>
  </r>
  <r>
    <s v="E1016"/>
    <s v="Employee_16"/>
    <x v="0"/>
    <d v="2024-04-02T00:00:00"/>
    <x v="10"/>
    <n v="2024"/>
    <n v="1"/>
    <n v="0"/>
    <d v="1899-12-30T11:45:00"/>
    <d v="1899-12-30T18:04:00"/>
    <s v="Work From Home"/>
    <s v="Evening"/>
    <s v="Office"/>
    <n v="0"/>
  </r>
  <r>
    <s v="E1011"/>
    <s v="Employee_11"/>
    <x v="0"/>
    <d v="2024-01-13T00:00:00"/>
    <x v="2"/>
    <n v="2024"/>
    <n v="1"/>
    <n v="0"/>
    <d v="1899-12-30T10:07:00"/>
    <d v="1899-12-30T16:28:00"/>
    <s v="Present"/>
    <s v="Evening"/>
    <s v="Remote"/>
    <n v="0"/>
  </r>
  <r>
    <s v="E1004"/>
    <s v="Employee_4"/>
    <x v="4"/>
    <d v="2024-01-21T00:00:00"/>
    <x v="2"/>
    <n v="2024"/>
    <n v="1"/>
    <n v="0"/>
    <d v="1899-12-30T10:05:00"/>
    <d v="1899-12-30T17:30:00"/>
    <s v="Present"/>
    <s v="Evening"/>
    <s v="Office"/>
    <n v="0"/>
  </r>
  <r>
    <s v="E1009"/>
    <s v="Employee_9"/>
    <x v="0"/>
    <d v="2024-01-16T00:00:00"/>
    <x v="2"/>
    <n v="2024"/>
    <n v="1"/>
    <n v="0"/>
    <d v="1899-12-30T08:08:00"/>
    <d v="1899-12-30T18:29:00"/>
    <s v="Present"/>
    <s v="Morning"/>
    <s v="Remote"/>
    <n v="0"/>
  </r>
  <r>
    <s v="E1047"/>
    <s v="Employee_47"/>
    <x v="1"/>
    <d v="2024-03-19T00:00:00"/>
    <x v="0"/>
    <n v="2024"/>
    <n v="1"/>
    <n v="0"/>
    <d v="1899-12-30T11:05:00"/>
    <d v="1899-12-30T18:29:00"/>
    <s v="Work From Home"/>
    <s v="Morning"/>
    <s v="Remote"/>
    <n v="0"/>
  </r>
  <r>
    <s v="E1033"/>
    <s v="Employee_33"/>
    <x v="0"/>
    <d v="2024-02-02T00:00:00"/>
    <x v="5"/>
    <n v="2024"/>
    <n v="1"/>
    <n v="0"/>
    <d v="1899-12-30T10:45:00"/>
    <d v="1899-12-30T20:14:00"/>
    <s v="Present"/>
    <s v="Evening"/>
    <s v="Remote"/>
    <n v="0"/>
  </r>
  <r>
    <s v="E1029"/>
    <s v="Employee_29"/>
    <x v="0"/>
    <d v="2024-06-01T00:00:00"/>
    <x v="11"/>
    <n v="2024"/>
    <n v="0"/>
    <n v="0"/>
    <m/>
    <m/>
    <s v="Absent"/>
    <s v="Morning"/>
    <s v="Office"/>
    <n v="0"/>
  </r>
  <r>
    <s v="E1043"/>
    <s v="Employee_43"/>
    <x v="4"/>
    <d v="2024-01-11T00:00:00"/>
    <x v="2"/>
    <n v="2024"/>
    <n v="1"/>
    <n v="0"/>
    <d v="1899-12-30T08:28:00"/>
    <d v="1899-12-30T20:21:00"/>
    <s v="Present"/>
    <s v="Evening"/>
    <s v="Remote"/>
    <n v="0"/>
  </r>
  <r>
    <s v="E1032"/>
    <s v="Employee_32"/>
    <x v="2"/>
    <d v="2024-02-06T00:00:00"/>
    <x v="5"/>
    <n v="2024"/>
    <n v="1"/>
    <n v="0"/>
    <d v="1899-12-30T09:26:00"/>
    <d v="1899-12-30T16:53:00"/>
    <s v="Work From Home"/>
    <s v="Morning"/>
    <s v="Office"/>
    <n v="0"/>
  </r>
  <r>
    <s v="E1053"/>
    <s v="Employee_53"/>
    <x v="0"/>
    <d v="2024-01-19T00:00:00"/>
    <x v="2"/>
    <n v="2024"/>
    <n v="1"/>
    <n v="0"/>
    <d v="1899-12-30T11:18:00"/>
    <d v="1899-12-30T18:11:00"/>
    <s v="Work From Home"/>
    <s v="Evening"/>
    <s v="Remote"/>
    <n v="0"/>
  </r>
  <r>
    <s v="E1049"/>
    <s v="Employee_49"/>
    <x v="1"/>
    <d v="2024-08-03T00:00:00"/>
    <x v="9"/>
    <n v="2024"/>
    <n v="1"/>
    <n v="0"/>
    <d v="1899-12-30T10:35:00"/>
    <d v="1899-12-30T16:02:00"/>
    <s v="Work From Home"/>
    <s v="Morning"/>
    <s v="Office"/>
    <n v="0"/>
  </r>
  <r>
    <s v="E1019"/>
    <s v="Employee_19"/>
    <x v="4"/>
    <d v="2024-03-25T00:00:00"/>
    <x v="0"/>
    <n v="2024"/>
    <n v="1"/>
    <n v="0"/>
    <d v="1899-12-30T08:20:00"/>
    <d v="1899-12-30T20:05:00"/>
    <s v="Present"/>
    <s v="Evening"/>
    <s v="Remote"/>
    <n v="0"/>
  </r>
  <r>
    <s v="E1047"/>
    <s v="Employee_47"/>
    <x v="3"/>
    <d v="2024-03-01T00:00:00"/>
    <x v="0"/>
    <n v="2024"/>
    <n v="0"/>
    <n v="0"/>
    <m/>
    <m/>
    <s v="Absent"/>
    <s v="Morning"/>
    <s v="Office"/>
    <n v="0"/>
  </r>
  <r>
    <s v="E1008"/>
    <s v="Employee_8"/>
    <x v="4"/>
    <d v="2024-01-29T00:00:00"/>
    <x v="2"/>
    <n v="2024"/>
    <n v="0"/>
    <n v="0"/>
    <m/>
    <m/>
    <s v="Absent"/>
    <s v="Evening"/>
    <s v="Office"/>
    <n v="0"/>
  </r>
  <r>
    <s v="E1002"/>
    <s v="Employee_2"/>
    <x v="0"/>
    <d v="2024-03-14T00:00:00"/>
    <x v="0"/>
    <n v="2024"/>
    <n v="1"/>
    <n v="0"/>
    <d v="1899-12-30T09:11:00"/>
    <d v="1899-12-30T18:51:00"/>
    <s v="Present"/>
    <s v="Morning"/>
    <s v="Remote"/>
    <n v="0"/>
  </r>
  <r>
    <s v="E1031"/>
    <s v="Employee_31"/>
    <x v="0"/>
    <d v="2024-09-03T00:00:00"/>
    <x v="3"/>
    <n v="2024"/>
    <n v="1"/>
    <n v="0"/>
    <d v="1899-12-30T09:11:00"/>
    <d v="1899-12-30T20:49:00"/>
    <s v="Present"/>
    <s v="Evening"/>
    <s v="Office"/>
    <n v="0"/>
  </r>
  <r>
    <s v="E1004"/>
    <s v="Employee_4"/>
    <x v="0"/>
    <d v="2024-03-23T00:00:00"/>
    <x v="0"/>
    <n v="2024"/>
    <n v="1"/>
    <n v="0"/>
    <d v="1899-12-30T08:11:00"/>
    <d v="1899-12-30T19:58:00"/>
    <s v="Work From Home"/>
    <s v="Morning"/>
    <s v="Remote"/>
    <n v="0"/>
  </r>
  <r>
    <s v="E1050"/>
    <s v="Employee_50"/>
    <x v="4"/>
    <d v="2024-03-29T00:00:00"/>
    <x v="0"/>
    <n v="2024"/>
    <n v="0"/>
    <n v="0"/>
    <m/>
    <m/>
    <s v="Absent"/>
    <s v="Morning"/>
    <s v="Remote"/>
    <n v="0"/>
  </r>
  <r>
    <s v="E1018"/>
    <s v="Employee_18"/>
    <x v="2"/>
    <d v="2024-03-24T00:00:00"/>
    <x v="0"/>
    <n v="2024"/>
    <n v="1"/>
    <n v="1"/>
    <d v="1899-12-30T10:01:00"/>
    <d v="1899-12-30T20:51:00"/>
    <s v="Late"/>
    <s v="Morning"/>
    <s v="Office"/>
    <n v="0"/>
  </r>
  <r>
    <s v="E1001"/>
    <s v="Employee_1"/>
    <x v="3"/>
    <d v="2024-03-27T00:00:00"/>
    <x v="0"/>
    <n v="2024"/>
    <n v="1"/>
    <n v="0"/>
    <d v="1899-12-30T11:21:00"/>
    <d v="1899-12-30T18:34:00"/>
    <s v="Work From Home"/>
    <s v="Evening"/>
    <s v="Office"/>
    <n v="0"/>
  </r>
  <r>
    <s v="E1028"/>
    <s v="Employee_28"/>
    <x v="4"/>
    <d v="2024-06-02T00:00:00"/>
    <x v="11"/>
    <n v="2024"/>
    <n v="0"/>
    <n v="0"/>
    <m/>
    <m/>
    <s v="Absent"/>
    <s v="Morning"/>
    <s v="Remote"/>
    <n v="0"/>
  </r>
  <r>
    <s v="E1037"/>
    <s v="Employee_37"/>
    <x v="4"/>
    <d v="2024-03-03T00:00:00"/>
    <x v="0"/>
    <n v="2024"/>
    <n v="1"/>
    <n v="0"/>
    <d v="1899-12-30T10:44:00"/>
    <d v="1899-12-30T16:09:00"/>
    <s v="Work From Home"/>
    <s v="Morning"/>
    <s v="Office"/>
    <n v="0"/>
  </r>
  <r>
    <s v="E1001"/>
    <s v="Employee_1"/>
    <x v="3"/>
    <d v="2024-03-21T00:00:00"/>
    <x v="0"/>
    <n v="2024"/>
    <n v="1"/>
    <n v="1"/>
    <d v="1899-12-30T08:36:00"/>
    <d v="1899-12-30T20:22:00"/>
    <s v="Late"/>
    <s v="Evening"/>
    <s v="Remote"/>
    <n v="0"/>
  </r>
  <r>
    <s v="E1003"/>
    <s v="Employee_3"/>
    <x v="1"/>
    <d v="2024-12-01T00:00:00"/>
    <x v="8"/>
    <n v="2024"/>
    <n v="1"/>
    <n v="0"/>
    <d v="1899-12-30T11:49:00"/>
    <d v="1899-12-30T20:10:00"/>
    <s v="Work From Home"/>
    <s v="Morning"/>
    <s v="Remote"/>
    <n v="0"/>
  </r>
  <r>
    <s v="E1059"/>
    <s v="Employee_59"/>
    <x v="1"/>
    <d v="2024-02-24T00:00:00"/>
    <x v="5"/>
    <n v="2024"/>
    <n v="0"/>
    <n v="0"/>
    <m/>
    <m/>
    <s v="Absent"/>
    <s v="Morning"/>
    <s v="Remote"/>
    <n v="0"/>
  </r>
  <r>
    <s v="E1035"/>
    <s v="Employee_35"/>
    <x v="0"/>
    <d v="2024-03-14T00:00:00"/>
    <x v="0"/>
    <n v="2024"/>
    <n v="0"/>
    <n v="0"/>
    <m/>
    <m/>
    <s v="Absent"/>
    <s v="Morning"/>
    <s v="Remote"/>
    <n v="0"/>
  </r>
  <r>
    <s v="E1038"/>
    <s v="Employee_38"/>
    <x v="1"/>
    <d v="2024-02-18T00:00:00"/>
    <x v="5"/>
    <n v="2024"/>
    <n v="1"/>
    <n v="1"/>
    <d v="1899-12-30T09:18:00"/>
    <d v="1899-12-30T19:20:00"/>
    <s v="Late"/>
    <s v="Evening"/>
    <s v="Office"/>
    <n v="0"/>
  </r>
  <r>
    <s v="E1030"/>
    <s v="Employee_30"/>
    <x v="1"/>
    <d v="2024-03-19T00:00:00"/>
    <x v="0"/>
    <n v="2024"/>
    <n v="1"/>
    <n v="1"/>
    <d v="1899-12-30T08:46:00"/>
    <d v="1899-12-30T17:00:00"/>
    <s v="Late"/>
    <s v="Morning"/>
    <s v="Office"/>
    <n v="0"/>
  </r>
  <r>
    <s v="E1014"/>
    <s v="Employee_14"/>
    <x v="3"/>
    <d v="2024-01-06T00:00:00"/>
    <x v="2"/>
    <n v="2024"/>
    <n v="1"/>
    <n v="0"/>
    <d v="1899-12-30T09:56:00"/>
    <d v="1899-12-30T16:03:00"/>
    <s v="Present"/>
    <s v="Evening"/>
    <s v="Office"/>
    <n v="0"/>
  </r>
  <r>
    <s v="E1045"/>
    <s v="Employee_45"/>
    <x v="2"/>
    <d v="2024-02-15T00:00:00"/>
    <x v="5"/>
    <n v="2024"/>
    <n v="1"/>
    <n v="0"/>
    <d v="1899-12-30T09:06:00"/>
    <d v="1899-12-30T20:36:00"/>
    <s v="Work From Home"/>
    <s v="Morning"/>
    <s v="Remote"/>
    <n v="0"/>
  </r>
  <r>
    <s v="E1023"/>
    <s v="Employee_23"/>
    <x v="0"/>
    <d v="2024-02-23T00:00:00"/>
    <x v="5"/>
    <n v="2024"/>
    <n v="1"/>
    <n v="0"/>
    <d v="1899-12-30T11:36:00"/>
    <d v="1899-12-30T17:54:00"/>
    <s v="Present"/>
    <s v="Morning"/>
    <s v="Office"/>
    <n v="0"/>
  </r>
  <r>
    <s v="E1027"/>
    <s v="Employee_27"/>
    <x v="1"/>
    <d v="2024-01-26T00:00:00"/>
    <x v="2"/>
    <n v="2024"/>
    <n v="0"/>
    <n v="0"/>
    <m/>
    <m/>
    <s v="Absent"/>
    <s v="Evening"/>
    <s v="Remote"/>
    <n v="0"/>
  </r>
  <r>
    <s v="E1011"/>
    <s v="Employee_11"/>
    <x v="2"/>
    <d v="2024-11-02T00:00:00"/>
    <x v="1"/>
    <n v="2024"/>
    <n v="0"/>
    <n v="0"/>
    <m/>
    <m/>
    <s v="Absent"/>
    <s v="Evening"/>
    <s v="Remote"/>
    <n v="0"/>
  </r>
  <r>
    <s v="E1029"/>
    <s v="Employee_29"/>
    <x v="4"/>
    <d v="2024-02-10T00:00:00"/>
    <x v="5"/>
    <n v="2024"/>
    <n v="1"/>
    <n v="0"/>
    <d v="1899-12-30T10:27:00"/>
    <d v="1899-12-30T16:20:00"/>
    <s v="Present"/>
    <s v="Evening"/>
    <s v="Remote"/>
    <n v="0"/>
  </r>
  <r>
    <s v="E1030"/>
    <s v="Employee_30"/>
    <x v="2"/>
    <d v="2024-05-02T00:00:00"/>
    <x v="6"/>
    <n v="2024"/>
    <n v="1"/>
    <n v="0"/>
    <d v="1899-12-30T10:22:00"/>
    <d v="1899-12-30T16:54:00"/>
    <s v="Present"/>
    <s v="Evening"/>
    <s v="Remote"/>
    <n v="0"/>
  </r>
  <r>
    <s v="E1036"/>
    <s v="Employee_36"/>
    <x v="4"/>
    <d v="2024-03-19T00:00:00"/>
    <x v="0"/>
    <n v="2024"/>
    <n v="1"/>
    <n v="1"/>
    <d v="1899-12-30T09:24:00"/>
    <d v="1899-12-30T18:20:00"/>
    <s v="Late"/>
    <s v="Evening"/>
    <s v="Remote"/>
    <n v="0"/>
  </r>
  <r>
    <s v="E1004"/>
    <s v="Employee_4"/>
    <x v="4"/>
    <d v="2024-03-15T00:00:00"/>
    <x v="0"/>
    <n v="2024"/>
    <n v="1"/>
    <n v="0"/>
    <d v="1899-12-30T09:34:00"/>
    <d v="1899-12-30T16:10:00"/>
    <s v="Present"/>
    <s v="Evening"/>
    <s v="Office"/>
    <n v="0"/>
  </r>
  <r>
    <s v="E1024"/>
    <s v="Employee_24"/>
    <x v="3"/>
    <d v="2024-03-29T00:00:00"/>
    <x v="0"/>
    <n v="2024"/>
    <n v="1"/>
    <n v="0"/>
    <d v="1899-12-30T08:17:00"/>
    <d v="1899-12-30T18:52:00"/>
    <s v="Work From Home"/>
    <s v="Morning"/>
    <s v="Remote"/>
    <n v="0"/>
  </r>
  <r>
    <s v="E1036"/>
    <s v="Employee_36"/>
    <x v="4"/>
    <d v="2024-02-13T00:00:00"/>
    <x v="5"/>
    <n v="2024"/>
    <n v="1"/>
    <n v="1"/>
    <d v="1899-12-30T10:04:00"/>
    <d v="1899-12-30T16:40:00"/>
    <s v="Late"/>
    <s v="Morning"/>
    <s v="Office"/>
    <n v="0"/>
  </r>
  <r>
    <s v="E1050"/>
    <s v="Employee_50"/>
    <x v="2"/>
    <d v="2024-03-14T00:00:00"/>
    <x v="0"/>
    <n v="2024"/>
    <n v="0"/>
    <n v="0"/>
    <m/>
    <m/>
    <s v="Absent"/>
    <s v="Evening"/>
    <s v="Office"/>
    <n v="0"/>
  </r>
  <r>
    <s v="E1014"/>
    <s v="Employee_14"/>
    <x v="4"/>
    <d v="2024-10-03T00:00:00"/>
    <x v="7"/>
    <n v="2024"/>
    <n v="1"/>
    <n v="0"/>
    <d v="1899-12-30T11:14:00"/>
    <d v="1899-12-30T18:56:00"/>
    <s v="Work From Home"/>
    <s v="Evening"/>
    <s v="Remote"/>
    <n v="0"/>
  </r>
  <r>
    <s v="E1050"/>
    <s v="Employee_50"/>
    <x v="1"/>
    <d v="2024-01-18T00:00:00"/>
    <x v="2"/>
    <n v="2024"/>
    <n v="1"/>
    <n v="1"/>
    <d v="1899-12-30T09:14:00"/>
    <d v="1899-12-30T16:15:00"/>
    <s v="Late"/>
    <s v="Evening"/>
    <s v="Office"/>
    <n v="0"/>
  </r>
  <r>
    <s v="E1009"/>
    <s v="Employee_9"/>
    <x v="3"/>
    <d v="2024-03-08T00:00:00"/>
    <x v="0"/>
    <n v="2024"/>
    <n v="1"/>
    <n v="0"/>
    <d v="1899-12-30T09:20:00"/>
    <d v="1899-12-30T19:34:00"/>
    <s v="Work From Home"/>
    <s v="Morning"/>
    <s v="Office"/>
    <n v="0"/>
  </r>
  <r>
    <s v="E1053"/>
    <s v="Employee_53"/>
    <x v="1"/>
    <d v="2024-01-26T00:00:00"/>
    <x v="2"/>
    <n v="2024"/>
    <n v="1"/>
    <n v="1"/>
    <d v="1899-12-30T10:22:00"/>
    <d v="1899-12-30T17:34:00"/>
    <s v="Late"/>
    <s v="Evening"/>
    <s v="Office"/>
    <n v="0"/>
  </r>
  <r>
    <s v="E1020"/>
    <s v="Employee_20"/>
    <x v="0"/>
    <d v="2024-01-03T00:00:00"/>
    <x v="2"/>
    <n v="2024"/>
    <n v="0"/>
    <n v="0"/>
    <m/>
    <m/>
    <s v="Absent"/>
    <s v="Morning"/>
    <s v="Office"/>
    <n v="0"/>
  </r>
  <r>
    <s v="E1036"/>
    <s v="Employee_36"/>
    <x v="1"/>
    <d v="2024-02-15T00:00:00"/>
    <x v="5"/>
    <n v="2024"/>
    <n v="1"/>
    <n v="0"/>
    <d v="1899-12-30T09:08:00"/>
    <d v="1899-12-30T20:19:00"/>
    <s v="Present"/>
    <s v="Evening"/>
    <s v="Remote"/>
    <n v="0"/>
  </r>
  <r>
    <s v="E1018"/>
    <s v="Employee_18"/>
    <x v="2"/>
    <d v="2024-03-01T00:00:00"/>
    <x v="0"/>
    <n v="2024"/>
    <n v="1"/>
    <n v="0"/>
    <d v="1899-12-30T10:56:00"/>
    <d v="1899-12-30T17:15:00"/>
    <s v="Work From Home"/>
    <s v="Morning"/>
    <s v="Remote"/>
    <n v="0"/>
  </r>
  <r>
    <s v="E1001"/>
    <s v="Employee_1"/>
    <x v="0"/>
    <d v="2024-04-02T00:00:00"/>
    <x v="10"/>
    <n v="2024"/>
    <n v="1"/>
    <n v="0"/>
    <d v="1899-12-30T10:53:00"/>
    <d v="1899-12-30T17:50:00"/>
    <s v="Work From Home"/>
    <s v="Evening"/>
    <s v="Remote"/>
    <n v="0"/>
  </r>
  <r>
    <s v="E1047"/>
    <s v="Employee_47"/>
    <x v="2"/>
    <d v="2024-03-01T00:00:00"/>
    <x v="0"/>
    <n v="2024"/>
    <n v="1"/>
    <n v="0"/>
    <d v="1899-12-30T09:58:00"/>
    <d v="1899-12-30T17:02:00"/>
    <s v="Work From Home"/>
    <s v="Morning"/>
    <s v="Office"/>
    <n v="0"/>
  </r>
  <r>
    <s v="E1032"/>
    <s v="Employee_32"/>
    <x v="3"/>
    <d v="2024-12-03T00:00:00"/>
    <x v="8"/>
    <n v="2024"/>
    <n v="1"/>
    <n v="0"/>
    <d v="1899-12-30T10:32:00"/>
    <d v="1899-12-30T19:51:00"/>
    <s v="Present"/>
    <s v="Evening"/>
    <s v="Remote"/>
    <n v="0"/>
  </r>
  <r>
    <s v="E1044"/>
    <s v="Employee_44"/>
    <x v="4"/>
    <d v="2024-01-09T00:00:00"/>
    <x v="2"/>
    <n v="2024"/>
    <n v="0"/>
    <n v="0"/>
    <m/>
    <m/>
    <s v="Absent"/>
    <s v="Morning"/>
    <s v="Office"/>
    <n v="0"/>
  </r>
  <r>
    <s v="E1025"/>
    <s v="Employee_25"/>
    <x v="4"/>
    <d v="2024-06-03T00:00:00"/>
    <x v="11"/>
    <n v="2024"/>
    <n v="1"/>
    <n v="0"/>
    <d v="1899-12-30T08:31:00"/>
    <d v="1899-12-30T19:46:00"/>
    <s v="Work From Home"/>
    <s v="Morning"/>
    <s v="Remote"/>
    <n v="0"/>
  </r>
  <r>
    <s v="E1049"/>
    <s v="Employee_49"/>
    <x v="3"/>
    <d v="2024-02-23T00:00:00"/>
    <x v="5"/>
    <n v="2024"/>
    <n v="1"/>
    <n v="0"/>
    <d v="1899-12-30T10:54:00"/>
    <d v="1899-12-30T17:11:00"/>
    <s v="Work From Home"/>
    <s v="Evening"/>
    <s v="Remote"/>
    <n v="0"/>
  </r>
  <r>
    <s v="E1003"/>
    <s v="Employee_3"/>
    <x v="4"/>
    <d v="2024-02-16T00:00:00"/>
    <x v="5"/>
    <n v="2024"/>
    <n v="1"/>
    <n v="1"/>
    <d v="1899-12-30T09:22:00"/>
    <d v="1899-12-30T17:21:00"/>
    <s v="Late"/>
    <s v="Morning"/>
    <s v="Remote"/>
    <n v="0"/>
  </r>
  <r>
    <s v="E1052"/>
    <s v="Employee_52"/>
    <x v="4"/>
    <d v="2024-01-16T00:00:00"/>
    <x v="2"/>
    <n v="2024"/>
    <n v="1"/>
    <n v="0"/>
    <d v="1899-12-30T11:16:00"/>
    <d v="1899-12-30T16:21:00"/>
    <s v="Present"/>
    <s v="Evening"/>
    <s v="Remote"/>
    <n v="0"/>
  </r>
  <r>
    <s v="E1057"/>
    <s v="Employee_57"/>
    <x v="3"/>
    <d v="2024-03-18T00:00:00"/>
    <x v="0"/>
    <n v="2024"/>
    <n v="0"/>
    <n v="0"/>
    <m/>
    <m/>
    <s v="Absent"/>
    <s v="Evening"/>
    <s v="Office"/>
    <n v="0"/>
  </r>
  <r>
    <s v="E1038"/>
    <s v="Employee_38"/>
    <x v="0"/>
    <d v="2024-02-01T00:00:00"/>
    <x v="5"/>
    <n v="2024"/>
    <n v="1"/>
    <n v="0"/>
    <d v="1899-12-30T10:01:00"/>
    <d v="1899-12-30T18:13:00"/>
    <s v="Present"/>
    <s v="Evening"/>
    <s v="Remote"/>
    <n v="0"/>
  </r>
  <r>
    <s v="E1024"/>
    <s v="Employee_24"/>
    <x v="3"/>
    <d v="2024-02-01T00:00:00"/>
    <x v="5"/>
    <n v="2024"/>
    <n v="1"/>
    <n v="0"/>
    <d v="1899-12-30T08:58:00"/>
    <d v="1899-12-30T16:23:00"/>
    <s v="Present"/>
    <s v="Evening"/>
    <s v="Remote"/>
    <n v="0"/>
  </r>
  <r>
    <s v="E1033"/>
    <s v="Employee_33"/>
    <x v="0"/>
    <d v="2024-10-03T00:00:00"/>
    <x v="7"/>
    <n v="2024"/>
    <n v="1"/>
    <n v="1"/>
    <d v="1899-12-30T11:03:00"/>
    <d v="1899-12-30T18:33:00"/>
    <s v="Late"/>
    <s v="Evening"/>
    <s v="Office"/>
    <n v="0"/>
  </r>
  <r>
    <s v="E1040"/>
    <s v="Employee_40"/>
    <x v="1"/>
    <d v="2024-03-02T00:00:00"/>
    <x v="0"/>
    <n v="2024"/>
    <n v="0"/>
    <n v="0"/>
    <m/>
    <m/>
    <s v="Absent"/>
    <s v="Morning"/>
    <s v="Office"/>
    <n v="0"/>
  </r>
  <r>
    <s v="E1012"/>
    <s v="Employee_12"/>
    <x v="3"/>
    <d v="2024-03-17T00:00:00"/>
    <x v="0"/>
    <n v="2024"/>
    <n v="1"/>
    <n v="0"/>
    <d v="1899-12-30T08:10:00"/>
    <d v="1899-12-30T16:37:00"/>
    <s v="Work From Home"/>
    <s v="Morning"/>
    <s v="Remote"/>
    <n v="0"/>
  </r>
  <r>
    <s v="E1043"/>
    <s v="Employee_43"/>
    <x v="2"/>
    <d v="2024-02-18T00:00:00"/>
    <x v="5"/>
    <n v="2024"/>
    <n v="0"/>
    <n v="0"/>
    <m/>
    <m/>
    <s v="Absent"/>
    <s v="Morning"/>
    <s v="Office"/>
    <n v="0"/>
  </r>
  <r>
    <s v="E1008"/>
    <s v="Employee_8"/>
    <x v="4"/>
    <d v="2024-02-15T00:00:00"/>
    <x v="5"/>
    <n v="2024"/>
    <n v="1"/>
    <n v="0"/>
    <d v="1899-12-30T09:53:00"/>
    <d v="1899-12-30T18:48:00"/>
    <s v="Work From Home"/>
    <s v="Evening"/>
    <s v="Remote"/>
    <n v="0"/>
  </r>
  <r>
    <s v="E1021"/>
    <s v="Employee_21"/>
    <x v="4"/>
    <d v="2024-02-17T00:00:00"/>
    <x v="5"/>
    <n v="2024"/>
    <n v="1"/>
    <n v="1"/>
    <d v="1899-12-30T09:36:00"/>
    <d v="1899-12-30T16:52:00"/>
    <s v="Late"/>
    <s v="Evening"/>
    <s v="Remote"/>
    <n v="0"/>
  </r>
  <r>
    <s v="E1053"/>
    <s v="Employee_53"/>
    <x v="0"/>
    <d v="2024-11-02T00:00:00"/>
    <x v="1"/>
    <n v="2024"/>
    <n v="1"/>
    <n v="0"/>
    <d v="1899-12-30T10:54:00"/>
    <d v="1899-12-30T18:45:00"/>
    <s v="Work From Home"/>
    <s v="Morning"/>
    <s v="Remote"/>
    <n v="0"/>
  </r>
  <r>
    <s v="E1048"/>
    <s v="Employee_48"/>
    <x v="3"/>
    <d v="2024-02-29T00:00:00"/>
    <x v="5"/>
    <n v="2024"/>
    <n v="1"/>
    <n v="0"/>
    <d v="1899-12-30T11:53:00"/>
    <d v="1899-12-30T18:50:00"/>
    <s v="Present"/>
    <s v="Morning"/>
    <s v="Office"/>
    <n v="0"/>
  </r>
  <r>
    <s v="E1014"/>
    <s v="Employee_14"/>
    <x v="4"/>
    <d v="2024-03-27T00:00:00"/>
    <x v="0"/>
    <n v="2024"/>
    <n v="1"/>
    <n v="1"/>
    <d v="1899-12-30T10:07:00"/>
    <d v="1899-12-30T19:29:00"/>
    <s v="Late"/>
    <s v="Morning"/>
    <s v="Office"/>
    <n v="0"/>
  </r>
  <r>
    <s v="E1017"/>
    <s v="Employee_17"/>
    <x v="4"/>
    <d v="2024-11-01T00:00:00"/>
    <x v="1"/>
    <n v="2024"/>
    <n v="0"/>
    <n v="0"/>
    <m/>
    <m/>
    <s v="Absent"/>
    <s v="Evening"/>
    <s v="Office"/>
    <n v="0"/>
  </r>
  <r>
    <s v="E1019"/>
    <s v="Employee_19"/>
    <x v="3"/>
    <d v="2024-02-17T00:00:00"/>
    <x v="5"/>
    <n v="2024"/>
    <n v="1"/>
    <n v="0"/>
    <d v="1899-12-30T09:38:00"/>
    <d v="1899-12-30T17:45:00"/>
    <s v="Present"/>
    <s v="Morning"/>
    <s v="Office"/>
    <n v="0"/>
  </r>
  <r>
    <s v="E1005"/>
    <s v="Employee_5"/>
    <x v="2"/>
    <d v="2024-03-11T00:00:00"/>
    <x v="0"/>
    <n v="2024"/>
    <n v="0"/>
    <n v="0"/>
    <m/>
    <m/>
    <s v="Absent"/>
    <s v="Evening"/>
    <s v="Office"/>
    <n v="0"/>
  </r>
  <r>
    <s v="E1007"/>
    <s v="Employee_7"/>
    <x v="1"/>
    <d v="2024-02-23T00:00:00"/>
    <x v="5"/>
    <n v="2024"/>
    <n v="1"/>
    <n v="0"/>
    <d v="1899-12-30T11:30:00"/>
    <d v="1899-12-30T17:23:00"/>
    <s v="Work From Home"/>
    <s v="Morning"/>
    <s v="Remote"/>
    <n v="0"/>
  </r>
  <r>
    <s v="E1045"/>
    <s v="Employee_45"/>
    <x v="4"/>
    <d v="2024-06-01T00:00:00"/>
    <x v="11"/>
    <n v="2024"/>
    <n v="1"/>
    <n v="1"/>
    <d v="1899-12-30T08:26:00"/>
    <d v="1899-12-30T19:10:00"/>
    <s v="Late"/>
    <s v="Morning"/>
    <s v="Office"/>
    <n v="0"/>
  </r>
  <r>
    <s v="E1012"/>
    <s v="Employee_12"/>
    <x v="4"/>
    <d v="2024-01-29T00:00:00"/>
    <x v="2"/>
    <n v="2024"/>
    <n v="1"/>
    <n v="0"/>
    <d v="1899-12-30T10:21:00"/>
    <d v="1899-12-30T17:02:00"/>
    <s v="Work From Home"/>
    <s v="Evening"/>
    <s v="Office"/>
    <n v="0"/>
  </r>
  <r>
    <s v="E1032"/>
    <s v="Employee_32"/>
    <x v="3"/>
    <d v="2024-03-01T00:00:00"/>
    <x v="0"/>
    <n v="2024"/>
    <n v="1"/>
    <n v="1"/>
    <d v="1899-12-30T08:40:00"/>
    <d v="1899-12-30T18:10:00"/>
    <s v="Late"/>
    <s v="Evening"/>
    <s v="Office"/>
    <n v="0"/>
  </r>
  <r>
    <s v="E1043"/>
    <s v="Employee_43"/>
    <x v="3"/>
    <d v="2024-06-02T00:00:00"/>
    <x v="11"/>
    <n v="2024"/>
    <n v="0"/>
    <n v="0"/>
    <m/>
    <m/>
    <s v="Absent"/>
    <s v="Morning"/>
    <s v="Remote"/>
    <n v="0"/>
  </r>
  <r>
    <s v="E1020"/>
    <s v="Employee_20"/>
    <x v="0"/>
    <d v="2024-08-01T00:00:00"/>
    <x v="9"/>
    <n v="2024"/>
    <n v="1"/>
    <n v="0"/>
    <d v="1899-12-30T08:25:00"/>
    <d v="1899-12-30T19:43:00"/>
    <s v="Present"/>
    <s v="Morning"/>
    <s v="Remote"/>
    <n v="0"/>
  </r>
  <r>
    <s v="E1037"/>
    <s v="Employee_37"/>
    <x v="1"/>
    <d v="2024-01-23T00:00:00"/>
    <x v="2"/>
    <n v="2024"/>
    <n v="1"/>
    <n v="0"/>
    <d v="1899-12-30T08:19:00"/>
    <d v="1899-12-30T16:45:00"/>
    <s v="Present"/>
    <s v="Evening"/>
    <s v="Office"/>
    <n v="0"/>
  </r>
  <r>
    <s v="E1052"/>
    <s v="Employee_52"/>
    <x v="1"/>
    <d v="2024-02-21T00:00:00"/>
    <x v="5"/>
    <n v="2024"/>
    <n v="0"/>
    <n v="0"/>
    <m/>
    <m/>
    <s v="Absent"/>
    <s v="Morning"/>
    <s v="Remote"/>
    <n v="0"/>
  </r>
  <r>
    <s v="E1015"/>
    <s v="Employee_15"/>
    <x v="1"/>
    <d v="2024-03-22T00:00:00"/>
    <x v="0"/>
    <n v="2024"/>
    <n v="1"/>
    <n v="1"/>
    <d v="1899-12-30T09:24:00"/>
    <d v="1899-12-30T16:32:00"/>
    <s v="Late"/>
    <s v="Evening"/>
    <s v="Office"/>
    <n v="0"/>
  </r>
  <r>
    <s v="E1013"/>
    <s v="Employee_13"/>
    <x v="3"/>
    <d v="2024-01-28T00:00:00"/>
    <x v="2"/>
    <n v="2024"/>
    <n v="1"/>
    <n v="1"/>
    <d v="1899-12-30T10:36:00"/>
    <d v="1899-12-30T16:48:00"/>
    <s v="Late"/>
    <s v="Evening"/>
    <s v="Office"/>
    <n v="0"/>
  </r>
  <r>
    <s v="E1021"/>
    <s v="Employee_21"/>
    <x v="0"/>
    <d v="2024-03-30T00:00:00"/>
    <x v="0"/>
    <n v="2024"/>
    <n v="0"/>
    <n v="0"/>
    <m/>
    <m/>
    <s v="Absent"/>
    <s v="Evening"/>
    <s v="Office"/>
    <n v="0"/>
  </r>
  <r>
    <s v="E1057"/>
    <s v="Employee_57"/>
    <x v="0"/>
    <d v="2024-03-14T00:00:00"/>
    <x v="0"/>
    <n v="2024"/>
    <n v="1"/>
    <n v="0"/>
    <d v="1899-12-30T10:01:00"/>
    <d v="1899-12-30T18:34:00"/>
    <s v="Work From Home"/>
    <s v="Evening"/>
    <s v="Office"/>
    <n v="0"/>
  </r>
  <r>
    <s v="E1002"/>
    <s v="Employee_2"/>
    <x v="2"/>
    <d v="2024-02-01T00:00:00"/>
    <x v="5"/>
    <n v="2024"/>
    <n v="1"/>
    <n v="1"/>
    <d v="1899-12-30T10:58:00"/>
    <d v="1899-12-30T18:58:00"/>
    <s v="Late"/>
    <s v="Evening"/>
    <s v="Remote"/>
    <n v="0"/>
  </r>
  <r>
    <s v="E1026"/>
    <s v="Employee_26"/>
    <x v="3"/>
    <d v="2024-09-02T00:00:00"/>
    <x v="3"/>
    <n v="2024"/>
    <n v="1"/>
    <n v="0"/>
    <d v="1899-12-30T09:04:00"/>
    <d v="1899-12-30T16:42:00"/>
    <s v="Present"/>
    <s v="Morning"/>
    <s v="Office"/>
    <n v="0"/>
  </r>
  <r>
    <s v="E1025"/>
    <s v="Employee_25"/>
    <x v="2"/>
    <d v="2024-02-10T00:00:00"/>
    <x v="5"/>
    <n v="2024"/>
    <n v="1"/>
    <n v="0"/>
    <d v="1899-12-30T08:07:00"/>
    <d v="1899-12-30T20:32:00"/>
    <s v="Present"/>
    <s v="Morning"/>
    <s v="Remote"/>
    <n v="0"/>
  </r>
  <r>
    <s v="E1056"/>
    <s v="Employee_56"/>
    <x v="2"/>
    <d v="2024-01-20T00:00:00"/>
    <x v="2"/>
    <n v="2024"/>
    <n v="0"/>
    <n v="0"/>
    <m/>
    <m/>
    <s v="Absent"/>
    <s v="Evening"/>
    <s v="Office"/>
    <n v="0"/>
  </r>
  <r>
    <s v="E1049"/>
    <s v="Employee_49"/>
    <x v="1"/>
    <d v="2024-06-01T00:00:00"/>
    <x v="11"/>
    <n v="2024"/>
    <n v="1"/>
    <n v="1"/>
    <d v="1899-12-30T10:28:00"/>
    <d v="1899-12-30T20:26:00"/>
    <s v="Late"/>
    <s v="Morning"/>
    <s v="Remote"/>
    <n v="0"/>
  </r>
  <r>
    <s v="E1001"/>
    <s v="Employee_1"/>
    <x v="3"/>
    <d v="2024-03-24T00:00:00"/>
    <x v="0"/>
    <n v="2024"/>
    <n v="1"/>
    <n v="0"/>
    <d v="1899-12-30T08:08:00"/>
    <d v="1899-12-30T18:02:00"/>
    <s v="Work From Home"/>
    <s v="Morning"/>
    <s v="Remote"/>
    <n v="0"/>
  </r>
  <r>
    <s v="E1038"/>
    <s v="Employee_38"/>
    <x v="4"/>
    <d v="2024-01-22T00:00:00"/>
    <x v="2"/>
    <n v="2024"/>
    <n v="1"/>
    <n v="0"/>
    <d v="1899-12-30T08:20:00"/>
    <d v="1899-12-30T17:12:00"/>
    <s v="Present"/>
    <s v="Evening"/>
    <s v="Office"/>
    <n v="0"/>
  </r>
  <r>
    <s v="E1043"/>
    <s v="Employee_43"/>
    <x v="0"/>
    <d v="2024-01-17T00:00:00"/>
    <x v="2"/>
    <n v="2024"/>
    <n v="1"/>
    <n v="0"/>
    <d v="1899-12-30T09:38:00"/>
    <d v="1899-12-30T17:51:00"/>
    <s v="Work From Home"/>
    <s v="Evening"/>
    <s v="Office"/>
    <n v="0"/>
  </r>
  <r>
    <s v="E1019"/>
    <s v="Employee_19"/>
    <x v="0"/>
    <d v="2024-03-17T00:00:00"/>
    <x v="0"/>
    <n v="2024"/>
    <n v="1"/>
    <n v="0"/>
    <d v="1899-12-30T11:11:00"/>
    <d v="1899-12-30T19:50:00"/>
    <s v="Present"/>
    <s v="Evening"/>
    <s v="Remote"/>
    <n v="0"/>
  </r>
  <r>
    <s v="E1053"/>
    <s v="Employee_53"/>
    <x v="3"/>
    <d v="2024-03-22T00:00:00"/>
    <x v="0"/>
    <n v="2024"/>
    <n v="1"/>
    <n v="1"/>
    <d v="1899-12-30T09:19:00"/>
    <d v="1899-12-30T17:47:00"/>
    <s v="Late"/>
    <s v="Morning"/>
    <s v="Remote"/>
    <n v="0"/>
  </r>
  <r>
    <s v="E1040"/>
    <s v="Employee_40"/>
    <x v="0"/>
    <d v="2024-03-16T00:00:00"/>
    <x v="0"/>
    <n v="2024"/>
    <n v="1"/>
    <n v="1"/>
    <d v="1899-12-30T08:11:00"/>
    <d v="1899-12-30T20:27:00"/>
    <s v="Late"/>
    <s v="Evening"/>
    <s v="Remote"/>
    <n v="0"/>
  </r>
  <r>
    <s v="E1016"/>
    <s v="Employee_16"/>
    <x v="2"/>
    <d v="2024-02-22T00:00:00"/>
    <x v="5"/>
    <n v="2024"/>
    <n v="1"/>
    <n v="0"/>
    <d v="1899-12-30T10:23:00"/>
    <d v="1899-12-30T20:55:00"/>
    <s v="Work From Home"/>
    <s v="Evening"/>
    <s v="Office"/>
    <n v="0"/>
  </r>
  <r>
    <s v="E1030"/>
    <s v="Employee_30"/>
    <x v="4"/>
    <d v="2024-08-01T00:00:00"/>
    <x v="9"/>
    <n v="2024"/>
    <n v="1"/>
    <n v="0"/>
    <d v="1899-12-30T11:47:00"/>
    <d v="1899-12-30T19:52:00"/>
    <s v="Work From Home"/>
    <s v="Morning"/>
    <s v="Office"/>
    <n v="0"/>
  </r>
  <r>
    <s v="E1056"/>
    <s v="Employee_56"/>
    <x v="1"/>
    <d v="2024-01-22T00:00:00"/>
    <x v="2"/>
    <n v="2024"/>
    <n v="1"/>
    <n v="0"/>
    <d v="1899-12-30T09:55:00"/>
    <d v="1899-12-30T19:56:00"/>
    <s v="Work From Home"/>
    <s v="Morning"/>
    <s v="Office"/>
    <n v="0"/>
  </r>
  <r>
    <s v="E1026"/>
    <s v="Employee_26"/>
    <x v="0"/>
    <d v="2024-01-22T00:00:00"/>
    <x v="2"/>
    <n v="2024"/>
    <n v="1"/>
    <n v="0"/>
    <d v="1899-12-30T11:54:00"/>
    <d v="1899-12-30T17:53:00"/>
    <s v="Present"/>
    <s v="Evening"/>
    <s v="Remote"/>
    <n v="0"/>
  </r>
  <r>
    <s v="E1018"/>
    <s v="Employee_18"/>
    <x v="1"/>
    <d v="2024-03-24T00:00:00"/>
    <x v="0"/>
    <n v="2024"/>
    <n v="1"/>
    <n v="0"/>
    <d v="1899-12-30T10:50:00"/>
    <d v="1899-12-30T16:32:00"/>
    <s v="Present"/>
    <s v="Evening"/>
    <s v="Remote"/>
    <n v="0"/>
  </r>
  <r>
    <s v="E1015"/>
    <s v="Employee_15"/>
    <x v="3"/>
    <d v="2024-02-22T00:00:00"/>
    <x v="5"/>
    <n v="2024"/>
    <n v="1"/>
    <n v="1"/>
    <d v="1899-12-30T09:33:00"/>
    <d v="1899-12-30T17:15:00"/>
    <s v="Late"/>
    <s v="Evening"/>
    <s v="Office"/>
    <n v="0"/>
  </r>
  <r>
    <s v="E1046"/>
    <s v="Employee_46"/>
    <x v="1"/>
    <d v="2024-01-01T00:00:00"/>
    <x v="2"/>
    <n v="2024"/>
    <n v="1"/>
    <n v="1"/>
    <d v="1899-12-30T08:37:00"/>
    <d v="1899-12-30T16:57:00"/>
    <s v="Late"/>
    <s v="Evening"/>
    <s v="Office"/>
    <n v="0"/>
  </r>
  <r>
    <s v="E1038"/>
    <s v="Employee_38"/>
    <x v="1"/>
    <d v="2024-03-24T00:00:00"/>
    <x v="0"/>
    <n v="2024"/>
    <n v="1"/>
    <n v="0"/>
    <d v="1899-12-30T09:28:00"/>
    <d v="1899-12-30T20:04:00"/>
    <s v="Work From Home"/>
    <s v="Evening"/>
    <s v="Remote"/>
    <n v="0"/>
  </r>
  <r>
    <s v="E1042"/>
    <s v="Employee_42"/>
    <x v="0"/>
    <d v="2024-09-02T00:00:00"/>
    <x v="3"/>
    <n v="2024"/>
    <n v="0"/>
    <n v="0"/>
    <m/>
    <m/>
    <s v="Absent"/>
    <s v="Evening"/>
    <s v="Office"/>
    <n v="0"/>
  </r>
  <r>
    <s v="E1008"/>
    <s v="Employee_8"/>
    <x v="4"/>
    <d v="2024-02-16T00:00:00"/>
    <x v="5"/>
    <n v="2024"/>
    <n v="1"/>
    <n v="0"/>
    <d v="1899-12-30T08:21:00"/>
    <d v="1899-12-30T18:09:00"/>
    <s v="Work From Home"/>
    <s v="Morning"/>
    <s v="Remote"/>
    <n v="0"/>
  </r>
  <r>
    <s v="E1019"/>
    <s v="Employee_19"/>
    <x v="0"/>
    <d v="2024-07-01T00:00:00"/>
    <x v="4"/>
    <n v="2024"/>
    <n v="1"/>
    <n v="0"/>
    <d v="1899-12-30T09:21:00"/>
    <d v="1899-12-30T20:42:00"/>
    <s v="Work From Home"/>
    <s v="Evening"/>
    <s v="Office"/>
    <n v="0"/>
  </r>
  <r>
    <s v="E1024"/>
    <s v="Employee_24"/>
    <x v="1"/>
    <d v="2024-01-01T00:00:00"/>
    <x v="2"/>
    <n v="2024"/>
    <n v="1"/>
    <n v="0"/>
    <d v="1899-12-30T10:26:00"/>
    <d v="1899-12-30T20:55:00"/>
    <s v="Work From Home"/>
    <s v="Morning"/>
    <s v="Remote"/>
    <n v="0"/>
  </r>
  <r>
    <s v="E1054"/>
    <s v="Employee_54"/>
    <x v="1"/>
    <d v="2024-01-17T00:00:00"/>
    <x v="2"/>
    <n v="2024"/>
    <n v="1"/>
    <n v="0"/>
    <d v="1899-12-30T11:46:00"/>
    <d v="1899-12-30T16:47:00"/>
    <s v="Work From Home"/>
    <s v="Evening"/>
    <s v="Office"/>
    <n v="0"/>
  </r>
  <r>
    <s v="E1034"/>
    <s v="Employee_34"/>
    <x v="3"/>
    <d v="2024-02-06T00:00:00"/>
    <x v="5"/>
    <n v="2024"/>
    <n v="1"/>
    <n v="1"/>
    <d v="1899-12-30T08:43:00"/>
    <d v="1899-12-30T18:39:00"/>
    <s v="Late"/>
    <s v="Morning"/>
    <s v="Remote"/>
    <n v="0"/>
  </r>
  <r>
    <s v="E1051"/>
    <s v="Employee_51"/>
    <x v="4"/>
    <d v="2024-01-08T00:00:00"/>
    <x v="2"/>
    <n v="2024"/>
    <n v="1"/>
    <n v="0"/>
    <d v="1899-12-30T09:24:00"/>
    <d v="1899-12-30T17:15:00"/>
    <s v="Present"/>
    <s v="Morning"/>
    <s v="Office"/>
    <n v="0"/>
  </r>
  <r>
    <s v="E1054"/>
    <s v="Employee_54"/>
    <x v="1"/>
    <d v="2024-03-25T00:00:00"/>
    <x v="0"/>
    <n v="2024"/>
    <n v="0"/>
    <n v="0"/>
    <m/>
    <m/>
    <s v="Absent"/>
    <s v="Morning"/>
    <s v="Office"/>
    <n v="0"/>
  </r>
  <r>
    <s v="E1028"/>
    <s v="Employee_28"/>
    <x v="1"/>
    <d v="2024-01-01T00:00:00"/>
    <x v="2"/>
    <n v="2024"/>
    <n v="1"/>
    <n v="1"/>
    <d v="1899-12-30T09:32:00"/>
    <d v="1899-12-30T17:36:00"/>
    <s v="Late"/>
    <s v="Evening"/>
    <s v="Remote"/>
    <n v="0"/>
  </r>
  <r>
    <s v="E1038"/>
    <s v="Employee_38"/>
    <x v="4"/>
    <d v="2024-06-03T00:00:00"/>
    <x v="11"/>
    <n v="2024"/>
    <n v="1"/>
    <n v="1"/>
    <d v="1899-12-30T08:33:00"/>
    <d v="1899-12-30T16:53:00"/>
    <s v="Late"/>
    <s v="Evening"/>
    <s v="Office"/>
    <n v="0"/>
  </r>
  <r>
    <s v="E1032"/>
    <s v="Employee_32"/>
    <x v="3"/>
    <d v="2024-12-02T00:00:00"/>
    <x v="8"/>
    <n v="2024"/>
    <n v="1"/>
    <n v="0"/>
    <d v="1899-12-30T08:45:00"/>
    <d v="1899-12-30T20:41:00"/>
    <s v="Work From Home"/>
    <s v="Morning"/>
    <s v="Remote"/>
    <n v="0"/>
  </r>
  <r>
    <s v="E1014"/>
    <s v="Employee_14"/>
    <x v="0"/>
    <d v="2024-02-18T00:00:00"/>
    <x v="5"/>
    <n v="2024"/>
    <n v="1"/>
    <n v="0"/>
    <d v="1899-12-30T09:57:00"/>
    <d v="1899-12-30T19:07:00"/>
    <s v="Work From Home"/>
    <s v="Morning"/>
    <s v="Remote"/>
    <n v="0"/>
  </r>
  <r>
    <s v="E1018"/>
    <s v="Employee_18"/>
    <x v="4"/>
    <d v="2024-03-24T00:00:00"/>
    <x v="0"/>
    <n v="2024"/>
    <n v="1"/>
    <n v="1"/>
    <d v="1899-12-30T10:10:00"/>
    <d v="1899-12-30T17:25:00"/>
    <s v="Late"/>
    <s v="Evening"/>
    <s v="Office"/>
    <n v="0"/>
  </r>
  <r>
    <s v="E1035"/>
    <s v="Employee_35"/>
    <x v="0"/>
    <d v="2024-04-03T00:00:00"/>
    <x v="10"/>
    <n v="2024"/>
    <n v="1"/>
    <n v="0"/>
    <d v="1899-12-30T08:23:00"/>
    <d v="1899-12-30T19:27:00"/>
    <s v="Work From Home"/>
    <s v="Evening"/>
    <s v="Office"/>
    <n v="0"/>
  </r>
  <r>
    <s v="E1015"/>
    <s v="Employee_15"/>
    <x v="2"/>
    <d v="2024-02-03T00:00:00"/>
    <x v="5"/>
    <n v="2024"/>
    <n v="1"/>
    <n v="0"/>
    <d v="1899-12-30T08:21:00"/>
    <d v="1899-12-30T20:35:00"/>
    <s v="Present"/>
    <s v="Morning"/>
    <s v="Office"/>
    <n v="0"/>
  </r>
  <r>
    <s v="E1007"/>
    <s v="Employee_7"/>
    <x v="4"/>
    <d v="2024-07-02T00:00:00"/>
    <x v="4"/>
    <n v="2024"/>
    <n v="1"/>
    <n v="0"/>
    <d v="1899-12-30T08:03:00"/>
    <d v="1899-12-30T17:18:00"/>
    <s v="Work From Home"/>
    <s v="Evening"/>
    <s v="Remote"/>
    <n v="0"/>
  </r>
  <r>
    <s v="E1005"/>
    <s v="Employee_5"/>
    <x v="3"/>
    <d v="2024-03-20T00:00:00"/>
    <x v="0"/>
    <n v="2024"/>
    <n v="1"/>
    <n v="0"/>
    <d v="1899-12-30T08:08:00"/>
    <d v="1899-12-30T18:17:00"/>
    <s v="Present"/>
    <s v="Evening"/>
    <s v="Remote"/>
    <n v="0"/>
  </r>
  <r>
    <s v="E1012"/>
    <s v="Employee_12"/>
    <x v="2"/>
    <d v="2024-02-24T00:00:00"/>
    <x v="5"/>
    <n v="2024"/>
    <n v="0"/>
    <n v="0"/>
    <m/>
    <m/>
    <s v="Absent"/>
    <s v="Morning"/>
    <s v="Office"/>
    <n v="0"/>
  </r>
  <r>
    <s v="E1032"/>
    <s v="Employee_32"/>
    <x v="4"/>
    <d v="2024-02-23T00:00:00"/>
    <x v="5"/>
    <n v="2024"/>
    <n v="1"/>
    <n v="0"/>
    <d v="1899-12-30T08:15:00"/>
    <d v="1899-12-30T18:03:00"/>
    <s v="Work From Home"/>
    <s v="Evening"/>
    <s v="Office"/>
    <n v="0"/>
  </r>
  <r>
    <s v="E1056"/>
    <s v="Employee_56"/>
    <x v="4"/>
    <d v="2024-01-15T00:00:00"/>
    <x v="2"/>
    <n v="2024"/>
    <n v="1"/>
    <n v="1"/>
    <d v="1899-12-30T11:17:00"/>
    <d v="1899-12-30T17:06:00"/>
    <s v="Late"/>
    <s v="Evening"/>
    <s v="Office"/>
    <n v="0"/>
  </r>
  <r>
    <s v="E1050"/>
    <s v="Employee_50"/>
    <x v="2"/>
    <d v="2024-03-04T00:00:00"/>
    <x v="0"/>
    <n v="2024"/>
    <n v="1"/>
    <n v="0"/>
    <d v="1899-12-30T08:00:00"/>
    <d v="1899-12-30T17:42:00"/>
    <s v="Present"/>
    <s v="Evening"/>
    <s v="Remote"/>
    <n v="0"/>
  </r>
  <r>
    <s v="E1017"/>
    <s v="Employee_17"/>
    <x v="1"/>
    <d v="2024-03-17T00:00:00"/>
    <x v="0"/>
    <n v="2024"/>
    <n v="1"/>
    <n v="1"/>
    <d v="1899-12-30T09:12:00"/>
    <d v="1899-12-30T17:34:00"/>
    <s v="Late"/>
    <s v="Evening"/>
    <s v="Office"/>
    <n v="0"/>
  </r>
  <r>
    <s v="E1042"/>
    <s v="Employee_42"/>
    <x v="0"/>
    <d v="2024-04-02T00:00:00"/>
    <x v="10"/>
    <n v="2024"/>
    <n v="1"/>
    <n v="1"/>
    <d v="1899-12-30T08:28:00"/>
    <d v="1899-12-30T19:24:00"/>
    <s v="Late"/>
    <s v="Morning"/>
    <s v="Office"/>
    <n v="0"/>
  </r>
  <r>
    <s v="E1054"/>
    <s v="Employee_54"/>
    <x v="2"/>
    <d v="2024-02-11T00:00:00"/>
    <x v="5"/>
    <n v="2024"/>
    <n v="1"/>
    <n v="1"/>
    <d v="1899-12-30T09:05:00"/>
    <d v="1899-12-30T19:45:00"/>
    <s v="Late"/>
    <s v="Morning"/>
    <s v="Remote"/>
    <n v="0"/>
  </r>
  <r>
    <s v="E1026"/>
    <s v="Employee_26"/>
    <x v="1"/>
    <d v="2024-01-31T00:00:00"/>
    <x v="2"/>
    <n v="2024"/>
    <n v="1"/>
    <n v="1"/>
    <d v="1899-12-30T10:14:00"/>
    <d v="1899-12-30T18:57:00"/>
    <s v="Late"/>
    <s v="Evening"/>
    <s v="Remote"/>
    <n v="0"/>
  </r>
  <r>
    <s v="E1015"/>
    <s v="Employee_15"/>
    <x v="0"/>
    <d v="2024-02-19T00:00:00"/>
    <x v="5"/>
    <n v="2024"/>
    <n v="0"/>
    <n v="0"/>
    <m/>
    <m/>
    <s v="Absent"/>
    <s v="Morning"/>
    <s v="Remote"/>
    <n v="0"/>
  </r>
  <r>
    <s v="E1031"/>
    <s v="Employee_31"/>
    <x v="2"/>
    <d v="2024-02-24T00:00:00"/>
    <x v="5"/>
    <n v="2024"/>
    <n v="1"/>
    <n v="0"/>
    <d v="1899-12-30T10:33:00"/>
    <d v="1899-12-30T16:18:00"/>
    <s v="Work From Home"/>
    <s v="Morning"/>
    <s v="Remote"/>
    <n v="0"/>
  </r>
  <r>
    <s v="E1039"/>
    <s v="Employee_39"/>
    <x v="3"/>
    <d v="2024-01-19T00:00:00"/>
    <x v="2"/>
    <n v="2024"/>
    <n v="1"/>
    <n v="0"/>
    <d v="1899-12-30T10:30:00"/>
    <d v="1899-12-30T18:26:00"/>
    <s v="Work From Home"/>
    <s v="Evening"/>
    <s v="Remote"/>
    <n v="0"/>
  </r>
  <r>
    <s v="E1024"/>
    <s v="Employee_24"/>
    <x v="1"/>
    <d v="2024-01-24T00:00:00"/>
    <x v="2"/>
    <n v="2024"/>
    <n v="1"/>
    <n v="0"/>
    <d v="1899-12-30T11:26:00"/>
    <d v="1899-12-30T20:48:00"/>
    <s v="Work From Home"/>
    <s v="Morning"/>
    <s v="Office"/>
    <n v="0"/>
  </r>
  <r>
    <s v="E1033"/>
    <s v="Employee_33"/>
    <x v="3"/>
    <d v="2024-01-18T00:00:00"/>
    <x v="2"/>
    <n v="2024"/>
    <n v="1"/>
    <n v="0"/>
    <d v="1899-12-30T09:07:00"/>
    <d v="1899-12-30T17:17:00"/>
    <s v="Work From Home"/>
    <s v="Morning"/>
    <s v="Remote"/>
    <n v="0"/>
  </r>
  <r>
    <s v="E1048"/>
    <s v="Employee_48"/>
    <x v="2"/>
    <d v="2024-01-28T00:00:00"/>
    <x v="2"/>
    <n v="2024"/>
    <n v="1"/>
    <n v="1"/>
    <d v="1899-12-30T08:37:00"/>
    <d v="1899-12-30T19:31:00"/>
    <s v="Late"/>
    <s v="Morning"/>
    <s v="Office"/>
    <n v="0"/>
  </r>
  <r>
    <s v="E1044"/>
    <s v="Employee_44"/>
    <x v="1"/>
    <d v="2024-06-03T00:00:00"/>
    <x v="11"/>
    <n v="2024"/>
    <n v="1"/>
    <n v="1"/>
    <d v="1899-12-30T10:15:00"/>
    <d v="1899-12-30T20:05:00"/>
    <s v="Late"/>
    <s v="Morning"/>
    <s v="Office"/>
    <n v="0"/>
  </r>
  <r>
    <s v="E1038"/>
    <s v="Employee_38"/>
    <x v="1"/>
    <d v="2024-02-17T00:00:00"/>
    <x v="5"/>
    <n v="2024"/>
    <n v="1"/>
    <n v="0"/>
    <d v="1899-12-30T11:36:00"/>
    <d v="1899-12-30T19:29:00"/>
    <s v="Present"/>
    <s v="Morning"/>
    <s v="Office"/>
    <n v="0"/>
  </r>
  <r>
    <s v="E1034"/>
    <s v="Employee_34"/>
    <x v="4"/>
    <d v="2024-03-01T00:00:00"/>
    <x v="0"/>
    <n v="2024"/>
    <n v="1"/>
    <n v="0"/>
    <d v="1899-12-30T08:28:00"/>
    <d v="1899-12-30T20:57:00"/>
    <s v="Present"/>
    <s v="Evening"/>
    <s v="Remote"/>
    <n v="0"/>
  </r>
  <r>
    <s v="E1007"/>
    <s v="Employee_7"/>
    <x v="4"/>
    <d v="2024-02-24T00:00:00"/>
    <x v="5"/>
    <n v="2024"/>
    <n v="1"/>
    <n v="0"/>
    <d v="1899-12-30T08:14:00"/>
    <d v="1899-12-30T19:47:00"/>
    <s v="Present"/>
    <s v="Morning"/>
    <s v="Remote"/>
    <n v="0"/>
  </r>
  <r>
    <s v="E1031"/>
    <s v="Employee_31"/>
    <x v="1"/>
    <d v="2024-01-25T00:00:00"/>
    <x v="2"/>
    <n v="2024"/>
    <n v="0"/>
    <n v="0"/>
    <m/>
    <m/>
    <s v="Absent"/>
    <s v="Morning"/>
    <s v="Remote"/>
    <n v="0"/>
  </r>
  <r>
    <s v="E1007"/>
    <s v="Employee_7"/>
    <x v="0"/>
    <d v="2024-03-26T00:00:00"/>
    <x v="0"/>
    <n v="2024"/>
    <n v="1"/>
    <n v="0"/>
    <d v="1899-12-30T11:58:00"/>
    <d v="1899-12-30T17:24:00"/>
    <s v="Present"/>
    <s v="Evening"/>
    <s v="Remote"/>
    <n v="0"/>
  </r>
  <r>
    <s v="E1021"/>
    <s v="Employee_21"/>
    <x v="0"/>
    <d v="2024-02-23T00:00:00"/>
    <x v="5"/>
    <n v="2024"/>
    <n v="1"/>
    <n v="0"/>
    <d v="1899-12-30T08:24:00"/>
    <d v="1899-12-30T18:18:00"/>
    <s v="Present"/>
    <s v="Morning"/>
    <s v="Office"/>
    <n v="0"/>
  </r>
  <r>
    <s v="E1025"/>
    <s v="Employee_25"/>
    <x v="3"/>
    <d v="2024-03-15T00:00:00"/>
    <x v="0"/>
    <n v="2024"/>
    <n v="1"/>
    <n v="1"/>
    <d v="1899-12-30T09:17:00"/>
    <d v="1899-12-30T20:02:00"/>
    <s v="Late"/>
    <s v="Morning"/>
    <s v="Remote"/>
    <n v="0"/>
  </r>
  <r>
    <s v="E1027"/>
    <s v="Employee_27"/>
    <x v="4"/>
    <d v="2024-01-02T00:00:00"/>
    <x v="2"/>
    <n v="2024"/>
    <n v="1"/>
    <n v="0"/>
    <d v="1899-12-30T08:58:00"/>
    <d v="1899-12-30T19:38:00"/>
    <s v="Work From Home"/>
    <s v="Evening"/>
    <s v="Office"/>
    <n v="0"/>
  </r>
  <r>
    <s v="E1052"/>
    <s v="Employee_52"/>
    <x v="2"/>
    <d v="2024-01-17T00:00:00"/>
    <x v="2"/>
    <n v="2024"/>
    <n v="0"/>
    <n v="0"/>
    <m/>
    <m/>
    <s v="Absent"/>
    <s v="Morning"/>
    <s v="Remote"/>
    <n v="0"/>
  </r>
  <r>
    <s v="E1037"/>
    <s v="Employee_37"/>
    <x v="2"/>
    <d v="2024-02-13T00:00:00"/>
    <x v="5"/>
    <n v="2024"/>
    <n v="1"/>
    <n v="1"/>
    <d v="1899-12-30T11:33:00"/>
    <d v="1899-12-30T19:21:00"/>
    <s v="Late"/>
    <s v="Evening"/>
    <s v="Office"/>
    <n v="0"/>
  </r>
  <r>
    <s v="E1022"/>
    <s v="Employee_22"/>
    <x v="1"/>
    <d v="2024-01-15T00:00:00"/>
    <x v="2"/>
    <n v="2024"/>
    <n v="0"/>
    <n v="0"/>
    <m/>
    <m/>
    <s v="Absent"/>
    <s v="Morning"/>
    <s v="Remote"/>
    <n v="0"/>
  </r>
  <r>
    <s v="E1058"/>
    <s v="Employee_58"/>
    <x v="1"/>
    <d v="2024-03-15T00:00:00"/>
    <x v="0"/>
    <n v="2024"/>
    <n v="1"/>
    <n v="1"/>
    <d v="1899-12-30T09:01:00"/>
    <d v="1899-12-30T18:42:00"/>
    <s v="Late"/>
    <s v="Morning"/>
    <s v="Remote"/>
    <n v="0"/>
  </r>
  <r>
    <s v="E1046"/>
    <s v="Employee_46"/>
    <x v="4"/>
    <d v="2024-02-13T00:00:00"/>
    <x v="5"/>
    <n v="2024"/>
    <n v="0"/>
    <n v="0"/>
    <m/>
    <m/>
    <s v="Absent"/>
    <s v="Evening"/>
    <s v="Remote"/>
    <n v="0"/>
  </r>
  <r>
    <s v="E1051"/>
    <s v="Employee_51"/>
    <x v="2"/>
    <d v="2024-04-02T00:00:00"/>
    <x v="10"/>
    <n v="2024"/>
    <n v="1"/>
    <n v="0"/>
    <d v="1899-12-30T11:46:00"/>
    <d v="1899-12-30T19:33:00"/>
    <s v="Work From Home"/>
    <s v="Morning"/>
    <s v="Office"/>
    <n v="0"/>
  </r>
  <r>
    <s v="E1046"/>
    <s v="Employee_46"/>
    <x v="2"/>
    <d v="2024-02-13T00:00:00"/>
    <x v="5"/>
    <n v="2024"/>
    <n v="1"/>
    <n v="0"/>
    <d v="1899-12-30T09:28:00"/>
    <d v="1899-12-30T20:48:00"/>
    <s v="Present"/>
    <s v="Evening"/>
    <s v="Remote"/>
    <n v="0"/>
  </r>
  <r>
    <s v="E1006"/>
    <s v="Employee_6"/>
    <x v="2"/>
    <d v="2024-01-03T00:00:00"/>
    <x v="2"/>
    <n v="2024"/>
    <n v="1"/>
    <n v="0"/>
    <d v="1899-12-30T10:18:00"/>
    <d v="1899-12-30T19:57:00"/>
    <s v="Work From Home"/>
    <s v="Morning"/>
    <s v="Remote"/>
    <n v="0"/>
  </r>
  <r>
    <s v="E1010"/>
    <s v="Employee_10"/>
    <x v="1"/>
    <d v="2024-01-01T00:00:00"/>
    <x v="2"/>
    <n v="2024"/>
    <n v="1"/>
    <n v="0"/>
    <d v="1899-12-30T11:15:00"/>
    <d v="1899-12-30T18:29:00"/>
    <s v="Present"/>
    <s v="Evening"/>
    <s v="Office"/>
    <n v="0"/>
  </r>
  <r>
    <s v="E1041"/>
    <s v="Employee_41"/>
    <x v="2"/>
    <d v="2024-02-26T00:00:00"/>
    <x v="5"/>
    <n v="2024"/>
    <n v="1"/>
    <n v="0"/>
    <d v="1899-12-30T09:05:00"/>
    <d v="1899-12-30T16:46:00"/>
    <s v="Present"/>
    <s v="Morning"/>
    <s v="Office"/>
    <n v="0"/>
  </r>
  <r>
    <s v="E1039"/>
    <s v="Employee_39"/>
    <x v="0"/>
    <d v="2024-01-21T00:00:00"/>
    <x v="2"/>
    <n v="2024"/>
    <n v="1"/>
    <n v="0"/>
    <d v="1899-12-30T08:10:00"/>
    <d v="1899-12-30T19:44:00"/>
    <s v="Work From Home"/>
    <s v="Evening"/>
    <s v="Remote"/>
    <n v="0"/>
  </r>
  <r>
    <s v="E1017"/>
    <s v="Employee_17"/>
    <x v="1"/>
    <d v="2024-02-04T00:00:00"/>
    <x v="5"/>
    <n v="2024"/>
    <n v="1"/>
    <n v="0"/>
    <d v="1899-12-30T08:42:00"/>
    <d v="1899-12-30T20:35:00"/>
    <s v="Work From Home"/>
    <s v="Morning"/>
    <s v="Office"/>
    <n v="0"/>
  </r>
  <r>
    <s v="E1052"/>
    <s v="Employee_52"/>
    <x v="0"/>
    <d v="2024-07-01T00:00:00"/>
    <x v="4"/>
    <n v="2024"/>
    <n v="0"/>
    <n v="0"/>
    <m/>
    <m/>
    <s v="Absent"/>
    <s v="Morning"/>
    <s v="Remote"/>
    <n v="0"/>
  </r>
  <r>
    <s v="E1020"/>
    <s v="Employee_20"/>
    <x v="2"/>
    <d v="2024-01-27T00:00:00"/>
    <x v="2"/>
    <n v="2024"/>
    <n v="1"/>
    <n v="0"/>
    <d v="1899-12-30T09:34:00"/>
    <d v="1899-12-30T17:39:00"/>
    <s v="Present"/>
    <s v="Morning"/>
    <s v="Office"/>
    <n v="0"/>
  </r>
  <r>
    <s v="E1054"/>
    <s v="Employee_54"/>
    <x v="4"/>
    <d v="2024-03-14T00:00:00"/>
    <x v="0"/>
    <n v="2024"/>
    <n v="1"/>
    <n v="0"/>
    <d v="1899-12-30T11:08:00"/>
    <d v="1899-12-30T17:46:00"/>
    <s v="Work From Home"/>
    <s v="Evening"/>
    <s v="Remote"/>
    <n v="0"/>
  </r>
  <r>
    <s v="E1059"/>
    <s v="Employee_59"/>
    <x v="2"/>
    <d v="2024-02-29T00:00:00"/>
    <x v="5"/>
    <n v="2024"/>
    <n v="0"/>
    <n v="0"/>
    <m/>
    <m/>
    <s v="Absent"/>
    <s v="Evening"/>
    <s v="Remote"/>
    <n v="0"/>
  </r>
  <r>
    <s v="E1023"/>
    <s v="Employee_23"/>
    <x v="1"/>
    <d v="2024-09-01T00:00:00"/>
    <x v="3"/>
    <n v="2024"/>
    <n v="1"/>
    <n v="0"/>
    <d v="1899-12-30T10:19:00"/>
    <d v="1899-12-30T20:07:00"/>
    <s v="Present"/>
    <s v="Evening"/>
    <s v="Office"/>
    <n v="0"/>
  </r>
  <r>
    <s v="E1024"/>
    <s v="Employee_24"/>
    <x v="3"/>
    <d v="2024-03-14T00:00:00"/>
    <x v="0"/>
    <n v="2024"/>
    <n v="1"/>
    <n v="1"/>
    <d v="1899-12-30T09:56:00"/>
    <d v="1899-12-30T16:32:00"/>
    <s v="Late"/>
    <s v="Morning"/>
    <s v="Remote"/>
    <n v="0"/>
  </r>
  <r>
    <s v="E1015"/>
    <s v="Employee_15"/>
    <x v="0"/>
    <d v="2024-01-23T00:00:00"/>
    <x v="2"/>
    <n v="2024"/>
    <n v="1"/>
    <n v="1"/>
    <d v="1899-12-30T09:53:00"/>
    <d v="1899-12-30T18:17:00"/>
    <s v="Late"/>
    <s v="Morning"/>
    <s v="Remote"/>
    <n v="0"/>
  </r>
  <r>
    <s v="E1011"/>
    <s v="Employee_11"/>
    <x v="3"/>
    <d v="2024-03-11T00:00:00"/>
    <x v="0"/>
    <n v="2024"/>
    <n v="0"/>
    <n v="0"/>
    <m/>
    <m/>
    <s v="Absent"/>
    <s v="Evening"/>
    <s v="Remote"/>
    <n v="0"/>
  </r>
  <r>
    <s v="E1058"/>
    <s v="Employee_58"/>
    <x v="3"/>
    <d v="2024-03-20T00:00:00"/>
    <x v="0"/>
    <n v="2024"/>
    <n v="1"/>
    <n v="0"/>
    <d v="1899-12-30T08:25:00"/>
    <d v="1899-12-30T17:00:00"/>
    <s v="Present"/>
    <s v="Evening"/>
    <s v="Office"/>
    <n v="0"/>
  </r>
  <r>
    <s v="E1020"/>
    <s v="Employee_20"/>
    <x v="1"/>
    <d v="2024-03-07T00:00:00"/>
    <x v="0"/>
    <n v="2024"/>
    <n v="1"/>
    <n v="0"/>
    <d v="1899-12-30T08:17:00"/>
    <d v="1899-12-30T18:57:00"/>
    <s v="Present"/>
    <s v="Morning"/>
    <s v="Remote"/>
    <n v="0"/>
  </r>
  <r>
    <s v="E1037"/>
    <s v="Employee_37"/>
    <x v="0"/>
    <d v="2024-03-22T00:00:00"/>
    <x v="0"/>
    <n v="2024"/>
    <n v="1"/>
    <n v="0"/>
    <d v="1899-12-30T08:22:00"/>
    <d v="1899-12-30T20:39:00"/>
    <s v="Present"/>
    <s v="Morning"/>
    <s v="Office"/>
    <n v="0"/>
  </r>
  <r>
    <s v="E1021"/>
    <s v="Employee_21"/>
    <x v="3"/>
    <d v="2024-02-15T00:00:00"/>
    <x v="5"/>
    <n v="2024"/>
    <n v="1"/>
    <n v="0"/>
    <d v="1899-12-30T08:00:00"/>
    <d v="1899-12-30T18:12:00"/>
    <s v="Present"/>
    <s v="Evening"/>
    <s v="Remote"/>
    <n v="0"/>
  </r>
  <r>
    <s v="E1006"/>
    <s v="Employee_6"/>
    <x v="0"/>
    <d v="2024-02-28T00:00:00"/>
    <x v="5"/>
    <n v="2024"/>
    <n v="0"/>
    <n v="0"/>
    <m/>
    <m/>
    <s v="Absent"/>
    <s v="Morning"/>
    <s v="Remote"/>
    <n v="0"/>
  </r>
  <r>
    <s v="E1035"/>
    <s v="Employee_35"/>
    <x v="4"/>
    <d v="2024-02-25T00:00:00"/>
    <x v="5"/>
    <n v="2024"/>
    <n v="1"/>
    <n v="0"/>
    <d v="1899-12-30T09:23:00"/>
    <d v="1899-12-30T20:37:00"/>
    <s v="Present"/>
    <s v="Evening"/>
    <s v="Remote"/>
    <n v="0"/>
  </r>
  <r>
    <s v="E1015"/>
    <s v="Employee_15"/>
    <x v="0"/>
    <d v="2024-09-03T00:00:00"/>
    <x v="3"/>
    <n v="2024"/>
    <n v="1"/>
    <n v="0"/>
    <d v="1899-12-30T11:18:00"/>
    <d v="1899-12-30T20:01:00"/>
    <s v="Present"/>
    <s v="Evening"/>
    <s v="Remote"/>
    <n v="0"/>
  </r>
  <r>
    <s v="E1058"/>
    <s v="Employee_58"/>
    <x v="4"/>
    <d v="2024-01-30T00:00:00"/>
    <x v="2"/>
    <n v="2024"/>
    <n v="0"/>
    <n v="0"/>
    <m/>
    <m/>
    <s v="Absent"/>
    <s v="Morning"/>
    <s v="Office"/>
    <n v="0"/>
  </r>
  <r>
    <s v="E1051"/>
    <s v="Employee_51"/>
    <x v="3"/>
    <d v="2024-10-02T00:00:00"/>
    <x v="7"/>
    <n v="2024"/>
    <n v="1"/>
    <n v="0"/>
    <d v="1899-12-30T09:51:00"/>
    <d v="1899-12-30T19:20:00"/>
    <s v="Present"/>
    <s v="Evening"/>
    <s v="Remote"/>
    <n v="0"/>
  </r>
  <r>
    <s v="E1031"/>
    <s v="Employee_31"/>
    <x v="2"/>
    <d v="2024-01-01T00:00:00"/>
    <x v="2"/>
    <n v="2024"/>
    <n v="1"/>
    <n v="1"/>
    <d v="1899-12-30T11:04:00"/>
    <d v="1899-12-30T17:03:00"/>
    <s v="Late"/>
    <s v="Morning"/>
    <s v="Office"/>
    <n v="0"/>
  </r>
  <r>
    <s v="E1044"/>
    <s v="Employee_44"/>
    <x v="3"/>
    <d v="2024-03-25T00:00:00"/>
    <x v="0"/>
    <n v="2024"/>
    <n v="1"/>
    <n v="0"/>
    <d v="1899-12-30T10:44:00"/>
    <d v="1899-12-30T19:37:00"/>
    <s v="Work From Home"/>
    <s v="Morning"/>
    <s v="Remote"/>
    <n v="0"/>
  </r>
  <r>
    <s v="E1019"/>
    <s v="Employee_19"/>
    <x v="2"/>
    <d v="2024-01-01T00:00:00"/>
    <x v="2"/>
    <n v="2024"/>
    <n v="1"/>
    <n v="0"/>
    <d v="1899-12-30T09:49:00"/>
    <d v="1899-12-30T17:17:00"/>
    <s v="Present"/>
    <s v="Evening"/>
    <s v="Office"/>
    <n v="0"/>
  </r>
  <r>
    <s v="E1024"/>
    <s v="Employee_24"/>
    <x v="4"/>
    <d v="2024-03-13T00:00:00"/>
    <x v="0"/>
    <n v="2024"/>
    <n v="1"/>
    <n v="1"/>
    <d v="1899-12-30T08:09:00"/>
    <d v="1899-12-30T18:14:00"/>
    <s v="Late"/>
    <s v="Evening"/>
    <s v="Remote"/>
    <n v="0"/>
  </r>
  <r>
    <s v="E1046"/>
    <s v="Employee_46"/>
    <x v="3"/>
    <d v="2024-01-25T00:00:00"/>
    <x v="2"/>
    <n v="2024"/>
    <n v="1"/>
    <n v="0"/>
    <d v="1899-12-30T08:14:00"/>
    <d v="1899-12-30T20:21:00"/>
    <s v="Present"/>
    <s v="Evening"/>
    <s v="Office"/>
    <n v="0"/>
  </r>
  <r>
    <s v="E1054"/>
    <s v="Employee_54"/>
    <x v="4"/>
    <d v="2024-02-28T00:00:00"/>
    <x v="5"/>
    <n v="2024"/>
    <n v="1"/>
    <n v="0"/>
    <d v="1899-12-30T10:28:00"/>
    <d v="1899-12-30T18:36:00"/>
    <s v="Work From Home"/>
    <s v="Evening"/>
    <s v="Office"/>
    <n v="0"/>
  </r>
  <r>
    <s v="E1020"/>
    <s v="Employee_20"/>
    <x v="2"/>
    <d v="2024-02-05T00:00:00"/>
    <x v="5"/>
    <n v="2024"/>
    <n v="1"/>
    <n v="0"/>
    <d v="1899-12-30T11:24:00"/>
    <d v="1899-12-30T16:32:00"/>
    <s v="Present"/>
    <s v="Morning"/>
    <s v="Office"/>
    <n v="0"/>
  </r>
  <r>
    <s v="E1012"/>
    <s v="Employee_12"/>
    <x v="4"/>
    <d v="2024-03-24T00:00:00"/>
    <x v="0"/>
    <n v="2024"/>
    <n v="0"/>
    <n v="0"/>
    <m/>
    <m/>
    <s v="Absent"/>
    <s v="Morning"/>
    <s v="Office"/>
    <n v="0"/>
  </r>
  <r>
    <s v="E1013"/>
    <s v="Employee_13"/>
    <x v="3"/>
    <d v="2024-11-01T00:00:00"/>
    <x v="1"/>
    <n v="2024"/>
    <n v="1"/>
    <n v="0"/>
    <d v="1899-12-30T11:33:00"/>
    <d v="1899-12-30T18:15:00"/>
    <s v="Present"/>
    <s v="Morning"/>
    <s v="Office"/>
    <n v="0"/>
  </r>
  <r>
    <s v="E1018"/>
    <s v="Employee_18"/>
    <x v="1"/>
    <d v="2024-03-20T00:00:00"/>
    <x v="0"/>
    <n v="2024"/>
    <n v="0"/>
    <n v="0"/>
    <m/>
    <m/>
    <s v="Absent"/>
    <s v="Evening"/>
    <s v="Remote"/>
    <n v="0"/>
  </r>
  <r>
    <s v="E1039"/>
    <s v="Employee_39"/>
    <x v="0"/>
    <d v="2024-03-23T00:00:00"/>
    <x v="0"/>
    <n v="2024"/>
    <n v="1"/>
    <n v="0"/>
    <d v="1899-12-30T08:51:00"/>
    <d v="1899-12-30T16:54:00"/>
    <s v="Present"/>
    <s v="Evening"/>
    <s v="Office"/>
    <n v="0"/>
  </r>
  <r>
    <s v="E1058"/>
    <s v="Employee_58"/>
    <x v="3"/>
    <d v="2024-02-14T00:00:00"/>
    <x v="5"/>
    <n v="2024"/>
    <n v="0"/>
    <n v="0"/>
    <m/>
    <m/>
    <s v="Absent"/>
    <s v="Evening"/>
    <s v="Remote"/>
    <n v="0"/>
  </r>
  <r>
    <s v="E1056"/>
    <s v="Employee_56"/>
    <x v="4"/>
    <d v="2024-02-15T00:00:00"/>
    <x v="5"/>
    <n v="2024"/>
    <n v="1"/>
    <n v="0"/>
    <d v="1899-12-30T11:57:00"/>
    <d v="1899-12-30T16:56:00"/>
    <s v="Present"/>
    <s v="Evening"/>
    <s v="Office"/>
    <n v="0"/>
  </r>
  <r>
    <s v="E1045"/>
    <s v="Employee_45"/>
    <x v="2"/>
    <d v="2024-03-14T00:00:00"/>
    <x v="0"/>
    <n v="2024"/>
    <n v="1"/>
    <n v="1"/>
    <d v="1899-12-30T09:09:00"/>
    <d v="1899-12-30T20:47:00"/>
    <s v="Late"/>
    <s v="Evening"/>
    <s v="Remote"/>
    <n v="0"/>
  </r>
  <r>
    <s v="E1028"/>
    <s v="Employee_28"/>
    <x v="3"/>
    <d v="2024-12-03T00:00:00"/>
    <x v="8"/>
    <n v="2024"/>
    <n v="0"/>
    <n v="0"/>
    <m/>
    <m/>
    <s v="Absent"/>
    <s v="Evening"/>
    <s v="Remote"/>
    <n v="0"/>
  </r>
  <r>
    <s v="E1041"/>
    <s v="Employee_41"/>
    <x v="1"/>
    <d v="2024-01-29T00:00:00"/>
    <x v="2"/>
    <n v="2024"/>
    <n v="1"/>
    <n v="1"/>
    <d v="1899-12-30T09:45:00"/>
    <d v="1899-12-30T20:58:00"/>
    <s v="Late"/>
    <s v="Morning"/>
    <s v="Office"/>
    <n v="0"/>
  </r>
  <r>
    <s v="E1039"/>
    <s v="Employee_39"/>
    <x v="3"/>
    <d v="2024-01-17T00:00:00"/>
    <x v="2"/>
    <n v="2024"/>
    <n v="0"/>
    <n v="0"/>
    <m/>
    <m/>
    <s v="Absent"/>
    <s v="Morning"/>
    <s v="Office"/>
    <n v="0"/>
  </r>
  <r>
    <s v="E1018"/>
    <s v="Employee_18"/>
    <x v="4"/>
    <d v="2024-02-17T00:00:00"/>
    <x v="5"/>
    <n v="2024"/>
    <n v="0"/>
    <n v="0"/>
    <m/>
    <m/>
    <s v="Absent"/>
    <s v="Morning"/>
    <s v="Remote"/>
    <n v="0"/>
  </r>
  <r>
    <s v="E1003"/>
    <s v="Employee_3"/>
    <x v="3"/>
    <d v="2024-01-19T00:00:00"/>
    <x v="2"/>
    <n v="2024"/>
    <n v="0"/>
    <n v="0"/>
    <m/>
    <m/>
    <s v="Absent"/>
    <s v="Morning"/>
    <s v="Office"/>
    <n v="0"/>
  </r>
  <r>
    <s v="E1038"/>
    <s v="Employee_38"/>
    <x v="3"/>
    <d v="2024-07-03T00:00:00"/>
    <x v="4"/>
    <n v="2024"/>
    <n v="0"/>
    <n v="0"/>
    <m/>
    <m/>
    <s v="Absent"/>
    <s v="Morning"/>
    <s v="Remote"/>
    <n v="0"/>
  </r>
  <r>
    <s v="E1053"/>
    <s v="Employee_53"/>
    <x v="3"/>
    <d v="2024-08-01T00:00:00"/>
    <x v="9"/>
    <n v="2024"/>
    <n v="0"/>
    <n v="0"/>
    <m/>
    <m/>
    <s v="Absent"/>
    <s v="Morning"/>
    <s v="Remote"/>
    <n v="0"/>
  </r>
  <r>
    <s v="E1014"/>
    <s v="Employee_14"/>
    <x v="4"/>
    <d v="2024-07-03T00:00:00"/>
    <x v="4"/>
    <n v="2024"/>
    <n v="0"/>
    <n v="0"/>
    <m/>
    <m/>
    <s v="Absent"/>
    <s v="Evening"/>
    <s v="Remote"/>
    <n v="0"/>
  </r>
  <r>
    <s v="E1027"/>
    <s v="Employee_27"/>
    <x v="4"/>
    <d v="2024-02-29T00:00:00"/>
    <x v="5"/>
    <n v="2024"/>
    <n v="0"/>
    <n v="0"/>
    <m/>
    <m/>
    <s v="Absent"/>
    <s v="Morning"/>
    <s v="Remote"/>
    <n v="0"/>
  </r>
  <r>
    <s v="E1002"/>
    <s v="Employee_2"/>
    <x v="2"/>
    <d v="2024-02-17T00:00:00"/>
    <x v="5"/>
    <n v="2024"/>
    <n v="1"/>
    <n v="0"/>
    <d v="1899-12-30T08:15:00"/>
    <d v="1899-12-30T16:38:00"/>
    <s v="Work From Home"/>
    <s v="Evening"/>
    <s v="Office"/>
    <n v="0"/>
  </r>
  <r>
    <s v="E1019"/>
    <s v="Employee_19"/>
    <x v="3"/>
    <d v="2024-07-03T00:00:00"/>
    <x v="4"/>
    <n v="2024"/>
    <n v="1"/>
    <n v="0"/>
    <d v="1899-12-30T10:12:00"/>
    <d v="1899-12-30T18:08:00"/>
    <s v="Work From Home"/>
    <s v="Evening"/>
    <s v="Remote"/>
    <n v="0"/>
  </r>
  <r>
    <s v="E1010"/>
    <s v="Employee_10"/>
    <x v="1"/>
    <d v="2024-03-28T00:00:00"/>
    <x v="0"/>
    <n v="2024"/>
    <n v="0"/>
    <n v="0"/>
    <m/>
    <m/>
    <s v="Absent"/>
    <s v="Morning"/>
    <s v="Remote"/>
    <n v="0"/>
  </r>
  <r>
    <s v="E1017"/>
    <s v="Employee_17"/>
    <x v="4"/>
    <d v="2024-08-01T00:00:00"/>
    <x v="9"/>
    <n v="2024"/>
    <n v="1"/>
    <n v="1"/>
    <d v="1899-12-30T08:03:00"/>
    <d v="1899-12-30T16:13:00"/>
    <s v="Late"/>
    <s v="Evening"/>
    <s v="Remote"/>
    <n v="0"/>
  </r>
  <r>
    <s v="E1017"/>
    <s v="Employee_17"/>
    <x v="3"/>
    <d v="2024-02-18T00:00:00"/>
    <x v="5"/>
    <n v="2024"/>
    <n v="1"/>
    <n v="1"/>
    <d v="1899-12-30T09:37:00"/>
    <d v="1899-12-30T17:33:00"/>
    <s v="Late"/>
    <s v="Evening"/>
    <s v="Remote"/>
    <n v="0"/>
  </r>
  <r>
    <s v="E1058"/>
    <s v="Employee_58"/>
    <x v="2"/>
    <d v="2024-03-04T00:00:00"/>
    <x v="0"/>
    <n v="2024"/>
    <n v="1"/>
    <n v="0"/>
    <d v="1899-12-30T08:40:00"/>
    <d v="1899-12-30T17:29:00"/>
    <s v="Present"/>
    <s v="Morning"/>
    <s v="Office"/>
    <n v="0"/>
  </r>
  <r>
    <s v="E1054"/>
    <s v="Employee_54"/>
    <x v="4"/>
    <d v="2024-03-27T00:00:00"/>
    <x v="0"/>
    <n v="2024"/>
    <n v="1"/>
    <n v="0"/>
    <d v="1899-12-30T10:25:00"/>
    <d v="1899-12-30T17:50:00"/>
    <s v="Present"/>
    <s v="Morning"/>
    <s v="Remote"/>
    <n v="0"/>
  </r>
  <r>
    <s v="E1046"/>
    <s v="Employee_46"/>
    <x v="1"/>
    <d v="2024-03-30T00:00:00"/>
    <x v="0"/>
    <n v="2024"/>
    <n v="1"/>
    <n v="0"/>
    <d v="1899-12-30T10:19:00"/>
    <d v="1899-12-30T19:02:00"/>
    <s v="Present"/>
    <s v="Evening"/>
    <s v="Remote"/>
    <n v="0"/>
  </r>
  <r>
    <s v="E1032"/>
    <s v="Employee_32"/>
    <x v="0"/>
    <d v="2024-11-01T00:00:00"/>
    <x v="1"/>
    <n v="2024"/>
    <n v="1"/>
    <n v="0"/>
    <d v="1899-12-30T08:28:00"/>
    <d v="1899-12-30T17:35:00"/>
    <s v="Present"/>
    <s v="Evening"/>
    <s v="Remote"/>
    <n v="0"/>
  </r>
  <r>
    <s v="E1052"/>
    <s v="Employee_52"/>
    <x v="3"/>
    <d v="2024-02-03T00:00:00"/>
    <x v="5"/>
    <n v="2024"/>
    <n v="1"/>
    <n v="1"/>
    <d v="1899-12-30T09:11:00"/>
    <d v="1899-12-30T19:46:00"/>
    <s v="Late"/>
    <s v="Morning"/>
    <s v="Office"/>
    <n v="0"/>
  </r>
  <r>
    <s v="E1016"/>
    <s v="Employee_16"/>
    <x v="2"/>
    <d v="2024-01-13T00:00:00"/>
    <x v="2"/>
    <n v="2024"/>
    <n v="1"/>
    <n v="1"/>
    <d v="1899-12-30T10:02:00"/>
    <d v="1899-12-30T18:19:00"/>
    <s v="Late"/>
    <s v="Evening"/>
    <s v="Remote"/>
    <n v="0"/>
  </r>
  <r>
    <s v="E1059"/>
    <s v="Employee_59"/>
    <x v="0"/>
    <d v="2024-12-02T00:00:00"/>
    <x v="8"/>
    <n v="2024"/>
    <n v="1"/>
    <n v="1"/>
    <d v="1899-12-30T09:17:00"/>
    <d v="1899-12-30T19:19:00"/>
    <s v="Late"/>
    <s v="Evening"/>
    <s v="Remote"/>
    <n v="0"/>
  </r>
  <r>
    <s v="E1034"/>
    <s v="Employee_34"/>
    <x v="3"/>
    <d v="2024-02-25T00:00:00"/>
    <x v="5"/>
    <n v="2024"/>
    <n v="1"/>
    <n v="0"/>
    <d v="1899-12-30T09:21:00"/>
    <d v="1899-12-30T19:37:00"/>
    <s v="Present"/>
    <s v="Morning"/>
    <s v="Office"/>
    <n v="0"/>
  </r>
  <r>
    <s v="E1039"/>
    <s v="Employee_39"/>
    <x v="3"/>
    <d v="2024-03-30T00:00:00"/>
    <x v="0"/>
    <n v="2024"/>
    <n v="1"/>
    <n v="0"/>
    <d v="1899-12-30T10:24:00"/>
    <d v="1899-12-30T19:22:00"/>
    <s v="Present"/>
    <s v="Evening"/>
    <s v="Remote"/>
    <n v="0"/>
  </r>
  <r>
    <s v="E1028"/>
    <s v="Employee_28"/>
    <x v="0"/>
    <d v="2024-01-27T00:00:00"/>
    <x v="2"/>
    <n v="2024"/>
    <n v="1"/>
    <n v="1"/>
    <d v="1899-12-30T09:50:00"/>
    <d v="1899-12-30T16:55:00"/>
    <s v="Late"/>
    <s v="Morning"/>
    <s v="Office"/>
    <n v="0"/>
  </r>
  <r>
    <s v="E1016"/>
    <s v="Employee_16"/>
    <x v="4"/>
    <d v="2024-04-01T00:00:00"/>
    <x v="10"/>
    <n v="2024"/>
    <n v="1"/>
    <n v="1"/>
    <d v="1899-12-30T09:43:00"/>
    <d v="1899-12-30T19:47:00"/>
    <s v="Late"/>
    <s v="Evening"/>
    <s v="Office"/>
    <n v="0"/>
  </r>
  <r>
    <s v="E1020"/>
    <s v="Employee_20"/>
    <x v="1"/>
    <d v="2024-05-02T00:00:00"/>
    <x v="6"/>
    <n v="2024"/>
    <n v="1"/>
    <n v="0"/>
    <d v="1899-12-30T11:32:00"/>
    <d v="1899-12-30T16:06:00"/>
    <s v="Work From Home"/>
    <s v="Evening"/>
    <s v="Remote"/>
    <n v="0"/>
  </r>
  <r>
    <s v="E1043"/>
    <s v="Employee_43"/>
    <x v="1"/>
    <d v="2024-01-14T00:00:00"/>
    <x v="2"/>
    <n v="2024"/>
    <n v="1"/>
    <n v="0"/>
    <d v="1899-12-30T08:17:00"/>
    <d v="1899-12-30T16:47:00"/>
    <s v="Work From Home"/>
    <s v="Morning"/>
    <s v="Office"/>
    <n v="0"/>
  </r>
  <r>
    <s v="E1048"/>
    <s v="Employee_48"/>
    <x v="4"/>
    <d v="2024-03-23T00:00:00"/>
    <x v="0"/>
    <n v="2024"/>
    <n v="0"/>
    <n v="0"/>
    <m/>
    <m/>
    <s v="Absent"/>
    <s v="Evening"/>
    <s v="Remote"/>
    <n v="0"/>
  </r>
  <r>
    <s v="E1006"/>
    <s v="Employee_6"/>
    <x v="3"/>
    <d v="2024-03-10T00:00:00"/>
    <x v="0"/>
    <n v="2024"/>
    <n v="1"/>
    <n v="1"/>
    <d v="1899-12-30T09:12:00"/>
    <d v="1899-12-30T20:26:00"/>
    <s v="Late"/>
    <s v="Morning"/>
    <s v="Office"/>
    <n v="0"/>
  </r>
  <r>
    <s v="E1056"/>
    <s v="Employee_56"/>
    <x v="0"/>
    <d v="2024-03-05T00:00:00"/>
    <x v="0"/>
    <n v="2024"/>
    <n v="1"/>
    <n v="1"/>
    <d v="1899-12-30T11:15:00"/>
    <d v="1899-12-30T17:22:00"/>
    <s v="Late"/>
    <s v="Morning"/>
    <s v="Remote"/>
    <n v="0"/>
  </r>
  <r>
    <s v="E1005"/>
    <s v="Employee_5"/>
    <x v="1"/>
    <d v="2024-02-26T00:00:00"/>
    <x v="5"/>
    <n v="2024"/>
    <n v="1"/>
    <n v="1"/>
    <d v="1899-12-30T09:58:00"/>
    <d v="1899-12-30T17:02:00"/>
    <s v="Late"/>
    <s v="Morning"/>
    <s v="Remote"/>
    <n v="0"/>
  </r>
  <r>
    <s v="E1003"/>
    <s v="Employee_3"/>
    <x v="3"/>
    <d v="2024-01-13T00:00:00"/>
    <x v="2"/>
    <n v="2024"/>
    <n v="1"/>
    <n v="0"/>
    <d v="1899-12-30T09:00:00"/>
    <d v="1899-12-30T20:05:00"/>
    <s v="Present"/>
    <s v="Morning"/>
    <s v="Office"/>
    <n v="0"/>
  </r>
  <r>
    <s v="E1019"/>
    <s v="Employee_19"/>
    <x v="1"/>
    <d v="2024-05-01T00:00:00"/>
    <x v="6"/>
    <n v="2024"/>
    <n v="0"/>
    <n v="0"/>
    <m/>
    <m/>
    <s v="Absent"/>
    <s v="Evening"/>
    <s v="Remote"/>
    <n v="0"/>
  </r>
  <r>
    <s v="E1004"/>
    <s v="Employee_4"/>
    <x v="1"/>
    <d v="2024-01-19T00:00:00"/>
    <x v="2"/>
    <n v="2024"/>
    <n v="1"/>
    <n v="1"/>
    <d v="1899-12-30T08:15:00"/>
    <d v="1899-12-30T18:29:00"/>
    <s v="Late"/>
    <s v="Morning"/>
    <s v="Remote"/>
    <n v="0"/>
  </r>
  <r>
    <s v="E1059"/>
    <s v="Employee_59"/>
    <x v="3"/>
    <d v="2024-03-03T00:00:00"/>
    <x v="0"/>
    <n v="2024"/>
    <n v="1"/>
    <n v="1"/>
    <d v="1899-12-30T08:35:00"/>
    <d v="1899-12-30T19:11:00"/>
    <s v="Late"/>
    <s v="Evening"/>
    <s v="Office"/>
    <n v="0"/>
  </r>
  <r>
    <s v="E1045"/>
    <s v="Employee_45"/>
    <x v="1"/>
    <d v="2024-02-08T00:00:00"/>
    <x v="5"/>
    <n v="2024"/>
    <n v="1"/>
    <n v="0"/>
    <d v="1899-12-30T08:51:00"/>
    <d v="1899-12-30T16:10:00"/>
    <s v="Work From Home"/>
    <s v="Evening"/>
    <s v="Remote"/>
    <n v="0"/>
  </r>
  <r>
    <s v="E1021"/>
    <s v="Employee_21"/>
    <x v="1"/>
    <d v="2024-03-28T00:00:00"/>
    <x v="0"/>
    <n v="2024"/>
    <n v="1"/>
    <n v="0"/>
    <d v="1899-12-30T10:54:00"/>
    <d v="1899-12-30T17:38:00"/>
    <s v="Present"/>
    <s v="Evening"/>
    <s v="Remote"/>
    <n v="0"/>
  </r>
  <r>
    <s v="E1016"/>
    <s v="Employee_16"/>
    <x v="0"/>
    <d v="2024-02-03T00:00:00"/>
    <x v="5"/>
    <n v="2024"/>
    <n v="1"/>
    <n v="1"/>
    <d v="1899-12-30T10:27:00"/>
    <d v="1899-12-30T19:21:00"/>
    <s v="Late"/>
    <s v="Evening"/>
    <s v="Office"/>
    <n v="0"/>
  </r>
  <r>
    <s v="E1002"/>
    <s v="Employee_2"/>
    <x v="1"/>
    <d v="2024-01-28T00:00:00"/>
    <x v="2"/>
    <n v="2024"/>
    <n v="1"/>
    <n v="1"/>
    <d v="1899-12-30T11:08:00"/>
    <d v="1899-12-30T16:23:00"/>
    <s v="Late"/>
    <s v="Evening"/>
    <s v="Office"/>
    <n v="0"/>
  </r>
  <r>
    <s v="E1055"/>
    <s v="Employee_55"/>
    <x v="2"/>
    <d v="2024-02-14T00:00:00"/>
    <x v="5"/>
    <n v="2024"/>
    <n v="1"/>
    <n v="0"/>
    <d v="1899-12-30T08:22:00"/>
    <d v="1899-12-30T17:57:00"/>
    <s v="Present"/>
    <s v="Evening"/>
    <s v="Remote"/>
    <n v="0"/>
  </r>
  <r>
    <s v="E1056"/>
    <s v="Employee_56"/>
    <x v="1"/>
    <d v="2024-02-28T00:00:00"/>
    <x v="5"/>
    <n v="2024"/>
    <n v="1"/>
    <n v="1"/>
    <d v="1899-12-30T10:43:00"/>
    <d v="1899-12-30T16:22:00"/>
    <s v="Late"/>
    <s v="Morning"/>
    <s v="Remote"/>
    <n v="0"/>
  </r>
  <r>
    <s v="E1041"/>
    <s v="Employee_41"/>
    <x v="0"/>
    <d v="2024-03-17T00:00:00"/>
    <x v="0"/>
    <n v="2024"/>
    <n v="1"/>
    <n v="1"/>
    <d v="1899-12-30T11:23:00"/>
    <d v="1899-12-30T17:35:00"/>
    <s v="Late"/>
    <s v="Evening"/>
    <s v="Office"/>
    <n v="0"/>
  </r>
  <r>
    <s v="E1043"/>
    <s v="Employee_43"/>
    <x v="1"/>
    <d v="2024-01-05T00:00:00"/>
    <x v="2"/>
    <n v="2024"/>
    <n v="1"/>
    <n v="0"/>
    <d v="1899-12-30T09:20:00"/>
    <d v="1899-12-30T19:30:00"/>
    <s v="Present"/>
    <s v="Morning"/>
    <s v="Remote"/>
    <n v="0"/>
  </r>
  <r>
    <s v="E1017"/>
    <s v="Employee_17"/>
    <x v="3"/>
    <d v="2024-07-02T00:00:00"/>
    <x v="4"/>
    <n v="2024"/>
    <n v="1"/>
    <n v="1"/>
    <d v="1899-12-30T10:53:00"/>
    <d v="1899-12-30T18:10:00"/>
    <s v="Late"/>
    <s v="Morning"/>
    <s v="Remote"/>
    <n v="0"/>
  </r>
  <r>
    <s v="E1028"/>
    <s v="Employee_28"/>
    <x v="1"/>
    <d v="2024-03-22T00:00:00"/>
    <x v="0"/>
    <n v="2024"/>
    <n v="1"/>
    <n v="0"/>
    <d v="1899-12-30T09:42:00"/>
    <d v="1899-12-30T16:06:00"/>
    <s v="Work From Home"/>
    <s v="Morning"/>
    <s v="Remote"/>
    <n v="0"/>
  </r>
  <r>
    <s v="E1003"/>
    <s v="Employee_3"/>
    <x v="0"/>
    <d v="2024-02-04T00:00:00"/>
    <x v="5"/>
    <n v="2024"/>
    <n v="0"/>
    <n v="0"/>
    <m/>
    <m/>
    <s v="Absent"/>
    <s v="Morning"/>
    <s v="Remote"/>
    <n v="0"/>
  </r>
  <r>
    <s v="E1018"/>
    <s v="Employee_18"/>
    <x v="1"/>
    <d v="2024-02-25T00:00:00"/>
    <x v="5"/>
    <n v="2024"/>
    <n v="1"/>
    <n v="1"/>
    <d v="1899-12-30T08:05:00"/>
    <d v="1899-12-30T16:26:00"/>
    <s v="Late"/>
    <s v="Evening"/>
    <s v="Office"/>
    <n v="0"/>
  </r>
  <r>
    <s v="E1057"/>
    <s v="Employee_57"/>
    <x v="3"/>
    <d v="2024-03-16T00:00:00"/>
    <x v="0"/>
    <n v="2024"/>
    <n v="1"/>
    <n v="1"/>
    <d v="1899-12-30T11:27:00"/>
    <d v="1899-12-30T17:31:00"/>
    <s v="Late"/>
    <s v="Evening"/>
    <s v="Remote"/>
    <n v="0"/>
  </r>
  <r>
    <s v="E1034"/>
    <s v="Employee_34"/>
    <x v="1"/>
    <d v="2024-03-08T00:00:00"/>
    <x v="0"/>
    <n v="2024"/>
    <n v="0"/>
    <n v="0"/>
    <m/>
    <m/>
    <s v="Absent"/>
    <s v="Morning"/>
    <s v="Office"/>
    <n v="0"/>
  </r>
  <r>
    <s v="E1022"/>
    <s v="Employee_22"/>
    <x v="0"/>
    <d v="2024-04-01T00:00:00"/>
    <x v="10"/>
    <n v="2024"/>
    <n v="1"/>
    <n v="0"/>
    <d v="1899-12-30T09:31:00"/>
    <d v="1899-12-30T16:40:00"/>
    <s v="Present"/>
    <s v="Evening"/>
    <s v="Office"/>
    <n v="0"/>
  </r>
  <r>
    <s v="E1034"/>
    <s v="Employee_34"/>
    <x v="2"/>
    <d v="2024-02-29T00:00:00"/>
    <x v="5"/>
    <n v="2024"/>
    <n v="1"/>
    <n v="1"/>
    <d v="1899-12-30T09:06:00"/>
    <d v="1899-12-30T19:03:00"/>
    <s v="Late"/>
    <s v="Morning"/>
    <s v="Office"/>
    <n v="0"/>
  </r>
  <r>
    <s v="E1011"/>
    <s v="Employee_11"/>
    <x v="3"/>
    <d v="2024-03-23T00:00:00"/>
    <x v="0"/>
    <n v="2024"/>
    <n v="1"/>
    <n v="1"/>
    <d v="1899-12-30T09:20:00"/>
    <d v="1899-12-30T17:46:00"/>
    <s v="Late"/>
    <s v="Evening"/>
    <s v="Remote"/>
    <n v="0"/>
  </r>
  <r>
    <s v="E1041"/>
    <s v="Employee_41"/>
    <x v="4"/>
    <d v="2024-12-01T00:00:00"/>
    <x v="8"/>
    <n v="2024"/>
    <n v="0"/>
    <n v="0"/>
    <m/>
    <m/>
    <s v="Absent"/>
    <s v="Morning"/>
    <s v="Office"/>
    <n v="0"/>
  </r>
  <r>
    <s v="E1028"/>
    <s v="Employee_28"/>
    <x v="0"/>
    <d v="2024-01-14T00:00:00"/>
    <x v="2"/>
    <n v="2024"/>
    <n v="1"/>
    <n v="0"/>
    <d v="1899-12-30T09:45:00"/>
    <d v="1899-12-30T20:35:00"/>
    <s v="Work From Home"/>
    <s v="Morning"/>
    <s v="Office"/>
    <n v="0"/>
  </r>
  <r>
    <s v="E1038"/>
    <s v="Employee_38"/>
    <x v="2"/>
    <d v="2024-01-17T00:00:00"/>
    <x v="2"/>
    <n v="2024"/>
    <n v="1"/>
    <n v="0"/>
    <d v="1899-12-30T09:26:00"/>
    <d v="1899-12-30T17:23:00"/>
    <s v="Present"/>
    <s v="Morning"/>
    <s v="Remote"/>
    <n v="0"/>
  </r>
  <r>
    <s v="E1042"/>
    <s v="Employee_42"/>
    <x v="3"/>
    <d v="2024-03-28T00:00:00"/>
    <x v="0"/>
    <n v="2024"/>
    <n v="1"/>
    <n v="0"/>
    <d v="1899-12-30T09:14:00"/>
    <d v="1899-12-30T18:41:00"/>
    <s v="Present"/>
    <s v="Evening"/>
    <s v="Office"/>
    <n v="0"/>
  </r>
  <r>
    <s v="E1041"/>
    <s v="Employee_41"/>
    <x v="3"/>
    <d v="2024-05-01T00:00:00"/>
    <x v="6"/>
    <n v="2024"/>
    <n v="1"/>
    <n v="1"/>
    <d v="1899-12-30T11:00:00"/>
    <d v="1899-12-30T19:44:00"/>
    <s v="Late"/>
    <s v="Morning"/>
    <s v="Office"/>
    <n v="0"/>
  </r>
  <r>
    <s v="E1038"/>
    <s v="Employee_38"/>
    <x v="0"/>
    <d v="2024-03-16T00:00:00"/>
    <x v="0"/>
    <n v="2024"/>
    <n v="1"/>
    <n v="1"/>
    <d v="1899-12-30T08:41:00"/>
    <d v="1899-12-30T18:49:00"/>
    <s v="Late"/>
    <s v="Evening"/>
    <s v="Remote"/>
    <n v="0"/>
  </r>
  <r>
    <s v="E1052"/>
    <s v="Employee_52"/>
    <x v="2"/>
    <d v="2024-02-17T00:00:00"/>
    <x v="5"/>
    <n v="2024"/>
    <n v="1"/>
    <n v="0"/>
    <d v="1899-12-30T10:27:00"/>
    <d v="1899-12-30T17:17:00"/>
    <s v="Work From Home"/>
    <s v="Morning"/>
    <s v="Remote"/>
    <n v="0"/>
  </r>
  <r>
    <s v="E1038"/>
    <s v="Employee_38"/>
    <x v="4"/>
    <d v="2024-01-29T00:00:00"/>
    <x v="2"/>
    <n v="2024"/>
    <n v="1"/>
    <n v="0"/>
    <d v="1899-12-30T09:54:00"/>
    <d v="1899-12-30T20:54:00"/>
    <s v="Present"/>
    <s v="Evening"/>
    <s v="Office"/>
    <n v="0"/>
  </r>
  <r>
    <s v="E1041"/>
    <s v="Employee_41"/>
    <x v="4"/>
    <d v="2024-03-27T00:00:00"/>
    <x v="0"/>
    <n v="2024"/>
    <n v="0"/>
    <n v="0"/>
    <m/>
    <m/>
    <s v="Absent"/>
    <s v="Evening"/>
    <s v="Office"/>
    <n v="0"/>
  </r>
  <r>
    <s v="E1012"/>
    <s v="Employee_12"/>
    <x v="4"/>
    <d v="2024-01-19T00:00:00"/>
    <x v="2"/>
    <n v="2024"/>
    <n v="1"/>
    <n v="0"/>
    <d v="1899-12-30T08:21:00"/>
    <d v="1899-12-30T20:22:00"/>
    <s v="Work From Home"/>
    <s v="Morning"/>
    <s v="Remote"/>
    <n v="0"/>
  </r>
  <r>
    <s v="E1050"/>
    <s v="Employee_50"/>
    <x v="3"/>
    <d v="2024-01-28T00:00:00"/>
    <x v="2"/>
    <n v="2024"/>
    <n v="1"/>
    <n v="0"/>
    <d v="1899-12-30T10:33:00"/>
    <d v="1899-12-30T20:08:00"/>
    <s v="Work From Home"/>
    <s v="Morning"/>
    <s v="Office"/>
    <n v="0"/>
  </r>
  <r>
    <s v="E1033"/>
    <s v="Employee_33"/>
    <x v="1"/>
    <d v="2024-01-23T00:00:00"/>
    <x v="2"/>
    <n v="2024"/>
    <n v="0"/>
    <n v="0"/>
    <m/>
    <m/>
    <s v="Absent"/>
    <s v="Morning"/>
    <s v="Remote"/>
    <n v="0"/>
  </r>
  <r>
    <s v="E1028"/>
    <s v="Employee_28"/>
    <x v="0"/>
    <d v="2024-01-26T00:00:00"/>
    <x v="2"/>
    <n v="2024"/>
    <n v="1"/>
    <n v="0"/>
    <d v="1899-12-30T08:05:00"/>
    <d v="1899-12-30T20:45:00"/>
    <s v="Present"/>
    <s v="Evening"/>
    <s v="Remote"/>
    <n v="0"/>
  </r>
  <r>
    <s v="E1017"/>
    <s v="Employee_17"/>
    <x v="4"/>
    <d v="2024-05-03T00:00:00"/>
    <x v="6"/>
    <n v="2024"/>
    <n v="0"/>
    <n v="0"/>
    <m/>
    <m/>
    <s v="Absent"/>
    <s v="Evening"/>
    <s v="Remote"/>
    <n v="0"/>
  </r>
  <r>
    <s v="E1048"/>
    <s v="Employee_48"/>
    <x v="1"/>
    <d v="2024-03-21T00:00:00"/>
    <x v="0"/>
    <n v="2024"/>
    <n v="1"/>
    <n v="0"/>
    <d v="1899-12-30T11:18:00"/>
    <d v="1899-12-30T20:25:00"/>
    <s v="Present"/>
    <s v="Evening"/>
    <s v="Office"/>
    <n v="0"/>
  </r>
  <r>
    <s v="E1027"/>
    <s v="Employee_27"/>
    <x v="3"/>
    <d v="2024-01-13T00:00:00"/>
    <x v="2"/>
    <n v="2024"/>
    <n v="1"/>
    <n v="0"/>
    <d v="1899-12-30T11:44:00"/>
    <d v="1899-12-30T18:25:00"/>
    <s v="Present"/>
    <s v="Morning"/>
    <s v="Office"/>
    <n v="0"/>
  </r>
  <r>
    <s v="E1042"/>
    <s v="Employee_42"/>
    <x v="2"/>
    <d v="2024-02-13T00:00:00"/>
    <x v="5"/>
    <n v="2024"/>
    <n v="1"/>
    <n v="1"/>
    <d v="1899-12-30T08:34:00"/>
    <d v="1899-12-30T19:11:00"/>
    <s v="Late"/>
    <s v="Evening"/>
    <s v="Office"/>
    <n v="0"/>
  </r>
  <r>
    <s v="E1049"/>
    <s v="Employee_49"/>
    <x v="3"/>
    <d v="2024-01-03T00:00:00"/>
    <x v="2"/>
    <n v="2024"/>
    <n v="1"/>
    <n v="1"/>
    <d v="1899-12-30T08:38:00"/>
    <d v="1899-12-30T19:42:00"/>
    <s v="Late"/>
    <s v="Morning"/>
    <s v="Office"/>
    <n v="0"/>
  </r>
  <r>
    <s v="E1012"/>
    <s v="Employee_12"/>
    <x v="1"/>
    <d v="2024-03-27T00:00:00"/>
    <x v="0"/>
    <n v="2024"/>
    <n v="1"/>
    <n v="0"/>
    <d v="1899-12-30T08:11:00"/>
    <d v="1899-12-30T18:37:00"/>
    <s v="Work From Home"/>
    <s v="Evening"/>
    <s v="Remote"/>
    <n v="0"/>
  </r>
  <r>
    <s v="E1042"/>
    <s v="Employee_42"/>
    <x v="4"/>
    <d v="2024-01-18T00:00:00"/>
    <x v="2"/>
    <n v="2024"/>
    <n v="1"/>
    <n v="1"/>
    <d v="1899-12-30T10:07:00"/>
    <d v="1899-12-30T18:19:00"/>
    <s v="Late"/>
    <s v="Evening"/>
    <s v="Office"/>
    <n v="0"/>
  </r>
  <r>
    <s v="E1041"/>
    <s v="Employee_41"/>
    <x v="1"/>
    <d v="2024-05-02T00:00:00"/>
    <x v="6"/>
    <n v="2024"/>
    <n v="0"/>
    <n v="0"/>
    <m/>
    <m/>
    <s v="Absent"/>
    <s v="Morning"/>
    <s v="Remote"/>
    <n v="0"/>
  </r>
  <r>
    <s v="E1056"/>
    <s v="Employee_56"/>
    <x v="1"/>
    <d v="2024-02-14T00:00:00"/>
    <x v="5"/>
    <n v="2024"/>
    <n v="1"/>
    <n v="0"/>
    <d v="1899-12-30T09:15:00"/>
    <d v="1899-12-30T16:18:00"/>
    <s v="Work From Home"/>
    <s v="Morning"/>
    <s v="Remote"/>
    <n v="0"/>
  </r>
  <r>
    <s v="E1053"/>
    <s v="Employee_53"/>
    <x v="2"/>
    <d v="2024-02-29T00:00:00"/>
    <x v="5"/>
    <n v="2024"/>
    <n v="1"/>
    <n v="0"/>
    <d v="1899-12-30T11:36:00"/>
    <d v="1899-12-30T20:44:00"/>
    <s v="Work From Home"/>
    <s v="Morning"/>
    <s v="Office"/>
    <n v="0"/>
  </r>
  <r>
    <s v="E1012"/>
    <s v="Employee_12"/>
    <x v="3"/>
    <d v="2024-03-03T00:00:00"/>
    <x v="0"/>
    <n v="2024"/>
    <n v="1"/>
    <n v="0"/>
    <d v="1899-12-30T08:40:00"/>
    <d v="1899-12-30T19:12:00"/>
    <s v="Present"/>
    <s v="Evening"/>
    <s v="Office"/>
    <n v="0"/>
  </r>
  <r>
    <s v="E1048"/>
    <s v="Employee_48"/>
    <x v="2"/>
    <d v="2024-01-07T00:00:00"/>
    <x v="2"/>
    <n v="2024"/>
    <n v="1"/>
    <n v="0"/>
    <d v="1899-12-30T09:16:00"/>
    <d v="1899-12-30T18:29:00"/>
    <s v="Work From Home"/>
    <s v="Morning"/>
    <s v="Remote"/>
    <n v="0"/>
  </r>
  <r>
    <s v="E1009"/>
    <s v="Employee_9"/>
    <x v="0"/>
    <d v="2024-01-06T00:00:00"/>
    <x v="2"/>
    <n v="2024"/>
    <n v="1"/>
    <n v="0"/>
    <d v="1899-12-30T08:22:00"/>
    <d v="1899-12-30T19:15:00"/>
    <s v="Present"/>
    <s v="Evening"/>
    <s v="Remote"/>
    <n v="0"/>
  </r>
  <r>
    <s v="E1053"/>
    <s v="Employee_53"/>
    <x v="3"/>
    <d v="2024-01-31T00:00:00"/>
    <x v="2"/>
    <n v="2024"/>
    <n v="1"/>
    <n v="1"/>
    <d v="1899-12-30T11:55:00"/>
    <d v="1899-12-30T20:25:00"/>
    <s v="Late"/>
    <s v="Morning"/>
    <s v="Office"/>
    <n v="0"/>
  </r>
  <r>
    <s v="E1003"/>
    <s v="Employee_3"/>
    <x v="1"/>
    <d v="2024-03-25T00:00:00"/>
    <x v="0"/>
    <n v="2024"/>
    <n v="1"/>
    <n v="0"/>
    <d v="1899-12-30T11:14:00"/>
    <d v="1899-12-30T20:14:00"/>
    <s v="Present"/>
    <s v="Morning"/>
    <s v="Office"/>
    <n v="0"/>
  </r>
  <r>
    <s v="E1042"/>
    <s v="Employee_42"/>
    <x v="1"/>
    <d v="2024-02-19T00:00:00"/>
    <x v="5"/>
    <n v="2024"/>
    <n v="0"/>
    <n v="0"/>
    <m/>
    <m/>
    <s v="Absent"/>
    <s v="Morning"/>
    <s v="Remote"/>
    <n v="0"/>
  </r>
  <r>
    <s v="E1017"/>
    <s v="Employee_17"/>
    <x v="0"/>
    <d v="2024-01-15T00:00:00"/>
    <x v="2"/>
    <n v="2024"/>
    <n v="1"/>
    <n v="0"/>
    <d v="1899-12-30T11:12:00"/>
    <d v="1899-12-30T20:36:00"/>
    <s v="Work From Home"/>
    <s v="Evening"/>
    <s v="Office"/>
    <n v="0"/>
  </r>
  <r>
    <s v="E1039"/>
    <s v="Employee_39"/>
    <x v="0"/>
    <d v="2024-01-08T00:00:00"/>
    <x v="2"/>
    <n v="2024"/>
    <n v="0"/>
    <n v="0"/>
    <m/>
    <m/>
    <s v="Absent"/>
    <s v="Morning"/>
    <s v="Office"/>
    <n v="0"/>
  </r>
  <r>
    <s v="E1040"/>
    <s v="Employee_40"/>
    <x v="3"/>
    <d v="2024-01-24T00:00:00"/>
    <x v="2"/>
    <n v="2024"/>
    <n v="1"/>
    <n v="0"/>
    <d v="1899-12-30T08:58:00"/>
    <d v="1899-12-30T19:50:00"/>
    <s v="Work From Home"/>
    <s v="Morning"/>
    <s v="Remote"/>
    <n v="0"/>
  </r>
  <r>
    <s v="E1010"/>
    <s v="Employee_10"/>
    <x v="0"/>
    <d v="2024-06-02T00:00:00"/>
    <x v="11"/>
    <n v="2024"/>
    <n v="1"/>
    <n v="1"/>
    <d v="1899-12-30T10:45:00"/>
    <d v="1899-12-30T19:02:00"/>
    <s v="Late"/>
    <s v="Morning"/>
    <s v="Office"/>
    <n v="0"/>
  </r>
  <r>
    <s v="E1058"/>
    <s v="Employee_58"/>
    <x v="1"/>
    <d v="2024-06-01T00:00:00"/>
    <x v="11"/>
    <n v="2024"/>
    <n v="1"/>
    <n v="0"/>
    <d v="1899-12-30T09:20:00"/>
    <d v="1899-12-30T18:12:00"/>
    <s v="Present"/>
    <s v="Morning"/>
    <s v="Office"/>
    <n v="0"/>
  </r>
  <r>
    <s v="E1000"/>
    <s v="Employee_0"/>
    <x v="4"/>
    <d v="2024-02-19T00:00:00"/>
    <x v="5"/>
    <n v="2024"/>
    <n v="1"/>
    <n v="1"/>
    <d v="1899-12-30T09:20:00"/>
    <d v="1899-12-30T19:24:00"/>
    <s v="Late"/>
    <s v="Evening"/>
    <s v="Office"/>
    <n v="0"/>
  </r>
  <r>
    <s v="E1019"/>
    <s v="Employee_19"/>
    <x v="1"/>
    <d v="2024-03-14T00:00:00"/>
    <x v="0"/>
    <n v="2024"/>
    <n v="1"/>
    <n v="0"/>
    <d v="1899-12-30T11:27:00"/>
    <d v="1899-12-30T16:18:00"/>
    <s v="Work From Home"/>
    <s v="Evening"/>
    <s v="Office"/>
    <n v="0"/>
  </r>
  <r>
    <s v="E1016"/>
    <s v="Employee_16"/>
    <x v="2"/>
    <d v="2024-11-01T00:00:00"/>
    <x v="1"/>
    <n v="2024"/>
    <n v="0"/>
    <n v="0"/>
    <m/>
    <m/>
    <s v="Absent"/>
    <s v="Morning"/>
    <s v="Remote"/>
    <n v="0"/>
  </r>
  <r>
    <s v="E1022"/>
    <s v="Employee_22"/>
    <x v="0"/>
    <d v="2024-01-25T00:00:00"/>
    <x v="2"/>
    <n v="2024"/>
    <n v="1"/>
    <n v="1"/>
    <d v="1899-12-30T11:53:00"/>
    <d v="1899-12-30T16:55:00"/>
    <s v="Late"/>
    <s v="Evening"/>
    <s v="Office"/>
    <n v="0"/>
  </r>
  <r>
    <s v="E1058"/>
    <s v="Employee_58"/>
    <x v="3"/>
    <d v="2024-02-24T00:00:00"/>
    <x v="5"/>
    <n v="2024"/>
    <n v="1"/>
    <n v="0"/>
    <d v="1899-12-30T11:38:00"/>
    <d v="1899-12-30T17:59:00"/>
    <s v="Work From Home"/>
    <s v="Morning"/>
    <s v="Remote"/>
    <n v="0"/>
  </r>
  <r>
    <s v="E1012"/>
    <s v="Employee_12"/>
    <x v="3"/>
    <d v="2024-02-18T00:00:00"/>
    <x v="5"/>
    <n v="2024"/>
    <n v="1"/>
    <n v="0"/>
    <d v="1899-12-30T09:22:00"/>
    <d v="1899-12-30T16:03:00"/>
    <s v="Work From Home"/>
    <s v="Evening"/>
    <s v="Office"/>
    <n v="0"/>
  </r>
  <r>
    <s v="E1048"/>
    <s v="Employee_48"/>
    <x v="2"/>
    <d v="2024-01-24T00:00:00"/>
    <x v="2"/>
    <n v="2024"/>
    <n v="1"/>
    <n v="1"/>
    <d v="1899-12-30T09:50:00"/>
    <d v="1899-12-30T20:01:00"/>
    <s v="Late"/>
    <s v="Morning"/>
    <s v="Remote"/>
    <n v="0"/>
  </r>
  <r>
    <s v="E1037"/>
    <s v="Employee_37"/>
    <x v="0"/>
    <d v="2024-01-02T00:00:00"/>
    <x v="2"/>
    <n v="2024"/>
    <n v="1"/>
    <n v="1"/>
    <d v="1899-12-30T11:46:00"/>
    <d v="1899-12-30T16:52:00"/>
    <s v="Late"/>
    <s v="Evening"/>
    <s v="Remote"/>
    <n v="0"/>
  </r>
  <r>
    <s v="E1024"/>
    <s v="Employee_24"/>
    <x v="1"/>
    <d v="2024-03-16T00:00:00"/>
    <x v="0"/>
    <n v="2024"/>
    <n v="1"/>
    <n v="1"/>
    <d v="1899-12-30T11:46:00"/>
    <d v="1899-12-30T19:12:00"/>
    <s v="Late"/>
    <s v="Morning"/>
    <s v="Remote"/>
    <n v="0"/>
  </r>
  <r>
    <s v="E1002"/>
    <s v="Employee_2"/>
    <x v="1"/>
    <d v="2024-01-19T00:00:00"/>
    <x v="2"/>
    <n v="2024"/>
    <n v="1"/>
    <n v="0"/>
    <d v="1899-12-30T10:42:00"/>
    <d v="1899-12-30T18:00:00"/>
    <s v="Work From Home"/>
    <s v="Morning"/>
    <s v="Remote"/>
    <n v="0"/>
  </r>
  <r>
    <s v="E1027"/>
    <s v="Employee_27"/>
    <x v="2"/>
    <d v="2024-03-30T00:00:00"/>
    <x v="0"/>
    <n v="2024"/>
    <n v="1"/>
    <n v="0"/>
    <d v="1899-12-30T09:14:00"/>
    <d v="1899-12-30T16:57:00"/>
    <s v="Work From Home"/>
    <s v="Evening"/>
    <s v="Office"/>
    <n v="0"/>
  </r>
  <r>
    <s v="E1024"/>
    <s v="Employee_24"/>
    <x v="0"/>
    <d v="2024-03-24T00:00:00"/>
    <x v="0"/>
    <n v="2024"/>
    <n v="1"/>
    <n v="1"/>
    <d v="1899-12-30T10:03:00"/>
    <d v="1899-12-30T17:06:00"/>
    <s v="Late"/>
    <s v="Morning"/>
    <s v="Office"/>
    <n v="0"/>
  </r>
  <r>
    <s v="E1031"/>
    <s v="Employee_31"/>
    <x v="0"/>
    <d v="2024-02-03T00:00:00"/>
    <x v="5"/>
    <n v="2024"/>
    <n v="1"/>
    <n v="0"/>
    <d v="1899-12-30T10:32:00"/>
    <d v="1899-12-30T17:43:00"/>
    <s v="Present"/>
    <s v="Evening"/>
    <s v="Office"/>
    <n v="0"/>
  </r>
  <r>
    <s v="E1052"/>
    <s v="Employee_52"/>
    <x v="4"/>
    <d v="2024-09-01T00:00:00"/>
    <x v="3"/>
    <n v="2024"/>
    <n v="1"/>
    <n v="0"/>
    <d v="1899-12-30T09:11:00"/>
    <d v="1899-12-30T18:56:00"/>
    <s v="Present"/>
    <s v="Morning"/>
    <s v="Office"/>
    <n v="0"/>
  </r>
  <r>
    <s v="E1004"/>
    <s v="Employee_4"/>
    <x v="3"/>
    <d v="2024-02-16T00:00:00"/>
    <x v="5"/>
    <n v="2024"/>
    <n v="0"/>
    <n v="0"/>
    <m/>
    <m/>
    <s v="Absent"/>
    <s v="Morning"/>
    <s v="Remote"/>
    <n v="0"/>
  </r>
  <r>
    <s v="E1002"/>
    <s v="Employee_2"/>
    <x v="1"/>
    <d v="2024-02-27T00:00:00"/>
    <x v="5"/>
    <n v="2024"/>
    <n v="1"/>
    <n v="0"/>
    <d v="1899-12-30T11:30:00"/>
    <d v="1899-12-30T19:59:00"/>
    <s v="Present"/>
    <s v="Evening"/>
    <s v="Office"/>
    <n v="0"/>
  </r>
  <r>
    <s v="E1053"/>
    <s v="Employee_53"/>
    <x v="3"/>
    <d v="2024-03-25T00:00:00"/>
    <x v="0"/>
    <n v="2024"/>
    <n v="1"/>
    <n v="0"/>
    <d v="1899-12-30T11:31:00"/>
    <d v="1899-12-30T16:37:00"/>
    <s v="Present"/>
    <s v="Evening"/>
    <s v="Remote"/>
    <n v="0"/>
  </r>
  <r>
    <s v="E1053"/>
    <s v="Employee_53"/>
    <x v="1"/>
    <d v="2024-02-21T00:00:00"/>
    <x v="5"/>
    <n v="2024"/>
    <n v="1"/>
    <n v="1"/>
    <d v="1899-12-30T09:21:00"/>
    <d v="1899-12-30T17:20:00"/>
    <s v="Late"/>
    <s v="Evening"/>
    <s v="Remote"/>
    <n v="0"/>
  </r>
  <r>
    <s v="E1037"/>
    <s v="Employee_37"/>
    <x v="3"/>
    <d v="2024-02-14T00:00:00"/>
    <x v="5"/>
    <n v="2024"/>
    <n v="1"/>
    <n v="1"/>
    <d v="1899-12-30T08:18:00"/>
    <d v="1899-12-30T17:10:00"/>
    <s v="Late"/>
    <s v="Evening"/>
    <s v="Office"/>
    <n v="0"/>
  </r>
  <r>
    <s v="E1043"/>
    <s v="Employee_43"/>
    <x v="2"/>
    <d v="2024-02-19T00:00:00"/>
    <x v="5"/>
    <n v="2024"/>
    <n v="0"/>
    <n v="0"/>
    <m/>
    <m/>
    <s v="Absent"/>
    <s v="Evening"/>
    <s v="Office"/>
    <n v="0"/>
  </r>
  <r>
    <s v="E1001"/>
    <s v="Employee_1"/>
    <x v="4"/>
    <d v="2024-01-14T00:00:00"/>
    <x v="2"/>
    <n v="2024"/>
    <n v="1"/>
    <n v="1"/>
    <d v="1899-12-30T10:36:00"/>
    <d v="1899-12-30T19:29:00"/>
    <s v="Late"/>
    <s v="Morning"/>
    <s v="Remote"/>
    <n v="0"/>
  </r>
  <r>
    <s v="E1052"/>
    <s v="Employee_52"/>
    <x v="0"/>
    <d v="2024-01-16T00:00:00"/>
    <x v="2"/>
    <n v="2024"/>
    <n v="0"/>
    <n v="0"/>
    <m/>
    <m/>
    <s v="Absent"/>
    <s v="Morning"/>
    <s v="Office"/>
    <n v="0"/>
  </r>
  <r>
    <s v="E1024"/>
    <s v="Employee_24"/>
    <x v="0"/>
    <d v="2024-02-01T00:00:00"/>
    <x v="5"/>
    <n v="2024"/>
    <n v="0"/>
    <n v="0"/>
    <m/>
    <m/>
    <s v="Absent"/>
    <s v="Evening"/>
    <s v="Office"/>
    <n v="0"/>
  </r>
  <r>
    <s v="E1021"/>
    <s v="Employee_21"/>
    <x v="2"/>
    <d v="2024-03-25T00:00:00"/>
    <x v="0"/>
    <n v="2024"/>
    <n v="0"/>
    <n v="0"/>
    <m/>
    <m/>
    <s v="Absent"/>
    <s v="Morning"/>
    <s v="Office"/>
    <n v="0"/>
  </r>
  <r>
    <s v="E1007"/>
    <s v="Employee_7"/>
    <x v="0"/>
    <d v="2024-01-14T00:00:00"/>
    <x v="2"/>
    <n v="2024"/>
    <n v="1"/>
    <n v="0"/>
    <d v="1899-12-30T08:30:00"/>
    <d v="1899-12-30T18:44:00"/>
    <s v="Work From Home"/>
    <s v="Evening"/>
    <s v="Office"/>
    <n v="0"/>
  </r>
  <r>
    <s v="E1055"/>
    <s v="Employee_55"/>
    <x v="4"/>
    <d v="2024-01-03T00:00:00"/>
    <x v="2"/>
    <n v="2024"/>
    <n v="0"/>
    <n v="0"/>
    <m/>
    <m/>
    <s v="Absent"/>
    <s v="Morning"/>
    <s v="Office"/>
    <n v="0"/>
  </r>
  <r>
    <s v="E1048"/>
    <s v="Employee_48"/>
    <x v="4"/>
    <d v="2024-03-28T00:00:00"/>
    <x v="0"/>
    <n v="2024"/>
    <n v="0"/>
    <n v="0"/>
    <m/>
    <m/>
    <s v="Absent"/>
    <s v="Morning"/>
    <s v="Remote"/>
    <n v="0"/>
  </r>
  <r>
    <s v="E1044"/>
    <s v="Employee_44"/>
    <x v="1"/>
    <d v="2024-04-03T00:00:00"/>
    <x v="10"/>
    <n v="2024"/>
    <n v="1"/>
    <n v="1"/>
    <d v="1899-12-30T11:46:00"/>
    <d v="1899-12-30T16:10:00"/>
    <s v="Late"/>
    <s v="Morning"/>
    <s v="Remote"/>
    <n v="0"/>
  </r>
  <r>
    <s v="E1012"/>
    <s v="Employee_12"/>
    <x v="0"/>
    <d v="2024-03-18T00:00:00"/>
    <x v="0"/>
    <n v="2024"/>
    <n v="1"/>
    <n v="0"/>
    <d v="1899-12-30T08:10:00"/>
    <d v="1899-12-30T20:54:00"/>
    <s v="Work From Home"/>
    <s v="Morning"/>
    <s v="Remote"/>
    <n v="0"/>
  </r>
  <r>
    <s v="E1041"/>
    <s v="Employee_41"/>
    <x v="0"/>
    <d v="2024-03-29T00:00:00"/>
    <x v="0"/>
    <n v="2024"/>
    <n v="1"/>
    <n v="0"/>
    <d v="1899-12-30T09:51:00"/>
    <d v="1899-12-30T16:20:00"/>
    <s v="Present"/>
    <s v="Evening"/>
    <s v="Remote"/>
    <n v="0"/>
  </r>
  <r>
    <s v="E1052"/>
    <s v="Employee_52"/>
    <x v="2"/>
    <d v="2024-01-28T00:00:00"/>
    <x v="2"/>
    <n v="2024"/>
    <n v="1"/>
    <n v="1"/>
    <d v="1899-12-30T10:16:00"/>
    <d v="1899-12-30T17:30:00"/>
    <s v="Late"/>
    <s v="Evening"/>
    <s v="Office"/>
    <n v="0"/>
  </r>
  <r>
    <s v="E1059"/>
    <s v="Employee_59"/>
    <x v="1"/>
    <d v="2024-01-17T00:00:00"/>
    <x v="2"/>
    <n v="2024"/>
    <n v="1"/>
    <n v="0"/>
    <d v="1899-12-30T08:49:00"/>
    <d v="1899-12-30T17:53:00"/>
    <s v="Present"/>
    <s v="Morning"/>
    <s v="Remote"/>
    <n v="0"/>
  </r>
  <r>
    <s v="E1008"/>
    <s v="Employee_8"/>
    <x v="1"/>
    <d v="2024-03-15T00:00:00"/>
    <x v="0"/>
    <n v="2024"/>
    <n v="0"/>
    <n v="0"/>
    <m/>
    <m/>
    <s v="Absent"/>
    <s v="Morning"/>
    <s v="Office"/>
    <n v="0"/>
  </r>
  <r>
    <s v="E1031"/>
    <s v="Employee_31"/>
    <x v="0"/>
    <d v="2024-01-03T00:00:00"/>
    <x v="2"/>
    <n v="2024"/>
    <n v="1"/>
    <n v="0"/>
    <d v="1899-12-30T09:21:00"/>
    <d v="1899-12-30T20:18:00"/>
    <s v="Work From Home"/>
    <s v="Morning"/>
    <s v="Remote"/>
    <n v="0"/>
  </r>
  <r>
    <s v="E1057"/>
    <s v="Employee_57"/>
    <x v="0"/>
    <d v="2024-01-22T00:00:00"/>
    <x v="2"/>
    <n v="2024"/>
    <n v="1"/>
    <n v="1"/>
    <d v="1899-12-30T09:15:00"/>
    <d v="1899-12-30T18:15:00"/>
    <s v="Late"/>
    <s v="Morning"/>
    <s v="Remote"/>
    <n v="0"/>
  </r>
  <r>
    <s v="E1026"/>
    <s v="Employee_26"/>
    <x v="3"/>
    <d v="2024-03-01T00:00:00"/>
    <x v="0"/>
    <n v="2024"/>
    <n v="1"/>
    <n v="0"/>
    <d v="1899-12-30T11:30:00"/>
    <d v="1899-12-30T16:17:00"/>
    <s v="Work From Home"/>
    <s v="Morning"/>
    <s v="Office"/>
    <n v="0"/>
  </r>
  <r>
    <s v="E1044"/>
    <s v="Employee_44"/>
    <x v="1"/>
    <d v="2024-08-01T00:00:00"/>
    <x v="9"/>
    <n v="2024"/>
    <n v="1"/>
    <n v="0"/>
    <d v="1899-12-30T09:50:00"/>
    <d v="1899-12-30T19:05:00"/>
    <s v="Present"/>
    <s v="Evening"/>
    <s v="Office"/>
    <n v="0"/>
  </r>
  <r>
    <s v="E1002"/>
    <s v="Employee_2"/>
    <x v="1"/>
    <d v="2024-03-28T00:00:00"/>
    <x v="0"/>
    <n v="2024"/>
    <n v="1"/>
    <n v="0"/>
    <d v="1899-12-30T11:37:00"/>
    <d v="1899-12-30T19:14:00"/>
    <s v="Work From Home"/>
    <s v="Morning"/>
    <s v="Office"/>
    <n v="0"/>
  </r>
  <r>
    <s v="E1028"/>
    <s v="Employee_28"/>
    <x v="4"/>
    <d v="2024-02-02T00:00:00"/>
    <x v="5"/>
    <n v="2024"/>
    <n v="1"/>
    <n v="1"/>
    <d v="1899-12-30T09:41:00"/>
    <d v="1899-12-30T18:45:00"/>
    <s v="Late"/>
    <s v="Morning"/>
    <s v="Office"/>
    <n v="0"/>
  </r>
  <r>
    <s v="E1026"/>
    <s v="Employee_26"/>
    <x v="4"/>
    <d v="2024-03-10T00:00:00"/>
    <x v="0"/>
    <n v="2024"/>
    <n v="1"/>
    <n v="0"/>
    <d v="1899-12-30T08:52:00"/>
    <d v="1899-12-30T20:12:00"/>
    <s v="Work From Home"/>
    <s v="Morning"/>
    <s v="Office"/>
    <n v="0"/>
  </r>
  <r>
    <s v="E1012"/>
    <s v="Employee_12"/>
    <x v="4"/>
    <d v="2024-01-17T00:00:00"/>
    <x v="2"/>
    <n v="2024"/>
    <n v="1"/>
    <n v="1"/>
    <d v="1899-12-30T08:34:00"/>
    <d v="1899-12-30T20:30:00"/>
    <s v="Late"/>
    <s v="Morning"/>
    <s v="Remote"/>
    <n v="0"/>
  </r>
  <r>
    <s v="E1052"/>
    <s v="Employee_52"/>
    <x v="3"/>
    <d v="2024-03-14T00:00:00"/>
    <x v="0"/>
    <n v="2024"/>
    <n v="0"/>
    <n v="0"/>
    <m/>
    <m/>
    <s v="Absent"/>
    <s v="Morning"/>
    <s v="Office"/>
    <n v="0"/>
  </r>
  <r>
    <s v="E1001"/>
    <s v="Employee_1"/>
    <x v="3"/>
    <d v="2024-03-11T00:00:00"/>
    <x v="0"/>
    <n v="2024"/>
    <n v="0"/>
    <n v="0"/>
    <m/>
    <m/>
    <s v="Absent"/>
    <s v="Morning"/>
    <s v="Remote"/>
    <n v="0"/>
  </r>
  <r>
    <s v="E1010"/>
    <s v="Employee_10"/>
    <x v="1"/>
    <d v="2024-10-01T00:00:00"/>
    <x v="7"/>
    <n v="2024"/>
    <n v="1"/>
    <n v="1"/>
    <d v="1899-12-30T11:59:00"/>
    <d v="1899-12-30T20:57:00"/>
    <s v="Late"/>
    <s v="Evening"/>
    <s v="Office"/>
    <n v="0"/>
  </r>
  <r>
    <s v="E1014"/>
    <s v="Employee_14"/>
    <x v="1"/>
    <d v="2024-03-01T00:00:00"/>
    <x v="0"/>
    <n v="2024"/>
    <n v="1"/>
    <n v="1"/>
    <d v="1899-12-30T09:03:00"/>
    <d v="1899-12-30T18:17:00"/>
    <s v="Late"/>
    <s v="Morning"/>
    <s v="Remote"/>
    <n v="0"/>
  </r>
  <r>
    <s v="E1006"/>
    <s v="Employee_6"/>
    <x v="3"/>
    <d v="2024-05-03T00:00:00"/>
    <x v="6"/>
    <n v="2024"/>
    <n v="1"/>
    <n v="0"/>
    <d v="1899-12-30T11:14:00"/>
    <d v="1899-12-30T16:37:00"/>
    <s v="Present"/>
    <s v="Evening"/>
    <s v="Remote"/>
    <n v="0"/>
  </r>
  <r>
    <s v="E1040"/>
    <s v="Employee_40"/>
    <x v="0"/>
    <d v="2024-05-01T00:00:00"/>
    <x v="6"/>
    <n v="2024"/>
    <n v="1"/>
    <n v="1"/>
    <d v="1899-12-30T10:39:00"/>
    <d v="1899-12-30T19:10:00"/>
    <s v="Late"/>
    <s v="Evening"/>
    <s v="Remote"/>
    <n v="0"/>
  </r>
  <r>
    <s v="E1031"/>
    <s v="Employee_31"/>
    <x v="2"/>
    <d v="2024-01-20T00:00:00"/>
    <x v="2"/>
    <n v="2024"/>
    <n v="1"/>
    <n v="0"/>
    <d v="1899-12-30T09:46:00"/>
    <d v="1899-12-30T18:07:00"/>
    <s v="Present"/>
    <s v="Morning"/>
    <s v="Office"/>
    <n v="0"/>
  </r>
  <r>
    <s v="E1018"/>
    <s v="Employee_18"/>
    <x v="0"/>
    <d v="2024-06-03T00:00:00"/>
    <x v="11"/>
    <n v="2024"/>
    <n v="1"/>
    <n v="0"/>
    <d v="1899-12-30T09:18:00"/>
    <d v="1899-12-30T17:17:00"/>
    <s v="Work From Home"/>
    <s v="Morning"/>
    <s v="Office"/>
    <n v="0"/>
  </r>
  <r>
    <s v="E1057"/>
    <s v="Employee_57"/>
    <x v="2"/>
    <d v="2024-03-27T00:00:00"/>
    <x v="0"/>
    <n v="2024"/>
    <n v="0"/>
    <n v="0"/>
    <m/>
    <m/>
    <s v="Absent"/>
    <s v="Morning"/>
    <s v="Remote"/>
    <n v="0"/>
  </r>
  <r>
    <s v="E1010"/>
    <s v="Employee_10"/>
    <x v="1"/>
    <d v="2024-02-19T00:00:00"/>
    <x v="5"/>
    <n v="2024"/>
    <n v="1"/>
    <n v="1"/>
    <d v="1899-12-30T10:43:00"/>
    <d v="1899-12-30T19:08:00"/>
    <s v="Late"/>
    <s v="Evening"/>
    <s v="Office"/>
    <n v="0"/>
  </r>
  <r>
    <s v="E1026"/>
    <s v="Employee_26"/>
    <x v="1"/>
    <d v="2024-08-01T00:00:00"/>
    <x v="9"/>
    <n v="2024"/>
    <n v="1"/>
    <n v="1"/>
    <d v="1899-12-30T11:15:00"/>
    <d v="1899-12-30T19:37:00"/>
    <s v="Late"/>
    <s v="Evening"/>
    <s v="Remote"/>
    <n v="0"/>
  </r>
  <r>
    <s v="E1031"/>
    <s v="Employee_31"/>
    <x v="0"/>
    <d v="2024-01-15T00:00:00"/>
    <x v="2"/>
    <n v="2024"/>
    <n v="0"/>
    <n v="0"/>
    <m/>
    <m/>
    <s v="Absent"/>
    <s v="Evening"/>
    <s v="Remote"/>
    <n v="0"/>
  </r>
  <r>
    <s v="E1011"/>
    <s v="Employee_11"/>
    <x v="4"/>
    <d v="2024-02-17T00:00:00"/>
    <x v="5"/>
    <n v="2024"/>
    <n v="0"/>
    <n v="0"/>
    <m/>
    <m/>
    <s v="Absent"/>
    <s v="Morning"/>
    <s v="Remote"/>
    <n v="0"/>
  </r>
  <r>
    <s v="E1035"/>
    <s v="Employee_35"/>
    <x v="0"/>
    <d v="2024-05-02T00:00:00"/>
    <x v="6"/>
    <n v="2024"/>
    <n v="1"/>
    <n v="0"/>
    <d v="1899-12-30T09:56:00"/>
    <d v="1899-12-30T16:07:00"/>
    <s v="Work From Home"/>
    <s v="Morning"/>
    <s v="Office"/>
    <n v="0"/>
  </r>
  <r>
    <s v="E1046"/>
    <s v="Employee_46"/>
    <x v="2"/>
    <d v="2024-11-01T00:00:00"/>
    <x v="1"/>
    <n v="2024"/>
    <n v="1"/>
    <n v="0"/>
    <d v="1899-12-30T08:17:00"/>
    <d v="1899-12-30T17:09:00"/>
    <s v="Work From Home"/>
    <s v="Morning"/>
    <s v="Office"/>
    <n v="0"/>
  </r>
  <r>
    <s v="E1010"/>
    <s v="Employee_10"/>
    <x v="2"/>
    <d v="2024-03-16T00:00:00"/>
    <x v="0"/>
    <n v="2024"/>
    <n v="1"/>
    <n v="0"/>
    <d v="1899-12-30T09:13:00"/>
    <d v="1899-12-30T16:10:00"/>
    <s v="Work From Home"/>
    <s v="Evening"/>
    <s v="Remote"/>
    <n v="0"/>
  </r>
  <r>
    <s v="E1002"/>
    <s v="Employee_2"/>
    <x v="3"/>
    <d v="2024-02-01T00:00:00"/>
    <x v="5"/>
    <n v="2024"/>
    <n v="1"/>
    <n v="1"/>
    <d v="1899-12-30T08:58:00"/>
    <d v="1899-12-30T16:16:00"/>
    <s v="Late"/>
    <s v="Morning"/>
    <s v="Office"/>
    <n v="0"/>
  </r>
  <r>
    <s v="E1049"/>
    <s v="Employee_49"/>
    <x v="2"/>
    <d v="2024-01-19T00:00:00"/>
    <x v="2"/>
    <n v="2024"/>
    <n v="1"/>
    <n v="1"/>
    <d v="1899-12-30T10:14:00"/>
    <d v="1899-12-30T17:00:00"/>
    <s v="Late"/>
    <s v="Evening"/>
    <s v="Remote"/>
    <n v="0"/>
  </r>
  <r>
    <s v="E1005"/>
    <s v="Employee_5"/>
    <x v="2"/>
    <d v="2024-02-17T00:00:00"/>
    <x v="5"/>
    <n v="2024"/>
    <n v="1"/>
    <n v="1"/>
    <d v="1899-12-30T09:14:00"/>
    <d v="1899-12-30T18:21:00"/>
    <s v="Late"/>
    <s v="Morning"/>
    <s v="Office"/>
    <n v="0"/>
  </r>
  <r>
    <s v="E1022"/>
    <s v="Employee_22"/>
    <x v="2"/>
    <d v="2024-02-22T00:00:00"/>
    <x v="5"/>
    <n v="2024"/>
    <n v="1"/>
    <n v="0"/>
    <d v="1899-12-30T11:42:00"/>
    <d v="1899-12-30T20:30:00"/>
    <s v="Present"/>
    <s v="Morning"/>
    <s v="Office"/>
    <n v="0"/>
  </r>
  <r>
    <s v="E1038"/>
    <s v="Employee_38"/>
    <x v="3"/>
    <d v="2024-01-22T00:00:00"/>
    <x v="2"/>
    <n v="2024"/>
    <n v="1"/>
    <n v="1"/>
    <d v="1899-12-30T08:48:00"/>
    <d v="1899-12-30T19:48:00"/>
    <s v="Late"/>
    <s v="Evening"/>
    <s v="Office"/>
    <n v="0"/>
  </r>
  <r>
    <s v="E1049"/>
    <s v="Employee_49"/>
    <x v="3"/>
    <d v="2024-03-05T00:00:00"/>
    <x v="0"/>
    <n v="2024"/>
    <n v="1"/>
    <n v="1"/>
    <d v="1899-12-30T09:43:00"/>
    <d v="1899-12-30T19:55:00"/>
    <s v="Late"/>
    <s v="Evening"/>
    <s v="Remote"/>
    <n v="0"/>
  </r>
  <r>
    <s v="E1020"/>
    <s v="Employee_20"/>
    <x v="3"/>
    <d v="2024-04-02T00:00:00"/>
    <x v="10"/>
    <n v="2024"/>
    <n v="1"/>
    <n v="0"/>
    <d v="1899-12-30T09:05:00"/>
    <d v="1899-12-30T16:47:00"/>
    <s v="Present"/>
    <s v="Morning"/>
    <s v="Remote"/>
    <n v="0"/>
  </r>
  <r>
    <s v="E1038"/>
    <s v="Employee_38"/>
    <x v="1"/>
    <d v="2024-01-27T00:00:00"/>
    <x v="2"/>
    <n v="2024"/>
    <n v="0"/>
    <n v="0"/>
    <m/>
    <m/>
    <s v="Absent"/>
    <s v="Evening"/>
    <s v="Remote"/>
    <n v="0"/>
  </r>
  <r>
    <s v="E1024"/>
    <s v="Employee_24"/>
    <x v="2"/>
    <d v="2024-03-28T00:00:00"/>
    <x v="0"/>
    <n v="2024"/>
    <n v="0"/>
    <n v="0"/>
    <m/>
    <m/>
    <s v="Absent"/>
    <s v="Morning"/>
    <s v="Remote"/>
    <n v="0"/>
  </r>
  <r>
    <s v="E1015"/>
    <s v="Employee_15"/>
    <x v="3"/>
    <d v="2024-02-04T00:00:00"/>
    <x v="5"/>
    <n v="2024"/>
    <n v="1"/>
    <n v="0"/>
    <d v="1899-12-30T10:06:00"/>
    <d v="1899-12-30T17:08:00"/>
    <s v="Present"/>
    <s v="Evening"/>
    <s v="Office"/>
    <n v="0"/>
  </r>
  <r>
    <s v="E1032"/>
    <s v="Employee_32"/>
    <x v="3"/>
    <d v="2024-07-03T00:00:00"/>
    <x v="4"/>
    <n v="2024"/>
    <n v="1"/>
    <n v="1"/>
    <d v="1899-12-30T09:05:00"/>
    <d v="1899-12-30T20:28:00"/>
    <s v="Late"/>
    <s v="Evening"/>
    <s v="Remote"/>
    <n v="0"/>
  </r>
  <r>
    <s v="E1039"/>
    <s v="Employee_39"/>
    <x v="2"/>
    <d v="2024-03-30T00:00:00"/>
    <x v="0"/>
    <n v="2024"/>
    <n v="1"/>
    <n v="1"/>
    <d v="1899-12-30T08:04:00"/>
    <d v="1899-12-30T19:43:00"/>
    <s v="Late"/>
    <s v="Evening"/>
    <s v="Remote"/>
    <n v="0"/>
  </r>
  <r>
    <s v="E1028"/>
    <s v="Employee_28"/>
    <x v="3"/>
    <d v="2024-05-03T00:00:00"/>
    <x v="6"/>
    <n v="2024"/>
    <n v="0"/>
    <n v="0"/>
    <m/>
    <m/>
    <s v="Absent"/>
    <s v="Evening"/>
    <s v="Remote"/>
    <n v="0"/>
  </r>
  <r>
    <s v="E1052"/>
    <s v="Employee_52"/>
    <x v="4"/>
    <d v="2024-03-23T00:00:00"/>
    <x v="0"/>
    <n v="2024"/>
    <n v="1"/>
    <n v="0"/>
    <d v="1899-12-30T08:41:00"/>
    <d v="1899-12-30T18:53:00"/>
    <s v="Present"/>
    <s v="Evening"/>
    <s v="Remote"/>
    <n v="0"/>
  </r>
  <r>
    <s v="E1057"/>
    <s v="Employee_57"/>
    <x v="2"/>
    <d v="2024-03-14T00:00:00"/>
    <x v="0"/>
    <n v="2024"/>
    <n v="1"/>
    <n v="0"/>
    <d v="1899-12-30T09:18:00"/>
    <d v="1899-12-30T17:08:00"/>
    <s v="Present"/>
    <s v="Evening"/>
    <s v="Remote"/>
    <n v="0"/>
  </r>
  <r>
    <s v="E1051"/>
    <s v="Employee_51"/>
    <x v="0"/>
    <d v="2024-08-02T00:00:00"/>
    <x v="9"/>
    <n v="2024"/>
    <n v="1"/>
    <n v="0"/>
    <d v="1899-12-30T11:28:00"/>
    <d v="1899-12-30T18:55:00"/>
    <s v="Present"/>
    <s v="Evening"/>
    <s v="Remote"/>
    <n v="0"/>
  </r>
  <r>
    <s v="E1034"/>
    <s v="Employee_34"/>
    <x v="1"/>
    <d v="2024-02-11T00:00:00"/>
    <x v="5"/>
    <n v="2024"/>
    <n v="1"/>
    <n v="1"/>
    <d v="1899-12-30T10:53:00"/>
    <d v="1899-12-30T16:10:00"/>
    <s v="Late"/>
    <s v="Morning"/>
    <s v="Remote"/>
    <n v="0"/>
  </r>
  <r>
    <s v="E1021"/>
    <s v="Employee_21"/>
    <x v="4"/>
    <d v="2024-03-27T00:00:00"/>
    <x v="0"/>
    <n v="2024"/>
    <n v="0"/>
    <n v="0"/>
    <m/>
    <m/>
    <s v="Absent"/>
    <s v="Morning"/>
    <s v="Office"/>
    <n v="0"/>
  </r>
  <r>
    <s v="E1058"/>
    <s v="Employee_58"/>
    <x v="0"/>
    <d v="2024-01-13T00:00:00"/>
    <x v="2"/>
    <n v="2024"/>
    <n v="1"/>
    <n v="0"/>
    <d v="1899-12-30T09:32:00"/>
    <d v="1899-12-30T18:26:00"/>
    <s v="Present"/>
    <s v="Evening"/>
    <s v="Remote"/>
    <n v="0"/>
  </r>
  <r>
    <s v="E1041"/>
    <s v="Employee_41"/>
    <x v="0"/>
    <d v="2024-03-02T00:00:00"/>
    <x v="0"/>
    <n v="2024"/>
    <n v="0"/>
    <n v="0"/>
    <m/>
    <m/>
    <s v="Absent"/>
    <s v="Evening"/>
    <s v="Remote"/>
    <n v="0"/>
  </r>
  <r>
    <s v="E1015"/>
    <s v="Employee_15"/>
    <x v="2"/>
    <d v="2024-06-03T00:00:00"/>
    <x v="11"/>
    <n v="2024"/>
    <n v="0"/>
    <n v="0"/>
    <m/>
    <m/>
    <s v="Absent"/>
    <s v="Morning"/>
    <s v="Office"/>
    <n v="0"/>
  </r>
  <r>
    <s v="E1031"/>
    <s v="Employee_31"/>
    <x v="1"/>
    <d v="2024-03-02T00:00:00"/>
    <x v="0"/>
    <n v="2024"/>
    <n v="1"/>
    <n v="0"/>
    <d v="1899-12-30T08:04:00"/>
    <d v="1899-12-30T16:34:00"/>
    <s v="Present"/>
    <s v="Morning"/>
    <s v="Office"/>
    <n v="0"/>
  </r>
  <r>
    <s v="E1008"/>
    <s v="Employee_8"/>
    <x v="3"/>
    <d v="2024-03-02T00:00:00"/>
    <x v="0"/>
    <n v="2024"/>
    <n v="1"/>
    <n v="0"/>
    <d v="1899-12-30T09:23:00"/>
    <d v="1899-12-30T18:47:00"/>
    <s v="Present"/>
    <s v="Morning"/>
    <s v="Office"/>
    <n v="0"/>
  </r>
  <r>
    <s v="E1055"/>
    <s v="Employee_55"/>
    <x v="2"/>
    <d v="2024-01-28T00:00:00"/>
    <x v="2"/>
    <n v="2024"/>
    <n v="1"/>
    <n v="0"/>
    <d v="1899-12-30T11:29:00"/>
    <d v="1899-12-30T16:24:00"/>
    <s v="Work From Home"/>
    <s v="Evening"/>
    <s v="Office"/>
    <n v="0"/>
  </r>
  <r>
    <s v="E1056"/>
    <s v="Employee_56"/>
    <x v="3"/>
    <d v="2024-02-04T00:00:00"/>
    <x v="5"/>
    <n v="2024"/>
    <n v="1"/>
    <n v="0"/>
    <d v="1899-12-30T08:56:00"/>
    <d v="1899-12-30T17:38:00"/>
    <s v="Present"/>
    <s v="Morning"/>
    <s v="Remote"/>
    <n v="0"/>
  </r>
  <r>
    <s v="E1001"/>
    <s v="Employee_1"/>
    <x v="0"/>
    <d v="2024-03-17T00:00:00"/>
    <x v="0"/>
    <n v="2024"/>
    <n v="1"/>
    <n v="1"/>
    <d v="1899-12-30T09:22:00"/>
    <d v="1899-12-30T19:28:00"/>
    <s v="Late"/>
    <s v="Evening"/>
    <s v="Remote"/>
    <n v="0"/>
  </r>
  <r>
    <s v="E1018"/>
    <s v="Employee_18"/>
    <x v="4"/>
    <d v="2024-02-16T00:00:00"/>
    <x v="5"/>
    <n v="2024"/>
    <n v="1"/>
    <n v="1"/>
    <d v="1899-12-30T09:37:00"/>
    <d v="1899-12-30T16:46:00"/>
    <s v="Late"/>
    <s v="Evening"/>
    <s v="Office"/>
    <n v="0"/>
  </r>
  <r>
    <s v="E1029"/>
    <s v="Employee_29"/>
    <x v="0"/>
    <d v="2024-07-01T00:00:00"/>
    <x v="4"/>
    <n v="2024"/>
    <n v="1"/>
    <n v="0"/>
    <d v="1899-12-30T11:58:00"/>
    <d v="1899-12-30T17:24:00"/>
    <s v="Present"/>
    <s v="Evening"/>
    <s v="Remote"/>
    <n v="0"/>
  </r>
  <r>
    <s v="E1054"/>
    <s v="Employee_54"/>
    <x v="3"/>
    <d v="2024-02-16T00:00:00"/>
    <x v="5"/>
    <n v="2024"/>
    <n v="1"/>
    <n v="0"/>
    <d v="1899-12-30T08:44:00"/>
    <d v="1899-12-30T16:23:00"/>
    <s v="Present"/>
    <s v="Morning"/>
    <s v="Remote"/>
    <n v="0"/>
  </r>
  <r>
    <s v="E1057"/>
    <s v="Employee_57"/>
    <x v="0"/>
    <d v="2024-04-01T00:00:00"/>
    <x v="10"/>
    <n v="2024"/>
    <n v="1"/>
    <n v="0"/>
    <d v="1899-12-30T10:20:00"/>
    <d v="1899-12-30T20:01:00"/>
    <s v="Present"/>
    <s v="Evening"/>
    <s v="Office"/>
    <n v="0"/>
  </r>
  <r>
    <s v="E1051"/>
    <s v="Employee_51"/>
    <x v="4"/>
    <d v="2024-02-23T00:00:00"/>
    <x v="5"/>
    <n v="2024"/>
    <n v="1"/>
    <n v="1"/>
    <d v="1899-12-30T08:17:00"/>
    <d v="1899-12-30T16:12:00"/>
    <s v="Late"/>
    <s v="Morning"/>
    <s v="Remote"/>
    <n v="0"/>
  </r>
  <r>
    <s v="E1035"/>
    <s v="Employee_35"/>
    <x v="0"/>
    <d v="2024-02-11T00:00:00"/>
    <x v="5"/>
    <n v="2024"/>
    <n v="1"/>
    <n v="1"/>
    <d v="1899-12-30T11:28:00"/>
    <d v="1899-12-30T20:12:00"/>
    <s v="Late"/>
    <s v="Morning"/>
    <s v="Office"/>
    <n v="0"/>
  </r>
  <r>
    <s v="E1028"/>
    <s v="Employee_28"/>
    <x v="0"/>
    <d v="2024-02-25T00:00:00"/>
    <x v="5"/>
    <n v="2024"/>
    <n v="1"/>
    <n v="0"/>
    <d v="1899-12-30T11:14:00"/>
    <d v="1899-12-30T18:05:00"/>
    <s v="Present"/>
    <s v="Evening"/>
    <s v="Office"/>
    <n v="0"/>
  </r>
  <r>
    <s v="E1033"/>
    <s v="Employee_33"/>
    <x v="4"/>
    <d v="2024-01-09T00:00:00"/>
    <x v="2"/>
    <n v="2024"/>
    <n v="1"/>
    <n v="0"/>
    <d v="1899-12-30T08:51:00"/>
    <d v="1899-12-30T18:53:00"/>
    <s v="Present"/>
    <s v="Evening"/>
    <s v="Remote"/>
    <n v="0"/>
  </r>
  <r>
    <s v="E1041"/>
    <s v="Employee_41"/>
    <x v="2"/>
    <d v="2024-02-15T00:00:00"/>
    <x v="5"/>
    <n v="2024"/>
    <n v="1"/>
    <n v="1"/>
    <d v="1899-12-30T09:32:00"/>
    <d v="1899-12-30T20:42:00"/>
    <s v="Late"/>
    <s v="Evening"/>
    <s v="Office"/>
    <n v="0"/>
  </r>
  <r>
    <s v="E1055"/>
    <s v="Employee_55"/>
    <x v="3"/>
    <d v="2024-01-29T00:00:00"/>
    <x v="2"/>
    <n v="2024"/>
    <n v="1"/>
    <n v="1"/>
    <d v="1899-12-30T11:49:00"/>
    <d v="1899-12-30T17:21:00"/>
    <s v="Late"/>
    <s v="Morning"/>
    <s v="Remote"/>
    <n v="0"/>
  </r>
  <r>
    <s v="E1057"/>
    <s v="Employee_57"/>
    <x v="1"/>
    <d v="2024-02-15T00:00:00"/>
    <x v="5"/>
    <n v="2024"/>
    <n v="1"/>
    <n v="1"/>
    <d v="1899-12-30T08:17:00"/>
    <d v="1899-12-30T20:14:00"/>
    <s v="Late"/>
    <s v="Evening"/>
    <s v="Remote"/>
    <n v="0"/>
  </r>
  <r>
    <s v="E1041"/>
    <s v="Employee_41"/>
    <x v="2"/>
    <d v="2024-03-19T00:00:00"/>
    <x v="0"/>
    <n v="2024"/>
    <n v="1"/>
    <n v="0"/>
    <d v="1899-12-30T10:16:00"/>
    <d v="1899-12-30T16:46:00"/>
    <s v="Present"/>
    <s v="Morning"/>
    <s v="Office"/>
    <n v="0"/>
  </r>
  <r>
    <s v="E1049"/>
    <s v="Employee_49"/>
    <x v="1"/>
    <d v="2024-05-03T00:00:00"/>
    <x v="6"/>
    <n v="2024"/>
    <n v="1"/>
    <n v="1"/>
    <d v="1899-12-30T08:19:00"/>
    <d v="1899-12-30T20:18:00"/>
    <s v="Late"/>
    <s v="Evening"/>
    <s v="Office"/>
    <n v="0"/>
  </r>
  <r>
    <s v="E1020"/>
    <s v="Employee_20"/>
    <x v="1"/>
    <d v="2024-05-01T00:00:00"/>
    <x v="6"/>
    <n v="2024"/>
    <n v="0"/>
    <n v="0"/>
    <m/>
    <m/>
    <s v="Absent"/>
    <s v="Evening"/>
    <s v="Remote"/>
    <n v="0"/>
  </r>
  <r>
    <s v="E1019"/>
    <s v="Employee_19"/>
    <x v="2"/>
    <d v="2024-08-01T00:00:00"/>
    <x v="9"/>
    <n v="2024"/>
    <n v="1"/>
    <n v="0"/>
    <d v="1899-12-30T10:55:00"/>
    <d v="1899-12-30T19:40:00"/>
    <s v="Present"/>
    <s v="Morning"/>
    <s v="Remote"/>
    <n v="0"/>
  </r>
  <r>
    <s v="E1049"/>
    <s v="Employee_49"/>
    <x v="2"/>
    <d v="2024-01-24T00:00:00"/>
    <x v="2"/>
    <n v="2024"/>
    <n v="1"/>
    <n v="1"/>
    <d v="1899-12-30T10:14:00"/>
    <d v="1899-12-30T16:29:00"/>
    <s v="Late"/>
    <s v="Evening"/>
    <s v="Office"/>
    <n v="0"/>
  </r>
  <r>
    <s v="E1022"/>
    <s v="Employee_22"/>
    <x v="3"/>
    <d v="2024-01-31T00:00:00"/>
    <x v="2"/>
    <n v="2024"/>
    <n v="1"/>
    <n v="0"/>
    <d v="1899-12-30T10:38:00"/>
    <d v="1899-12-30T16:34:00"/>
    <s v="Work From Home"/>
    <s v="Morning"/>
    <s v="Remote"/>
    <n v="0"/>
  </r>
  <r>
    <s v="E1012"/>
    <s v="Employee_12"/>
    <x v="3"/>
    <d v="2024-09-02T00:00:00"/>
    <x v="3"/>
    <n v="2024"/>
    <n v="1"/>
    <n v="0"/>
    <d v="1899-12-30T09:27:00"/>
    <d v="1899-12-30T18:12:00"/>
    <s v="Work From Home"/>
    <s v="Evening"/>
    <s v="Office"/>
    <n v="0"/>
  </r>
  <r>
    <s v="E1035"/>
    <s v="Employee_35"/>
    <x v="2"/>
    <d v="2024-03-28T00:00:00"/>
    <x v="0"/>
    <n v="2024"/>
    <n v="1"/>
    <n v="0"/>
    <d v="1899-12-30T09:55:00"/>
    <d v="1899-12-30T16:13:00"/>
    <s v="Present"/>
    <s v="Evening"/>
    <s v="Remote"/>
    <n v="0"/>
  </r>
  <r>
    <s v="E1024"/>
    <s v="Employee_24"/>
    <x v="0"/>
    <d v="2024-08-02T00:00:00"/>
    <x v="9"/>
    <n v="2024"/>
    <n v="1"/>
    <n v="0"/>
    <d v="1899-12-30T11:02:00"/>
    <d v="1899-12-30T19:23:00"/>
    <s v="Present"/>
    <s v="Morning"/>
    <s v="Office"/>
    <n v="0"/>
  </r>
  <r>
    <s v="E1022"/>
    <s v="Employee_22"/>
    <x v="3"/>
    <d v="2024-01-27T00:00:00"/>
    <x v="2"/>
    <n v="2024"/>
    <n v="1"/>
    <n v="1"/>
    <d v="1899-12-30T09:32:00"/>
    <d v="1899-12-30T18:26:00"/>
    <s v="Late"/>
    <s v="Morning"/>
    <s v="Remote"/>
    <n v="0"/>
  </r>
  <r>
    <s v="E1040"/>
    <s v="Employee_40"/>
    <x v="4"/>
    <d v="2024-01-31T00:00:00"/>
    <x v="2"/>
    <n v="2024"/>
    <n v="1"/>
    <n v="0"/>
    <d v="1899-12-30T09:07:00"/>
    <d v="1899-12-30T17:05:00"/>
    <s v="Present"/>
    <s v="Morning"/>
    <s v="Remote"/>
    <n v="0"/>
  </r>
  <r>
    <s v="E1035"/>
    <s v="Employee_35"/>
    <x v="4"/>
    <d v="2024-03-01T00:00:00"/>
    <x v="0"/>
    <n v="2024"/>
    <n v="1"/>
    <n v="0"/>
    <d v="1899-12-30T08:37:00"/>
    <d v="1899-12-30T20:08:00"/>
    <s v="Present"/>
    <s v="Morning"/>
    <s v="Office"/>
    <n v="0"/>
  </r>
  <r>
    <s v="E1029"/>
    <s v="Employee_29"/>
    <x v="1"/>
    <d v="2024-09-01T00:00:00"/>
    <x v="3"/>
    <n v="2024"/>
    <n v="0"/>
    <n v="0"/>
    <m/>
    <m/>
    <s v="Absent"/>
    <s v="Evening"/>
    <s v="Office"/>
    <n v="0"/>
  </r>
  <r>
    <s v="E1004"/>
    <s v="Employee_4"/>
    <x v="4"/>
    <d v="2024-01-31T00:00:00"/>
    <x v="2"/>
    <n v="2024"/>
    <n v="1"/>
    <n v="0"/>
    <d v="1899-12-30T10:17:00"/>
    <d v="1899-12-30T20:01:00"/>
    <s v="Present"/>
    <s v="Evening"/>
    <s v="Office"/>
    <n v="0"/>
  </r>
  <r>
    <s v="E1018"/>
    <s v="Employee_18"/>
    <x v="1"/>
    <d v="2024-01-21T00:00:00"/>
    <x v="2"/>
    <n v="2024"/>
    <n v="1"/>
    <n v="0"/>
    <d v="1899-12-30T10:44:00"/>
    <d v="1899-12-30T20:11:00"/>
    <s v="Work From Home"/>
    <s v="Morning"/>
    <s v="Remote"/>
    <n v="0"/>
  </r>
  <r>
    <s v="E1039"/>
    <s v="Employee_39"/>
    <x v="2"/>
    <d v="2024-03-11T00:00:00"/>
    <x v="0"/>
    <n v="2024"/>
    <n v="1"/>
    <n v="0"/>
    <d v="1899-12-30T10:17:00"/>
    <d v="1899-12-30T17:22:00"/>
    <s v="Present"/>
    <s v="Evening"/>
    <s v="Office"/>
    <n v="0"/>
  </r>
  <r>
    <s v="E1014"/>
    <s v="Employee_14"/>
    <x v="2"/>
    <d v="2024-01-26T00:00:00"/>
    <x v="2"/>
    <n v="2024"/>
    <n v="1"/>
    <n v="0"/>
    <d v="1899-12-30T10:31:00"/>
    <d v="1899-12-30T19:59:00"/>
    <s v="Work From Home"/>
    <s v="Evening"/>
    <s v="Remote"/>
    <n v="0"/>
  </r>
  <r>
    <s v="E1002"/>
    <s v="Employee_2"/>
    <x v="4"/>
    <d v="2024-01-02T00:00:00"/>
    <x v="2"/>
    <n v="2024"/>
    <n v="0"/>
    <n v="0"/>
    <m/>
    <m/>
    <s v="Absent"/>
    <s v="Morning"/>
    <s v="Remote"/>
    <n v="0"/>
  </r>
  <r>
    <s v="E1047"/>
    <s v="Employee_47"/>
    <x v="0"/>
    <d v="2024-01-15T00:00:00"/>
    <x v="2"/>
    <n v="2024"/>
    <n v="1"/>
    <n v="0"/>
    <d v="1899-12-30T08:06:00"/>
    <d v="1899-12-30T16:16:00"/>
    <s v="Present"/>
    <s v="Evening"/>
    <s v="Office"/>
    <n v="0"/>
  </r>
  <r>
    <s v="E1032"/>
    <s v="Employee_32"/>
    <x v="4"/>
    <d v="2024-03-18T00:00:00"/>
    <x v="0"/>
    <n v="2024"/>
    <n v="1"/>
    <n v="1"/>
    <d v="1899-12-30T09:31:00"/>
    <d v="1899-12-30T19:55:00"/>
    <s v="Late"/>
    <s v="Evening"/>
    <s v="Remote"/>
    <n v="0"/>
  </r>
  <r>
    <s v="E1008"/>
    <s v="Employee_8"/>
    <x v="4"/>
    <d v="2024-02-16T00:00:00"/>
    <x v="5"/>
    <n v="2024"/>
    <n v="0"/>
    <n v="0"/>
    <m/>
    <m/>
    <s v="Absent"/>
    <s v="Morning"/>
    <s v="Remote"/>
    <n v="0"/>
  </r>
  <r>
    <s v="E1030"/>
    <s v="Employee_30"/>
    <x v="2"/>
    <d v="2024-03-15T00:00:00"/>
    <x v="0"/>
    <n v="2024"/>
    <n v="1"/>
    <n v="0"/>
    <d v="1899-12-30T10:55:00"/>
    <d v="1899-12-30T18:15:00"/>
    <s v="Work From Home"/>
    <s v="Morning"/>
    <s v="Office"/>
    <n v="0"/>
  </r>
  <r>
    <s v="E1017"/>
    <s v="Employee_17"/>
    <x v="1"/>
    <d v="2024-01-15T00:00:00"/>
    <x v="2"/>
    <n v="2024"/>
    <n v="1"/>
    <n v="0"/>
    <d v="1899-12-30T08:42:00"/>
    <d v="1899-12-30T17:22:00"/>
    <s v="Present"/>
    <s v="Evening"/>
    <s v="Office"/>
    <n v="0"/>
  </r>
  <r>
    <s v="E1023"/>
    <s v="Employee_23"/>
    <x v="4"/>
    <d v="2024-09-02T00:00:00"/>
    <x v="3"/>
    <n v="2024"/>
    <n v="1"/>
    <n v="1"/>
    <d v="1899-12-30T10:58:00"/>
    <d v="1899-12-30T20:27:00"/>
    <s v="Late"/>
    <s v="Evening"/>
    <s v="Office"/>
    <n v="0"/>
  </r>
  <r>
    <s v="E1032"/>
    <s v="Employee_32"/>
    <x v="2"/>
    <d v="2024-02-15T00:00:00"/>
    <x v="5"/>
    <n v="2024"/>
    <n v="1"/>
    <n v="0"/>
    <d v="1899-12-30T09:25:00"/>
    <d v="1899-12-30T19:43:00"/>
    <s v="Work From Home"/>
    <s v="Evening"/>
    <s v="Remote"/>
    <n v="0"/>
  </r>
  <r>
    <s v="E1013"/>
    <s v="Employee_13"/>
    <x v="3"/>
    <d v="2024-02-23T00:00:00"/>
    <x v="5"/>
    <n v="2024"/>
    <n v="1"/>
    <n v="1"/>
    <d v="1899-12-30T11:48:00"/>
    <d v="1899-12-30T18:44:00"/>
    <s v="Late"/>
    <s v="Morning"/>
    <s v="Office"/>
    <n v="0"/>
  </r>
  <r>
    <s v="E1021"/>
    <s v="Employee_21"/>
    <x v="3"/>
    <d v="2024-03-02T00:00:00"/>
    <x v="0"/>
    <n v="2024"/>
    <n v="1"/>
    <n v="0"/>
    <d v="1899-12-30T09:24:00"/>
    <d v="1899-12-30T18:25:00"/>
    <s v="Work From Home"/>
    <s v="Morning"/>
    <s v="Office"/>
    <n v="0"/>
  </r>
  <r>
    <s v="E1010"/>
    <s v="Employee_10"/>
    <x v="4"/>
    <d v="2024-01-08T00:00:00"/>
    <x v="2"/>
    <n v="2024"/>
    <n v="1"/>
    <n v="0"/>
    <d v="1899-12-30T08:17:00"/>
    <d v="1899-12-30T16:07:00"/>
    <s v="Work From Home"/>
    <s v="Evening"/>
    <s v="Remote"/>
    <n v="0"/>
  </r>
  <r>
    <s v="E1033"/>
    <s v="Employee_33"/>
    <x v="4"/>
    <d v="2024-01-26T00:00:00"/>
    <x v="2"/>
    <n v="2024"/>
    <n v="0"/>
    <n v="0"/>
    <m/>
    <m/>
    <s v="Absent"/>
    <s v="Evening"/>
    <s v="Office"/>
    <n v="0"/>
  </r>
  <r>
    <s v="E1027"/>
    <s v="Employee_27"/>
    <x v="2"/>
    <d v="2024-02-20T00:00:00"/>
    <x v="5"/>
    <n v="2024"/>
    <n v="0"/>
    <n v="0"/>
    <m/>
    <m/>
    <s v="Absent"/>
    <s v="Evening"/>
    <s v="Office"/>
    <n v="0"/>
  </r>
  <r>
    <s v="E1050"/>
    <s v="Employee_50"/>
    <x v="4"/>
    <d v="2024-07-01T00:00:00"/>
    <x v="4"/>
    <n v="2024"/>
    <n v="1"/>
    <n v="0"/>
    <d v="1899-12-30T11:17:00"/>
    <d v="1899-12-30T18:06:00"/>
    <s v="Work From Home"/>
    <s v="Evening"/>
    <s v="Office"/>
    <n v="0"/>
  </r>
  <r>
    <s v="E1037"/>
    <s v="Employee_37"/>
    <x v="1"/>
    <d v="2024-01-15T00:00:00"/>
    <x v="2"/>
    <n v="2024"/>
    <n v="1"/>
    <n v="0"/>
    <d v="1899-12-30T08:29:00"/>
    <d v="1899-12-30T16:44:00"/>
    <s v="Present"/>
    <s v="Morning"/>
    <s v="Remote"/>
    <n v="0"/>
  </r>
  <r>
    <s v="E1051"/>
    <s v="Employee_51"/>
    <x v="3"/>
    <d v="2024-01-17T00:00:00"/>
    <x v="2"/>
    <n v="2024"/>
    <n v="1"/>
    <n v="1"/>
    <d v="1899-12-30T10:30:00"/>
    <d v="1899-12-30T20:18:00"/>
    <s v="Late"/>
    <s v="Evening"/>
    <s v="Office"/>
    <n v="0"/>
  </r>
  <r>
    <s v="E1045"/>
    <s v="Employee_45"/>
    <x v="3"/>
    <d v="2024-01-16T00:00:00"/>
    <x v="2"/>
    <n v="2024"/>
    <n v="0"/>
    <n v="0"/>
    <m/>
    <m/>
    <s v="Absent"/>
    <s v="Morning"/>
    <s v="Remote"/>
    <n v="0"/>
  </r>
  <r>
    <s v="E1037"/>
    <s v="Employee_37"/>
    <x v="4"/>
    <d v="2024-03-11T00:00:00"/>
    <x v="0"/>
    <n v="2024"/>
    <n v="1"/>
    <n v="1"/>
    <d v="1899-12-30T09:48:00"/>
    <d v="1899-12-30T18:51:00"/>
    <s v="Late"/>
    <s v="Evening"/>
    <s v="Office"/>
    <n v="0"/>
  </r>
  <r>
    <s v="E1002"/>
    <s v="Employee_2"/>
    <x v="1"/>
    <d v="2024-03-21T00:00:00"/>
    <x v="0"/>
    <n v="2024"/>
    <n v="1"/>
    <n v="1"/>
    <d v="1899-12-30T08:36:00"/>
    <d v="1899-12-30T19:18:00"/>
    <s v="Late"/>
    <s v="Evening"/>
    <s v="Remote"/>
    <n v="0"/>
  </r>
  <r>
    <s v="E1043"/>
    <s v="Employee_43"/>
    <x v="3"/>
    <d v="2024-01-26T00:00:00"/>
    <x v="2"/>
    <n v="2024"/>
    <n v="0"/>
    <n v="0"/>
    <m/>
    <m/>
    <s v="Absent"/>
    <s v="Evening"/>
    <s v="Office"/>
    <n v="0"/>
  </r>
  <r>
    <s v="E1018"/>
    <s v="Employee_18"/>
    <x v="2"/>
    <d v="2024-01-14T00:00:00"/>
    <x v="2"/>
    <n v="2024"/>
    <n v="1"/>
    <n v="0"/>
    <d v="1899-12-30T09:09:00"/>
    <d v="1899-12-30T16:27:00"/>
    <s v="Present"/>
    <s v="Morning"/>
    <s v="Office"/>
    <n v="0"/>
  </r>
  <r>
    <s v="E1017"/>
    <s v="Employee_17"/>
    <x v="3"/>
    <d v="2024-01-07T00:00:00"/>
    <x v="2"/>
    <n v="2024"/>
    <n v="1"/>
    <n v="0"/>
    <d v="1899-12-30T10:22:00"/>
    <d v="1899-12-30T16:58:00"/>
    <s v="Present"/>
    <s v="Evening"/>
    <s v="Office"/>
    <n v="0"/>
  </r>
  <r>
    <s v="E1007"/>
    <s v="Employee_7"/>
    <x v="3"/>
    <d v="2024-03-09T00:00:00"/>
    <x v="0"/>
    <n v="2024"/>
    <n v="1"/>
    <n v="0"/>
    <d v="1899-12-30T09:51:00"/>
    <d v="1899-12-30T16:15:00"/>
    <s v="Present"/>
    <s v="Evening"/>
    <s v="Remote"/>
    <n v="0"/>
  </r>
  <r>
    <s v="E1021"/>
    <s v="Employee_21"/>
    <x v="2"/>
    <d v="2024-12-03T00:00:00"/>
    <x v="8"/>
    <n v="2024"/>
    <n v="1"/>
    <n v="0"/>
    <d v="1899-12-30T08:21:00"/>
    <d v="1899-12-30T17:48:00"/>
    <s v="Present"/>
    <s v="Evening"/>
    <s v="Remote"/>
    <n v="0"/>
  </r>
  <r>
    <s v="E1003"/>
    <s v="Employee_3"/>
    <x v="4"/>
    <d v="2024-03-02T00:00:00"/>
    <x v="0"/>
    <n v="2024"/>
    <n v="1"/>
    <n v="0"/>
    <d v="1899-12-30T09:40:00"/>
    <d v="1899-12-30T17:13:00"/>
    <s v="Work From Home"/>
    <s v="Evening"/>
    <s v="Office"/>
    <n v="0"/>
  </r>
  <r>
    <s v="E1051"/>
    <s v="Employee_51"/>
    <x v="2"/>
    <d v="2024-02-26T00:00:00"/>
    <x v="5"/>
    <n v="2024"/>
    <n v="1"/>
    <n v="1"/>
    <d v="1899-12-30T08:27:00"/>
    <d v="1899-12-30T16:04:00"/>
    <s v="Late"/>
    <s v="Morning"/>
    <s v="Office"/>
    <n v="0"/>
  </r>
  <r>
    <s v="E1058"/>
    <s v="Employee_58"/>
    <x v="1"/>
    <d v="2024-06-03T00:00:00"/>
    <x v="11"/>
    <n v="2024"/>
    <n v="0"/>
    <n v="0"/>
    <m/>
    <m/>
    <s v="Absent"/>
    <s v="Morning"/>
    <s v="Office"/>
    <n v="0"/>
  </r>
  <r>
    <s v="E1059"/>
    <s v="Employee_59"/>
    <x v="3"/>
    <d v="2024-01-17T00:00:00"/>
    <x v="2"/>
    <n v="2024"/>
    <n v="0"/>
    <n v="0"/>
    <m/>
    <m/>
    <s v="Absent"/>
    <s v="Evening"/>
    <s v="Office"/>
    <n v="0"/>
  </r>
  <r>
    <s v="E1044"/>
    <s v="Employee_44"/>
    <x v="1"/>
    <d v="2024-01-20T00:00:00"/>
    <x v="2"/>
    <n v="2024"/>
    <n v="1"/>
    <n v="0"/>
    <d v="1899-12-30T08:28:00"/>
    <d v="1899-12-30T19:47:00"/>
    <s v="Work From Home"/>
    <s v="Morning"/>
    <s v="Office"/>
    <n v="0"/>
  </r>
  <r>
    <s v="E1007"/>
    <s v="Employee_7"/>
    <x v="3"/>
    <d v="2024-01-13T00:00:00"/>
    <x v="2"/>
    <n v="2024"/>
    <n v="1"/>
    <n v="1"/>
    <d v="1899-12-30T10:43:00"/>
    <d v="1899-12-30T18:35:00"/>
    <s v="Late"/>
    <s v="Morning"/>
    <s v="Office"/>
    <n v="0"/>
  </r>
  <r>
    <s v="E1035"/>
    <s v="Employee_35"/>
    <x v="3"/>
    <d v="2024-10-01T00:00:00"/>
    <x v="7"/>
    <n v="2024"/>
    <n v="0"/>
    <n v="0"/>
    <m/>
    <m/>
    <s v="Absent"/>
    <s v="Morning"/>
    <s v="Remote"/>
    <n v="0"/>
  </r>
  <r>
    <s v="E1028"/>
    <s v="Employee_28"/>
    <x v="4"/>
    <d v="2024-01-15T00:00:00"/>
    <x v="2"/>
    <n v="2024"/>
    <n v="1"/>
    <n v="0"/>
    <d v="1899-12-30T10:00:00"/>
    <d v="1899-12-30T16:35:00"/>
    <s v="Work From Home"/>
    <s v="Evening"/>
    <s v="Remote"/>
    <n v="0"/>
  </r>
  <r>
    <s v="E1044"/>
    <s v="Employee_44"/>
    <x v="3"/>
    <d v="2024-03-20T00:00:00"/>
    <x v="0"/>
    <n v="2024"/>
    <n v="1"/>
    <n v="0"/>
    <d v="1899-12-30T11:53:00"/>
    <d v="1899-12-30T16:17:00"/>
    <s v="Present"/>
    <s v="Morning"/>
    <s v="Office"/>
    <n v="0"/>
  </r>
  <r>
    <s v="E1057"/>
    <s v="Employee_57"/>
    <x v="2"/>
    <d v="2024-01-04T00:00:00"/>
    <x v="2"/>
    <n v="2024"/>
    <n v="1"/>
    <n v="0"/>
    <d v="1899-12-30T08:40:00"/>
    <d v="1899-12-30T17:43:00"/>
    <s v="Work From Home"/>
    <s v="Evening"/>
    <s v="Remote"/>
    <n v="0"/>
  </r>
  <r>
    <s v="E1055"/>
    <s v="Employee_55"/>
    <x v="2"/>
    <d v="2024-01-15T00:00:00"/>
    <x v="2"/>
    <n v="2024"/>
    <n v="1"/>
    <n v="0"/>
    <d v="1899-12-30T10:20:00"/>
    <d v="1899-12-30T19:47:00"/>
    <s v="Present"/>
    <s v="Evening"/>
    <s v="Office"/>
    <n v="0"/>
  </r>
  <r>
    <s v="E1010"/>
    <s v="Employee_10"/>
    <x v="4"/>
    <d v="2024-02-20T00:00:00"/>
    <x v="5"/>
    <n v="2024"/>
    <n v="1"/>
    <n v="1"/>
    <d v="1899-12-30T09:51:00"/>
    <d v="1899-12-30T17:02:00"/>
    <s v="Late"/>
    <s v="Morning"/>
    <s v="Remote"/>
    <n v="0"/>
  </r>
  <r>
    <s v="E1042"/>
    <s v="Employee_42"/>
    <x v="4"/>
    <d v="2024-02-19T00:00:00"/>
    <x v="5"/>
    <n v="2024"/>
    <n v="1"/>
    <n v="1"/>
    <d v="1899-12-30T09:14:00"/>
    <d v="1899-12-30T19:30:00"/>
    <s v="Late"/>
    <s v="Evening"/>
    <s v="Office"/>
    <n v="0"/>
  </r>
  <r>
    <s v="E1021"/>
    <s v="Employee_21"/>
    <x v="0"/>
    <d v="2024-04-01T00:00:00"/>
    <x v="10"/>
    <n v="2024"/>
    <n v="0"/>
    <n v="0"/>
    <m/>
    <m/>
    <s v="Absent"/>
    <s v="Evening"/>
    <s v="Office"/>
    <n v="0"/>
  </r>
  <r>
    <s v="E1028"/>
    <s v="Employee_28"/>
    <x v="0"/>
    <d v="2024-12-02T00:00:00"/>
    <x v="8"/>
    <n v="2024"/>
    <n v="1"/>
    <n v="1"/>
    <d v="1899-12-30T09:33:00"/>
    <d v="1899-12-30T18:13:00"/>
    <s v="Late"/>
    <s v="Morning"/>
    <s v="Remote"/>
    <n v="0"/>
  </r>
  <r>
    <s v="E1051"/>
    <s v="Employee_51"/>
    <x v="2"/>
    <d v="2024-01-18T00:00:00"/>
    <x v="2"/>
    <n v="2024"/>
    <n v="1"/>
    <n v="0"/>
    <d v="1899-12-30T10:38:00"/>
    <d v="1899-12-30T17:10:00"/>
    <s v="Present"/>
    <s v="Morning"/>
    <s v="Remote"/>
    <n v="0"/>
  </r>
  <r>
    <s v="E1028"/>
    <s v="Employee_28"/>
    <x v="1"/>
    <d v="2024-01-24T00:00:00"/>
    <x v="2"/>
    <n v="2024"/>
    <n v="0"/>
    <n v="0"/>
    <m/>
    <m/>
    <s v="Absent"/>
    <s v="Morning"/>
    <s v="Office"/>
    <n v="0"/>
  </r>
  <r>
    <s v="E1005"/>
    <s v="Employee_5"/>
    <x v="4"/>
    <d v="2024-01-18T00:00:00"/>
    <x v="2"/>
    <n v="2024"/>
    <n v="1"/>
    <n v="0"/>
    <d v="1899-12-30T08:30:00"/>
    <d v="1899-12-30T18:03:00"/>
    <s v="Work From Home"/>
    <s v="Evening"/>
    <s v="Remote"/>
    <n v="0"/>
  </r>
  <r>
    <s v="E1024"/>
    <s v="Employee_24"/>
    <x v="3"/>
    <d v="2024-03-23T00:00:00"/>
    <x v="0"/>
    <n v="2024"/>
    <n v="1"/>
    <n v="0"/>
    <d v="1899-12-30T08:40:00"/>
    <d v="1899-12-30T16:13:00"/>
    <s v="Work From Home"/>
    <s v="Morning"/>
    <s v="Remote"/>
    <n v="0"/>
  </r>
  <r>
    <s v="E1006"/>
    <s v="Employee_6"/>
    <x v="1"/>
    <d v="2024-06-03T00:00:00"/>
    <x v="11"/>
    <n v="2024"/>
    <n v="1"/>
    <n v="1"/>
    <d v="1899-12-30T11:25:00"/>
    <d v="1899-12-30T16:07:00"/>
    <s v="Late"/>
    <s v="Morning"/>
    <s v="Office"/>
    <n v="0"/>
  </r>
  <r>
    <s v="E1027"/>
    <s v="Employee_27"/>
    <x v="4"/>
    <d v="2024-01-19T00:00:00"/>
    <x v="2"/>
    <n v="2024"/>
    <n v="1"/>
    <n v="0"/>
    <d v="1899-12-30T08:22:00"/>
    <d v="1899-12-30T18:05:00"/>
    <s v="Work From Home"/>
    <s v="Evening"/>
    <s v="Office"/>
    <n v="0"/>
  </r>
  <r>
    <s v="E1043"/>
    <s v="Employee_43"/>
    <x v="2"/>
    <d v="2024-12-02T00:00:00"/>
    <x v="8"/>
    <n v="2024"/>
    <n v="1"/>
    <n v="0"/>
    <d v="1899-12-30T09:15:00"/>
    <d v="1899-12-30T16:29:00"/>
    <s v="Work From Home"/>
    <s v="Morning"/>
    <s v="Office"/>
    <n v="0"/>
  </r>
  <r>
    <s v="E1014"/>
    <s v="Employee_14"/>
    <x v="1"/>
    <d v="2024-01-09T00:00:00"/>
    <x v="2"/>
    <n v="2024"/>
    <n v="1"/>
    <n v="1"/>
    <d v="1899-12-30T09:02:00"/>
    <d v="1899-12-30T18:16:00"/>
    <s v="Late"/>
    <s v="Morning"/>
    <s v="Remote"/>
    <n v="0"/>
  </r>
  <r>
    <s v="E1003"/>
    <s v="Employee_3"/>
    <x v="3"/>
    <d v="2024-02-17T00:00:00"/>
    <x v="5"/>
    <n v="2024"/>
    <n v="1"/>
    <n v="0"/>
    <d v="1899-12-30T08:53:00"/>
    <d v="1899-12-30T19:29:00"/>
    <s v="Work From Home"/>
    <s v="Morning"/>
    <s v="Remote"/>
    <n v="0"/>
  </r>
  <r>
    <s v="E1021"/>
    <s v="Employee_21"/>
    <x v="4"/>
    <d v="2024-01-13T00:00:00"/>
    <x v="2"/>
    <n v="2024"/>
    <n v="1"/>
    <n v="0"/>
    <d v="1899-12-30T09:36:00"/>
    <d v="1899-12-30T19:13:00"/>
    <s v="Work From Home"/>
    <s v="Evening"/>
    <s v="Office"/>
    <n v="0"/>
  </r>
  <r>
    <s v="E1038"/>
    <s v="Employee_38"/>
    <x v="4"/>
    <d v="2024-03-23T00:00:00"/>
    <x v="0"/>
    <n v="2024"/>
    <n v="1"/>
    <n v="1"/>
    <d v="1899-12-30T10:51:00"/>
    <d v="1899-12-30T16:54:00"/>
    <s v="Late"/>
    <s v="Morning"/>
    <s v="Office"/>
    <n v="0"/>
  </r>
  <r>
    <s v="E1028"/>
    <s v="Employee_28"/>
    <x v="2"/>
    <d v="2024-07-01T00:00:00"/>
    <x v="4"/>
    <n v="2024"/>
    <n v="1"/>
    <n v="0"/>
    <d v="1899-12-30T08:56:00"/>
    <d v="1899-12-30T17:32:00"/>
    <s v="Work From Home"/>
    <s v="Evening"/>
    <s v="Remote"/>
    <n v="0"/>
  </r>
  <r>
    <s v="E1019"/>
    <s v="Employee_19"/>
    <x v="2"/>
    <d v="2024-01-29T00:00:00"/>
    <x v="2"/>
    <n v="2024"/>
    <n v="1"/>
    <n v="1"/>
    <d v="1899-12-30T09:03:00"/>
    <d v="1899-12-30T18:31:00"/>
    <s v="Late"/>
    <s v="Morning"/>
    <s v="Remote"/>
    <n v="0"/>
  </r>
  <r>
    <s v="E1057"/>
    <s v="Employee_57"/>
    <x v="0"/>
    <d v="2024-08-02T00:00:00"/>
    <x v="9"/>
    <n v="2024"/>
    <n v="1"/>
    <n v="0"/>
    <d v="1899-12-30T10:50:00"/>
    <d v="1899-12-30T17:52:00"/>
    <s v="Work From Home"/>
    <s v="Evening"/>
    <s v="Remote"/>
    <n v="0"/>
  </r>
  <r>
    <s v="E1038"/>
    <s v="Employee_38"/>
    <x v="0"/>
    <d v="2024-02-02T00:00:00"/>
    <x v="5"/>
    <n v="2024"/>
    <n v="1"/>
    <n v="0"/>
    <d v="1899-12-30T09:33:00"/>
    <d v="1899-12-30T16:16:00"/>
    <s v="Work From Home"/>
    <s v="Morning"/>
    <s v="Remote"/>
    <n v="0"/>
  </r>
  <r>
    <s v="E1043"/>
    <s v="Employee_43"/>
    <x v="0"/>
    <d v="2024-03-20T00:00:00"/>
    <x v="0"/>
    <n v="2024"/>
    <n v="0"/>
    <n v="0"/>
    <m/>
    <m/>
    <s v="Absent"/>
    <s v="Evening"/>
    <s v="Office"/>
    <n v="0"/>
  </r>
  <r>
    <s v="E1054"/>
    <s v="Employee_54"/>
    <x v="1"/>
    <d v="2024-02-15T00:00:00"/>
    <x v="5"/>
    <n v="2024"/>
    <n v="1"/>
    <n v="0"/>
    <d v="1899-12-30T11:08:00"/>
    <d v="1899-12-30T20:32:00"/>
    <s v="Present"/>
    <s v="Morning"/>
    <s v="Office"/>
    <n v="0"/>
  </r>
  <r>
    <s v="E1022"/>
    <s v="Employee_22"/>
    <x v="1"/>
    <d v="2024-02-02T00:00:00"/>
    <x v="5"/>
    <n v="2024"/>
    <n v="1"/>
    <n v="1"/>
    <d v="1899-12-30T10:51:00"/>
    <d v="1899-12-30T18:00:00"/>
    <s v="Late"/>
    <s v="Evening"/>
    <s v="Office"/>
    <n v="0"/>
  </r>
  <r>
    <s v="E1024"/>
    <s v="Employee_24"/>
    <x v="0"/>
    <d v="2024-02-17T00:00:00"/>
    <x v="5"/>
    <n v="2024"/>
    <n v="1"/>
    <n v="1"/>
    <d v="1899-12-30T11:06:00"/>
    <d v="1899-12-30T17:02:00"/>
    <s v="Late"/>
    <s v="Evening"/>
    <s v="Remote"/>
    <n v="0"/>
  </r>
  <r>
    <s v="E1025"/>
    <s v="Employee_25"/>
    <x v="0"/>
    <d v="2024-08-01T00:00:00"/>
    <x v="9"/>
    <n v="2024"/>
    <n v="0"/>
    <n v="0"/>
    <m/>
    <m/>
    <s v="Absent"/>
    <s v="Evening"/>
    <s v="Remote"/>
    <n v="0"/>
  </r>
  <r>
    <s v="E1011"/>
    <s v="Employee_11"/>
    <x v="0"/>
    <d v="2024-01-05T00:00:00"/>
    <x v="2"/>
    <n v="2024"/>
    <n v="1"/>
    <n v="0"/>
    <d v="1899-12-30T09:46:00"/>
    <d v="1899-12-30T17:16:00"/>
    <s v="Present"/>
    <s v="Morning"/>
    <s v="Office"/>
    <n v="0"/>
  </r>
  <r>
    <s v="E1000"/>
    <s v="Employee_0"/>
    <x v="3"/>
    <d v="2024-01-01T00:00:00"/>
    <x v="2"/>
    <n v="2024"/>
    <n v="1"/>
    <n v="1"/>
    <d v="1899-12-30T11:14:00"/>
    <d v="1899-12-30T19:22:00"/>
    <s v="Late"/>
    <s v="Evening"/>
    <s v="Office"/>
    <n v="0"/>
  </r>
  <r>
    <s v="E1047"/>
    <s v="Employee_47"/>
    <x v="4"/>
    <d v="2024-02-24T00:00:00"/>
    <x v="5"/>
    <n v="2024"/>
    <n v="1"/>
    <n v="0"/>
    <d v="1899-12-30T10:22:00"/>
    <d v="1899-12-30T18:58:00"/>
    <s v="Present"/>
    <s v="Evening"/>
    <s v="Remote"/>
    <n v="0"/>
  </r>
  <r>
    <s v="E1009"/>
    <s v="Employee_9"/>
    <x v="4"/>
    <d v="2024-01-03T00:00:00"/>
    <x v="2"/>
    <n v="2024"/>
    <n v="0"/>
    <n v="0"/>
    <m/>
    <m/>
    <s v="Absent"/>
    <s v="Evening"/>
    <s v="Remote"/>
    <n v="0"/>
  </r>
  <r>
    <s v="E1007"/>
    <s v="Employee_7"/>
    <x v="4"/>
    <d v="2024-01-07T00:00:00"/>
    <x v="2"/>
    <n v="2024"/>
    <n v="0"/>
    <n v="0"/>
    <m/>
    <m/>
    <s v="Absent"/>
    <s v="Morning"/>
    <s v="Remote"/>
    <n v="0"/>
  </r>
  <r>
    <s v="E1014"/>
    <s v="Employee_14"/>
    <x v="3"/>
    <d v="2024-02-26T00:00:00"/>
    <x v="5"/>
    <n v="2024"/>
    <n v="1"/>
    <n v="0"/>
    <d v="1899-12-30T11:30:00"/>
    <d v="1899-12-30T19:00:00"/>
    <s v="Present"/>
    <s v="Evening"/>
    <s v="Remote"/>
    <n v="0"/>
  </r>
  <r>
    <s v="E1022"/>
    <s v="Employee_22"/>
    <x v="4"/>
    <d v="2024-02-20T00:00:00"/>
    <x v="5"/>
    <n v="2024"/>
    <n v="1"/>
    <n v="1"/>
    <d v="1899-12-30T10:32:00"/>
    <d v="1899-12-30T19:13:00"/>
    <s v="Late"/>
    <s v="Evening"/>
    <s v="Remote"/>
    <n v="0"/>
  </r>
  <r>
    <s v="E1029"/>
    <s v="Employee_29"/>
    <x v="2"/>
    <d v="2024-02-21T00:00:00"/>
    <x v="5"/>
    <n v="2024"/>
    <n v="1"/>
    <n v="0"/>
    <d v="1899-12-30T10:20:00"/>
    <d v="1899-12-30T20:33:00"/>
    <s v="Present"/>
    <s v="Evening"/>
    <s v="Office"/>
    <n v="0"/>
  </r>
  <r>
    <s v="E1030"/>
    <s v="Employee_30"/>
    <x v="1"/>
    <d v="2024-02-20T00:00:00"/>
    <x v="5"/>
    <n v="2024"/>
    <n v="1"/>
    <n v="0"/>
    <d v="1899-12-30T10:36:00"/>
    <d v="1899-12-30T19:45:00"/>
    <s v="Work From Home"/>
    <s v="Evening"/>
    <s v="Office"/>
    <n v="0"/>
  </r>
  <r>
    <s v="E1035"/>
    <s v="Employee_35"/>
    <x v="3"/>
    <d v="2024-01-03T00:00:00"/>
    <x v="2"/>
    <n v="2024"/>
    <n v="1"/>
    <n v="0"/>
    <d v="1899-12-30T11:51:00"/>
    <d v="1899-12-30T16:49:00"/>
    <s v="Work From Home"/>
    <s v="Morning"/>
    <s v="Remote"/>
    <n v="0"/>
  </r>
  <r>
    <s v="E1049"/>
    <s v="Employee_49"/>
    <x v="2"/>
    <d v="2024-02-23T00:00:00"/>
    <x v="5"/>
    <n v="2024"/>
    <n v="1"/>
    <n v="0"/>
    <d v="1899-12-30T08:50:00"/>
    <d v="1899-12-30T16:12:00"/>
    <s v="Work From Home"/>
    <s v="Morning"/>
    <s v="Office"/>
    <n v="0"/>
  </r>
  <r>
    <s v="E1023"/>
    <s v="Employee_23"/>
    <x v="2"/>
    <d v="2024-01-20T00:00:00"/>
    <x v="2"/>
    <n v="2024"/>
    <n v="0"/>
    <n v="0"/>
    <m/>
    <m/>
    <s v="Absent"/>
    <s v="Evening"/>
    <s v="Office"/>
    <n v="0"/>
  </r>
  <r>
    <s v="E1059"/>
    <s v="Employee_59"/>
    <x v="0"/>
    <d v="2024-07-01T00:00:00"/>
    <x v="4"/>
    <n v="2024"/>
    <n v="1"/>
    <n v="0"/>
    <d v="1899-12-30T11:55:00"/>
    <d v="1899-12-30T20:18:00"/>
    <s v="Present"/>
    <s v="Evening"/>
    <s v="Office"/>
    <n v="0"/>
  </r>
  <r>
    <s v="E1027"/>
    <s v="Employee_27"/>
    <x v="2"/>
    <d v="2024-12-03T00:00:00"/>
    <x v="8"/>
    <n v="2024"/>
    <n v="1"/>
    <n v="0"/>
    <d v="1899-12-30T08:13:00"/>
    <d v="1899-12-30T16:27:00"/>
    <s v="Work From Home"/>
    <s v="Evening"/>
    <s v="Remote"/>
    <n v="0"/>
  </r>
  <r>
    <s v="E1058"/>
    <s v="Employee_58"/>
    <x v="2"/>
    <d v="2024-12-02T00:00:00"/>
    <x v="8"/>
    <n v="2024"/>
    <n v="1"/>
    <n v="0"/>
    <d v="1899-12-30T08:35:00"/>
    <d v="1899-12-30T16:53:00"/>
    <s v="Present"/>
    <s v="Evening"/>
    <s v="Remote"/>
    <n v="0"/>
  </r>
  <r>
    <s v="E1020"/>
    <s v="Employee_20"/>
    <x v="1"/>
    <d v="2024-08-03T00:00:00"/>
    <x v="9"/>
    <n v="2024"/>
    <n v="1"/>
    <n v="0"/>
    <d v="1899-12-30T11:33:00"/>
    <d v="1899-12-30T18:30:00"/>
    <s v="Present"/>
    <s v="Evening"/>
    <s v="Office"/>
    <n v="0"/>
  </r>
  <r>
    <s v="E1001"/>
    <s v="Employee_1"/>
    <x v="2"/>
    <d v="2024-02-03T00:00:00"/>
    <x v="5"/>
    <n v="2024"/>
    <n v="0"/>
    <n v="0"/>
    <m/>
    <m/>
    <s v="Absent"/>
    <s v="Evening"/>
    <s v="Remote"/>
    <n v="0"/>
  </r>
  <r>
    <s v="E1038"/>
    <s v="Employee_38"/>
    <x v="4"/>
    <d v="2024-02-28T00:00:00"/>
    <x v="5"/>
    <n v="2024"/>
    <n v="1"/>
    <n v="0"/>
    <d v="1899-12-30T08:25:00"/>
    <d v="1899-12-30T16:18:00"/>
    <s v="Work From Home"/>
    <s v="Morning"/>
    <s v="Remote"/>
    <n v="0"/>
  </r>
  <r>
    <s v="E1051"/>
    <s v="Employee_51"/>
    <x v="3"/>
    <d v="2024-01-25T00:00:00"/>
    <x v="2"/>
    <n v="2024"/>
    <n v="1"/>
    <n v="0"/>
    <d v="1899-12-30T09:07:00"/>
    <d v="1899-12-30T20:48:00"/>
    <s v="Present"/>
    <s v="Morning"/>
    <s v="Remote"/>
    <n v="0"/>
  </r>
  <r>
    <s v="E1008"/>
    <s v="Employee_8"/>
    <x v="3"/>
    <d v="2024-12-03T00:00:00"/>
    <x v="8"/>
    <n v="2024"/>
    <n v="0"/>
    <n v="0"/>
    <m/>
    <m/>
    <s v="Absent"/>
    <s v="Morning"/>
    <s v="Office"/>
    <n v="0"/>
  </r>
  <r>
    <s v="E1031"/>
    <s v="Employee_31"/>
    <x v="3"/>
    <d v="2024-12-03T00:00:00"/>
    <x v="8"/>
    <n v="2024"/>
    <n v="1"/>
    <n v="1"/>
    <d v="1899-12-30T10:52:00"/>
    <d v="1899-12-30T18:35:00"/>
    <s v="Late"/>
    <s v="Evening"/>
    <s v="Remote"/>
    <n v="0"/>
  </r>
  <r>
    <s v="E1004"/>
    <s v="Employee_4"/>
    <x v="2"/>
    <d v="2024-08-01T00:00:00"/>
    <x v="9"/>
    <n v="2024"/>
    <n v="1"/>
    <n v="0"/>
    <d v="1899-12-30T09:23:00"/>
    <d v="1899-12-30T20:32:00"/>
    <s v="Present"/>
    <s v="Evening"/>
    <s v="Remote"/>
    <n v="0"/>
  </r>
  <r>
    <s v="E1031"/>
    <s v="Employee_31"/>
    <x v="1"/>
    <d v="2024-02-20T00:00:00"/>
    <x v="5"/>
    <n v="2024"/>
    <n v="1"/>
    <n v="0"/>
    <d v="1899-12-30T09:37:00"/>
    <d v="1899-12-30T18:05:00"/>
    <s v="Work From Home"/>
    <s v="Evening"/>
    <s v="Remote"/>
    <n v="0"/>
  </r>
  <r>
    <s v="E1033"/>
    <s v="Employee_33"/>
    <x v="0"/>
    <d v="2024-03-19T00:00:00"/>
    <x v="0"/>
    <n v="2024"/>
    <n v="1"/>
    <n v="1"/>
    <d v="1899-12-30T08:44:00"/>
    <d v="1899-12-30T17:36:00"/>
    <s v="Late"/>
    <s v="Morning"/>
    <s v="Remote"/>
    <n v="0"/>
  </r>
  <r>
    <s v="E1051"/>
    <s v="Employee_51"/>
    <x v="1"/>
    <d v="2024-01-27T00:00:00"/>
    <x v="2"/>
    <n v="2024"/>
    <n v="0"/>
    <n v="0"/>
    <m/>
    <m/>
    <s v="Absent"/>
    <s v="Evening"/>
    <s v="Office"/>
    <n v="0"/>
  </r>
  <r>
    <s v="E1017"/>
    <s v="Employee_17"/>
    <x v="4"/>
    <d v="2024-09-01T00:00:00"/>
    <x v="3"/>
    <n v="2024"/>
    <n v="1"/>
    <n v="0"/>
    <d v="1899-12-30T11:28:00"/>
    <d v="1899-12-30T18:32:00"/>
    <s v="Present"/>
    <s v="Evening"/>
    <s v="Office"/>
    <n v="0"/>
  </r>
  <r>
    <s v="E1003"/>
    <s v="Employee_3"/>
    <x v="3"/>
    <d v="2024-07-02T00:00:00"/>
    <x v="4"/>
    <n v="2024"/>
    <n v="1"/>
    <n v="0"/>
    <d v="1899-12-30T10:41:00"/>
    <d v="1899-12-30T16:49:00"/>
    <s v="Present"/>
    <s v="Evening"/>
    <s v="Office"/>
    <n v="0"/>
  </r>
  <r>
    <s v="E1057"/>
    <s v="Employee_57"/>
    <x v="2"/>
    <d v="2024-03-17T00:00:00"/>
    <x v="0"/>
    <n v="2024"/>
    <n v="1"/>
    <n v="1"/>
    <d v="1899-12-30T09:08:00"/>
    <d v="1899-12-30T19:20:00"/>
    <s v="Late"/>
    <s v="Morning"/>
    <s v="Remote"/>
    <n v="0"/>
  </r>
  <r>
    <s v="E1037"/>
    <s v="Employee_37"/>
    <x v="4"/>
    <d v="2024-01-13T00:00:00"/>
    <x v="2"/>
    <n v="2024"/>
    <n v="0"/>
    <n v="0"/>
    <m/>
    <m/>
    <s v="Absent"/>
    <s v="Morning"/>
    <s v="Remote"/>
    <n v="0"/>
  </r>
  <r>
    <s v="E1053"/>
    <s v="Employee_53"/>
    <x v="2"/>
    <d v="2024-03-15T00:00:00"/>
    <x v="0"/>
    <n v="2024"/>
    <n v="1"/>
    <n v="1"/>
    <d v="1899-12-30T11:14:00"/>
    <d v="1899-12-30T18:13:00"/>
    <s v="Late"/>
    <s v="Morning"/>
    <s v="Office"/>
    <n v="0"/>
  </r>
  <r>
    <s v="E1053"/>
    <s v="Employee_53"/>
    <x v="1"/>
    <d v="2024-01-24T00:00:00"/>
    <x v="2"/>
    <n v="2024"/>
    <n v="1"/>
    <n v="0"/>
    <d v="1899-12-30T11:41:00"/>
    <d v="1899-12-30T18:36:00"/>
    <s v="Present"/>
    <s v="Morning"/>
    <s v="Office"/>
    <n v="0"/>
  </r>
  <r>
    <s v="E1034"/>
    <s v="Employee_34"/>
    <x v="2"/>
    <d v="2024-12-02T00:00:00"/>
    <x v="8"/>
    <n v="2024"/>
    <n v="1"/>
    <n v="0"/>
    <d v="1899-12-30T08:26:00"/>
    <d v="1899-12-30T18:12:00"/>
    <s v="Present"/>
    <s v="Morning"/>
    <s v="Remote"/>
    <n v="0"/>
  </r>
  <r>
    <s v="E1021"/>
    <s v="Employee_21"/>
    <x v="3"/>
    <d v="2024-02-24T00:00:00"/>
    <x v="5"/>
    <n v="2024"/>
    <n v="1"/>
    <n v="0"/>
    <d v="1899-12-30T11:32:00"/>
    <d v="1899-12-30T20:47:00"/>
    <s v="Present"/>
    <s v="Evening"/>
    <s v="Remote"/>
    <n v="0"/>
  </r>
  <r>
    <s v="E1002"/>
    <s v="Employee_2"/>
    <x v="3"/>
    <d v="2024-03-20T00:00:00"/>
    <x v="0"/>
    <n v="2024"/>
    <n v="1"/>
    <n v="0"/>
    <d v="1899-12-30T09:00:00"/>
    <d v="1899-12-30T19:48:00"/>
    <s v="Work From Home"/>
    <s v="Morning"/>
    <s v="Office"/>
    <n v="0"/>
  </r>
  <r>
    <s v="E1019"/>
    <s v="Employee_19"/>
    <x v="3"/>
    <d v="2024-02-02T00:00:00"/>
    <x v="5"/>
    <n v="2024"/>
    <n v="1"/>
    <n v="0"/>
    <d v="1899-12-30T11:37:00"/>
    <d v="1899-12-30T17:14:00"/>
    <s v="Present"/>
    <s v="Morning"/>
    <s v="Remote"/>
    <n v="0"/>
  </r>
  <r>
    <s v="E1041"/>
    <s v="Employee_41"/>
    <x v="3"/>
    <d v="2024-02-02T00:00:00"/>
    <x v="5"/>
    <n v="2024"/>
    <n v="1"/>
    <n v="0"/>
    <d v="1899-12-30T08:59:00"/>
    <d v="1899-12-30T20:38:00"/>
    <s v="Work From Home"/>
    <s v="Morning"/>
    <s v="Remote"/>
    <n v="0"/>
  </r>
  <r>
    <s v="E1029"/>
    <s v="Employee_29"/>
    <x v="0"/>
    <d v="2024-01-30T00:00:00"/>
    <x v="2"/>
    <n v="2024"/>
    <n v="1"/>
    <n v="0"/>
    <d v="1899-12-30T11:21:00"/>
    <d v="1899-12-30T20:53:00"/>
    <s v="Work From Home"/>
    <s v="Evening"/>
    <s v="Office"/>
    <n v="0"/>
  </r>
  <r>
    <s v="E1004"/>
    <s v="Employee_4"/>
    <x v="4"/>
    <d v="2024-11-02T00:00:00"/>
    <x v="1"/>
    <n v="2024"/>
    <n v="0"/>
    <n v="0"/>
    <m/>
    <m/>
    <s v="Absent"/>
    <s v="Morning"/>
    <s v="Office"/>
    <n v="0"/>
  </r>
  <r>
    <s v="E1018"/>
    <s v="Employee_18"/>
    <x v="3"/>
    <d v="2024-02-04T00:00:00"/>
    <x v="5"/>
    <n v="2024"/>
    <n v="1"/>
    <n v="1"/>
    <d v="1899-12-30T10:50:00"/>
    <d v="1899-12-30T18:12:00"/>
    <s v="Late"/>
    <s v="Evening"/>
    <s v="Office"/>
    <n v="0"/>
  </r>
  <r>
    <s v="E1055"/>
    <s v="Employee_55"/>
    <x v="4"/>
    <d v="2024-01-26T00:00:00"/>
    <x v="2"/>
    <n v="2024"/>
    <n v="0"/>
    <n v="0"/>
    <m/>
    <m/>
    <s v="Absent"/>
    <s v="Evening"/>
    <s v="Remote"/>
    <n v="0"/>
  </r>
  <r>
    <s v="E1038"/>
    <s v="Employee_38"/>
    <x v="3"/>
    <d v="2024-03-16T00:00:00"/>
    <x v="0"/>
    <n v="2024"/>
    <n v="1"/>
    <n v="1"/>
    <d v="1899-12-30T08:10:00"/>
    <d v="1899-12-30T19:51:00"/>
    <s v="Late"/>
    <s v="Morning"/>
    <s v="Office"/>
    <n v="0"/>
  </r>
  <r>
    <s v="E1033"/>
    <s v="Employee_33"/>
    <x v="4"/>
    <d v="2024-07-03T00:00:00"/>
    <x v="4"/>
    <n v="2024"/>
    <n v="1"/>
    <n v="1"/>
    <d v="1899-12-30T09:28:00"/>
    <d v="1899-12-30T18:34:00"/>
    <s v="Late"/>
    <s v="Evening"/>
    <s v="Remote"/>
    <n v="0"/>
  </r>
  <r>
    <s v="E1054"/>
    <s v="Employee_54"/>
    <x v="1"/>
    <d v="2024-02-17T00:00:00"/>
    <x v="5"/>
    <n v="2024"/>
    <n v="1"/>
    <n v="1"/>
    <d v="1899-12-30T11:48:00"/>
    <d v="1899-12-30T16:37:00"/>
    <s v="Late"/>
    <s v="Evening"/>
    <s v="Office"/>
    <n v="0"/>
  </r>
  <r>
    <s v="E1049"/>
    <s v="Employee_49"/>
    <x v="3"/>
    <d v="2024-04-01T00:00:00"/>
    <x v="10"/>
    <n v="2024"/>
    <n v="0"/>
    <n v="0"/>
    <m/>
    <m/>
    <s v="Absent"/>
    <s v="Evening"/>
    <s v="Office"/>
    <n v="0"/>
  </r>
  <r>
    <s v="E1003"/>
    <s v="Employee_3"/>
    <x v="3"/>
    <d v="2024-03-08T00:00:00"/>
    <x v="0"/>
    <n v="2024"/>
    <n v="0"/>
    <n v="0"/>
    <m/>
    <m/>
    <s v="Absent"/>
    <s v="Evening"/>
    <s v="Remote"/>
    <n v="0"/>
  </r>
  <r>
    <s v="E1020"/>
    <s v="Employee_20"/>
    <x v="3"/>
    <d v="2024-01-29T00:00:00"/>
    <x v="2"/>
    <n v="2024"/>
    <n v="0"/>
    <n v="0"/>
    <m/>
    <m/>
    <s v="Absent"/>
    <s v="Morning"/>
    <s v="Office"/>
    <n v="0"/>
  </r>
  <r>
    <s v="E1010"/>
    <s v="Employee_10"/>
    <x v="1"/>
    <d v="2024-03-09T00:00:00"/>
    <x v="0"/>
    <n v="2024"/>
    <n v="1"/>
    <n v="0"/>
    <d v="1899-12-30T11:06:00"/>
    <d v="1899-12-30T20:14:00"/>
    <s v="Work From Home"/>
    <s v="Evening"/>
    <s v="Remote"/>
    <n v="0"/>
  </r>
  <r>
    <s v="E1012"/>
    <s v="Employee_12"/>
    <x v="4"/>
    <d v="2024-02-04T00:00:00"/>
    <x v="5"/>
    <n v="2024"/>
    <n v="1"/>
    <n v="0"/>
    <d v="1899-12-30T09:08:00"/>
    <d v="1899-12-30T20:28:00"/>
    <s v="Work From Home"/>
    <s v="Morning"/>
    <s v="Office"/>
    <n v="0"/>
  </r>
  <r>
    <s v="E1019"/>
    <s v="Employee_19"/>
    <x v="3"/>
    <d v="2024-01-23T00:00:00"/>
    <x v="2"/>
    <n v="2024"/>
    <n v="1"/>
    <n v="1"/>
    <d v="1899-12-30T11:26:00"/>
    <d v="1899-12-30T16:49:00"/>
    <s v="Late"/>
    <s v="Morning"/>
    <s v="Office"/>
    <n v="0"/>
  </r>
  <r>
    <s v="E1033"/>
    <s v="Employee_33"/>
    <x v="2"/>
    <d v="2024-10-03T00:00:00"/>
    <x v="7"/>
    <n v="2024"/>
    <n v="0"/>
    <n v="0"/>
    <m/>
    <m/>
    <s v="Absent"/>
    <s v="Evening"/>
    <s v="Remote"/>
    <n v="0"/>
  </r>
  <r>
    <s v="E1058"/>
    <s v="Employee_58"/>
    <x v="1"/>
    <d v="2024-02-29T00:00:00"/>
    <x v="5"/>
    <n v="2024"/>
    <n v="1"/>
    <n v="1"/>
    <d v="1899-12-30T11:09:00"/>
    <d v="1899-12-30T18:11:00"/>
    <s v="Late"/>
    <s v="Evening"/>
    <s v="Remote"/>
    <n v="0"/>
  </r>
  <r>
    <s v="E1018"/>
    <s v="Employee_18"/>
    <x v="1"/>
    <d v="2024-01-08T00:00:00"/>
    <x v="2"/>
    <n v="2024"/>
    <n v="1"/>
    <n v="0"/>
    <d v="1899-12-30T09:40:00"/>
    <d v="1899-12-30T20:58:00"/>
    <s v="Present"/>
    <s v="Evening"/>
    <s v="Office"/>
    <n v="0"/>
  </r>
  <r>
    <s v="E1007"/>
    <s v="Employee_7"/>
    <x v="1"/>
    <d v="2024-01-25T00:00:00"/>
    <x v="2"/>
    <n v="2024"/>
    <n v="1"/>
    <n v="1"/>
    <d v="1899-12-30T09:59:00"/>
    <d v="1899-12-30T20:36:00"/>
    <s v="Late"/>
    <s v="Morning"/>
    <s v="Office"/>
    <n v="0"/>
  </r>
  <r>
    <s v="E1021"/>
    <s v="Employee_21"/>
    <x v="4"/>
    <d v="2024-01-29T00:00:00"/>
    <x v="2"/>
    <n v="2024"/>
    <n v="0"/>
    <n v="0"/>
    <m/>
    <m/>
    <s v="Absent"/>
    <s v="Evening"/>
    <s v="Office"/>
    <n v="0"/>
  </r>
  <r>
    <s v="E1040"/>
    <s v="Employee_40"/>
    <x v="4"/>
    <d v="2024-07-03T00:00:00"/>
    <x v="4"/>
    <n v="2024"/>
    <n v="1"/>
    <n v="1"/>
    <d v="1899-12-30T11:01:00"/>
    <d v="1899-12-30T16:40:00"/>
    <s v="Late"/>
    <s v="Evening"/>
    <s v="Office"/>
    <n v="0"/>
  </r>
  <r>
    <s v="E1003"/>
    <s v="Employee_3"/>
    <x v="3"/>
    <d v="2024-02-25T00:00:00"/>
    <x v="5"/>
    <n v="2024"/>
    <n v="0"/>
    <n v="0"/>
    <m/>
    <m/>
    <s v="Absent"/>
    <s v="Evening"/>
    <s v="Office"/>
    <n v="0"/>
  </r>
  <r>
    <s v="E1010"/>
    <s v="Employee_10"/>
    <x v="2"/>
    <d v="2024-03-28T00:00:00"/>
    <x v="0"/>
    <n v="2024"/>
    <n v="1"/>
    <n v="1"/>
    <d v="1899-12-30T09:00:00"/>
    <d v="1899-12-30T17:07:00"/>
    <s v="Late"/>
    <s v="Morning"/>
    <s v="Remote"/>
    <n v="0"/>
  </r>
  <r>
    <s v="E1023"/>
    <s v="Employee_23"/>
    <x v="2"/>
    <d v="2024-01-01T00:00:00"/>
    <x v="2"/>
    <n v="2024"/>
    <n v="1"/>
    <n v="0"/>
    <d v="1899-12-30T09:22:00"/>
    <d v="1899-12-30T16:11:00"/>
    <s v="Present"/>
    <s v="Evening"/>
    <s v="Remote"/>
    <n v="0"/>
  </r>
  <r>
    <s v="E1046"/>
    <s v="Employee_46"/>
    <x v="1"/>
    <d v="2024-02-23T00:00:00"/>
    <x v="5"/>
    <n v="2024"/>
    <n v="1"/>
    <n v="1"/>
    <d v="1899-12-30T08:01:00"/>
    <d v="1899-12-30T19:53:00"/>
    <s v="Late"/>
    <s v="Evening"/>
    <s v="Office"/>
    <n v="0"/>
  </r>
  <r>
    <s v="E1046"/>
    <s v="Employee_46"/>
    <x v="4"/>
    <d v="2024-03-09T00:00:00"/>
    <x v="0"/>
    <n v="2024"/>
    <n v="1"/>
    <n v="1"/>
    <d v="1899-12-30T10:25:00"/>
    <d v="1899-12-30T16:28:00"/>
    <s v="Late"/>
    <s v="Evening"/>
    <s v="Office"/>
    <n v="0"/>
  </r>
  <r>
    <s v="E1026"/>
    <s v="Employee_26"/>
    <x v="0"/>
    <d v="2024-02-14T00:00:00"/>
    <x v="5"/>
    <n v="2024"/>
    <n v="1"/>
    <n v="1"/>
    <d v="1899-12-30T09:38:00"/>
    <d v="1899-12-30T18:59:00"/>
    <s v="Late"/>
    <s v="Morning"/>
    <s v="Office"/>
    <n v="0"/>
  </r>
  <r>
    <s v="E1051"/>
    <s v="Employee_51"/>
    <x v="0"/>
    <d v="2024-01-16T00:00:00"/>
    <x v="2"/>
    <n v="2024"/>
    <n v="0"/>
    <n v="0"/>
    <m/>
    <m/>
    <s v="Absent"/>
    <s v="Evening"/>
    <s v="Office"/>
    <n v="0"/>
  </r>
  <r>
    <s v="E1010"/>
    <s v="Employee_10"/>
    <x v="1"/>
    <d v="2024-01-21T00:00:00"/>
    <x v="2"/>
    <n v="2024"/>
    <n v="1"/>
    <n v="0"/>
    <d v="1899-12-30T11:14:00"/>
    <d v="1899-12-30T17:31:00"/>
    <s v="Present"/>
    <s v="Morning"/>
    <s v="Remote"/>
    <n v="0"/>
  </r>
  <r>
    <s v="E1018"/>
    <s v="Employee_18"/>
    <x v="1"/>
    <d v="2024-01-13T00:00:00"/>
    <x v="2"/>
    <n v="2024"/>
    <n v="0"/>
    <n v="0"/>
    <m/>
    <m/>
    <s v="Absent"/>
    <s v="Evening"/>
    <s v="Office"/>
    <n v="0"/>
  </r>
  <r>
    <s v="E1026"/>
    <s v="Employee_26"/>
    <x v="2"/>
    <d v="2024-02-17T00:00:00"/>
    <x v="5"/>
    <n v="2024"/>
    <n v="1"/>
    <n v="1"/>
    <d v="1899-12-30T11:50:00"/>
    <d v="1899-12-30T19:28:00"/>
    <s v="Late"/>
    <s v="Evening"/>
    <s v="Office"/>
    <n v="0"/>
  </r>
  <r>
    <s v="E1015"/>
    <s v="Employee_15"/>
    <x v="2"/>
    <d v="2024-08-02T00:00:00"/>
    <x v="9"/>
    <n v="2024"/>
    <n v="1"/>
    <n v="0"/>
    <d v="1899-12-30T11:16:00"/>
    <d v="1899-12-30T17:24:00"/>
    <s v="Work From Home"/>
    <s v="Morning"/>
    <s v="Office"/>
    <n v="0"/>
  </r>
  <r>
    <s v="E1052"/>
    <s v="Employee_52"/>
    <x v="4"/>
    <d v="2024-02-01T00:00:00"/>
    <x v="5"/>
    <n v="2024"/>
    <n v="1"/>
    <n v="0"/>
    <d v="1899-12-30T09:55:00"/>
    <d v="1899-12-30T20:30:00"/>
    <s v="Work From Home"/>
    <s v="Morning"/>
    <s v="Office"/>
    <n v="0"/>
  </r>
  <r>
    <s v="E1031"/>
    <s v="Employee_31"/>
    <x v="0"/>
    <d v="2024-03-02T00:00:00"/>
    <x v="0"/>
    <n v="2024"/>
    <n v="0"/>
    <n v="0"/>
    <m/>
    <m/>
    <s v="Absent"/>
    <s v="Morning"/>
    <s v="Remote"/>
    <n v="0"/>
  </r>
  <r>
    <s v="E1049"/>
    <s v="Employee_49"/>
    <x v="1"/>
    <d v="2024-02-18T00:00:00"/>
    <x v="5"/>
    <n v="2024"/>
    <n v="1"/>
    <n v="1"/>
    <d v="1899-12-30T11:33:00"/>
    <d v="1899-12-30T17:33:00"/>
    <s v="Late"/>
    <s v="Evening"/>
    <s v="Office"/>
    <n v="0"/>
  </r>
  <r>
    <s v="E1034"/>
    <s v="Employee_34"/>
    <x v="3"/>
    <d v="2024-02-22T00:00:00"/>
    <x v="5"/>
    <n v="2024"/>
    <n v="1"/>
    <n v="1"/>
    <d v="1899-12-30T08:05:00"/>
    <d v="1899-12-30T16:58:00"/>
    <s v="Late"/>
    <s v="Evening"/>
    <s v="Office"/>
    <n v="0"/>
  </r>
  <r>
    <s v="E1012"/>
    <s v="Employee_12"/>
    <x v="0"/>
    <d v="2024-01-19T00:00:00"/>
    <x v="2"/>
    <n v="2024"/>
    <n v="1"/>
    <n v="1"/>
    <d v="1899-12-30T10:52:00"/>
    <d v="1899-12-30T17:24:00"/>
    <s v="Late"/>
    <s v="Evening"/>
    <s v="Remote"/>
    <n v="0"/>
  </r>
  <r>
    <s v="E1007"/>
    <s v="Employee_7"/>
    <x v="0"/>
    <d v="2024-02-29T00:00:00"/>
    <x v="5"/>
    <n v="2024"/>
    <n v="1"/>
    <n v="0"/>
    <d v="1899-12-30T10:38:00"/>
    <d v="1899-12-30T18:35:00"/>
    <s v="Present"/>
    <s v="Evening"/>
    <s v="Office"/>
    <n v="0"/>
  </r>
  <r>
    <s v="E1020"/>
    <s v="Employee_20"/>
    <x v="4"/>
    <d v="2024-01-28T00:00:00"/>
    <x v="2"/>
    <n v="2024"/>
    <n v="1"/>
    <n v="0"/>
    <d v="1899-12-30T10:51:00"/>
    <d v="1899-12-30T17:13:00"/>
    <s v="Work From Home"/>
    <s v="Evening"/>
    <s v="Office"/>
    <n v="0"/>
  </r>
  <r>
    <s v="E1036"/>
    <s v="Employee_36"/>
    <x v="3"/>
    <d v="2024-01-16T00:00:00"/>
    <x v="2"/>
    <n v="2024"/>
    <n v="1"/>
    <n v="0"/>
    <d v="1899-12-30T11:53:00"/>
    <d v="1899-12-30T16:09:00"/>
    <s v="Present"/>
    <s v="Evening"/>
    <s v="Remote"/>
    <n v="0"/>
  </r>
  <r>
    <s v="E1012"/>
    <s v="Employee_12"/>
    <x v="1"/>
    <d v="2024-01-16T00:00:00"/>
    <x v="2"/>
    <n v="2024"/>
    <n v="0"/>
    <n v="0"/>
    <m/>
    <m/>
    <s v="Absent"/>
    <s v="Evening"/>
    <s v="Office"/>
    <n v="0"/>
  </r>
  <r>
    <s v="E1015"/>
    <s v="Employee_15"/>
    <x v="3"/>
    <d v="2024-10-02T00:00:00"/>
    <x v="7"/>
    <n v="2024"/>
    <n v="1"/>
    <n v="1"/>
    <d v="1899-12-30T08:50:00"/>
    <d v="1899-12-30T19:39:00"/>
    <s v="Late"/>
    <s v="Evening"/>
    <s v="Remote"/>
    <n v="0"/>
  </r>
  <r>
    <s v="E1037"/>
    <s v="Employee_37"/>
    <x v="1"/>
    <d v="2024-02-17T00:00:00"/>
    <x v="5"/>
    <n v="2024"/>
    <n v="1"/>
    <n v="1"/>
    <d v="1899-12-30T08:37:00"/>
    <d v="1899-12-30T20:12:00"/>
    <s v="Late"/>
    <s v="Evening"/>
    <s v="Remote"/>
    <n v="0"/>
  </r>
  <r>
    <s v="E1029"/>
    <s v="Employee_29"/>
    <x v="2"/>
    <d v="2024-05-03T00:00:00"/>
    <x v="6"/>
    <n v="2024"/>
    <n v="1"/>
    <n v="1"/>
    <d v="1899-12-30T08:59:00"/>
    <d v="1899-12-30T20:12:00"/>
    <s v="Late"/>
    <s v="Evening"/>
    <s v="Remote"/>
    <n v="0"/>
  </r>
  <r>
    <s v="E1015"/>
    <s v="Employee_15"/>
    <x v="2"/>
    <d v="2024-01-25T00:00:00"/>
    <x v="2"/>
    <n v="2024"/>
    <n v="1"/>
    <n v="0"/>
    <d v="1899-12-30T08:31:00"/>
    <d v="1899-12-30T20:36:00"/>
    <s v="Work From Home"/>
    <s v="Evening"/>
    <s v="Remote"/>
    <n v="0"/>
  </r>
  <r>
    <s v="E1015"/>
    <s v="Employee_15"/>
    <x v="1"/>
    <d v="2024-01-08T00:00:00"/>
    <x v="2"/>
    <n v="2024"/>
    <n v="0"/>
    <n v="0"/>
    <m/>
    <m/>
    <s v="Absent"/>
    <s v="Morning"/>
    <s v="Remote"/>
    <n v="0"/>
  </r>
  <r>
    <s v="E1004"/>
    <s v="Employee_4"/>
    <x v="4"/>
    <d v="2024-01-24T00:00:00"/>
    <x v="2"/>
    <n v="2024"/>
    <n v="1"/>
    <n v="0"/>
    <d v="1899-12-30T11:13:00"/>
    <d v="1899-12-30T17:38:00"/>
    <s v="Present"/>
    <s v="Morning"/>
    <s v="Office"/>
    <n v="0"/>
  </r>
  <r>
    <s v="E1053"/>
    <s v="Employee_53"/>
    <x v="2"/>
    <d v="2024-11-03T00:00:00"/>
    <x v="1"/>
    <n v="2024"/>
    <n v="1"/>
    <n v="0"/>
    <d v="1899-12-30T11:13:00"/>
    <d v="1899-12-30T18:11:00"/>
    <s v="Work From Home"/>
    <s v="Morning"/>
    <s v="Remote"/>
    <n v="0"/>
  </r>
  <r>
    <s v="E1059"/>
    <s v="Employee_59"/>
    <x v="4"/>
    <d v="2024-06-01T00:00:00"/>
    <x v="11"/>
    <n v="2024"/>
    <n v="0"/>
    <n v="0"/>
    <m/>
    <m/>
    <s v="Absent"/>
    <s v="Morning"/>
    <s v="Remote"/>
    <n v="0"/>
  </r>
  <r>
    <s v="E1024"/>
    <s v="Employee_24"/>
    <x v="3"/>
    <d v="2024-01-27T00:00:00"/>
    <x v="2"/>
    <n v="2024"/>
    <n v="1"/>
    <n v="0"/>
    <d v="1899-12-30T08:10:00"/>
    <d v="1899-12-30T16:12:00"/>
    <s v="Present"/>
    <s v="Evening"/>
    <s v="Remote"/>
    <n v="0"/>
  </r>
  <r>
    <s v="E1037"/>
    <s v="Employee_37"/>
    <x v="3"/>
    <d v="2024-01-23T00:00:00"/>
    <x v="2"/>
    <n v="2024"/>
    <n v="1"/>
    <n v="0"/>
    <d v="1899-12-30T08:28:00"/>
    <d v="1899-12-30T20:00:00"/>
    <s v="Present"/>
    <s v="Morning"/>
    <s v="Remote"/>
    <n v="0"/>
  </r>
  <r>
    <s v="E1040"/>
    <s v="Employee_40"/>
    <x v="4"/>
    <d v="2024-01-12T00:00:00"/>
    <x v="2"/>
    <n v="2024"/>
    <n v="0"/>
    <n v="0"/>
    <m/>
    <m/>
    <s v="Absent"/>
    <s v="Evening"/>
    <s v="Remote"/>
    <n v="0"/>
  </r>
  <r>
    <s v="E1035"/>
    <s v="Employee_35"/>
    <x v="4"/>
    <d v="2024-02-19T00:00:00"/>
    <x v="5"/>
    <n v="2024"/>
    <n v="1"/>
    <n v="0"/>
    <d v="1899-12-30T08:50:00"/>
    <d v="1899-12-30T17:44:00"/>
    <s v="Work From Home"/>
    <s v="Evening"/>
    <s v="Remote"/>
    <n v="0"/>
  </r>
  <r>
    <s v="E1043"/>
    <s v="Employee_43"/>
    <x v="1"/>
    <d v="2024-01-10T00:00:00"/>
    <x v="2"/>
    <n v="2024"/>
    <n v="1"/>
    <n v="0"/>
    <d v="1899-12-30T10:36:00"/>
    <d v="1899-12-30T19:01:00"/>
    <s v="Work From Home"/>
    <s v="Evening"/>
    <s v="Office"/>
    <n v="0"/>
  </r>
  <r>
    <s v="E1024"/>
    <s v="Employee_24"/>
    <x v="1"/>
    <d v="2024-03-28T00:00:00"/>
    <x v="0"/>
    <n v="2024"/>
    <n v="1"/>
    <n v="0"/>
    <d v="1899-12-30T09:43:00"/>
    <d v="1899-12-30T19:02:00"/>
    <s v="Work From Home"/>
    <s v="Morning"/>
    <s v="Office"/>
    <n v="0"/>
  </r>
  <r>
    <s v="E1050"/>
    <s v="Employee_50"/>
    <x v="1"/>
    <d v="2024-01-17T00:00:00"/>
    <x v="2"/>
    <n v="2024"/>
    <n v="1"/>
    <n v="0"/>
    <d v="1899-12-30T09:09:00"/>
    <d v="1899-12-30T19:33:00"/>
    <s v="Work From Home"/>
    <s v="Morning"/>
    <s v="Remote"/>
    <n v="0"/>
  </r>
  <r>
    <s v="E1052"/>
    <s v="Employee_52"/>
    <x v="0"/>
    <d v="2024-03-17T00:00:00"/>
    <x v="0"/>
    <n v="2024"/>
    <n v="1"/>
    <n v="1"/>
    <d v="1899-12-30T09:40:00"/>
    <d v="1899-12-30T17:08:00"/>
    <s v="Late"/>
    <s v="Morning"/>
    <s v="Office"/>
    <n v="0"/>
  </r>
  <r>
    <s v="E1030"/>
    <s v="Employee_30"/>
    <x v="1"/>
    <d v="2024-02-14T00:00:00"/>
    <x v="5"/>
    <n v="2024"/>
    <n v="0"/>
    <n v="0"/>
    <m/>
    <m/>
    <s v="Absent"/>
    <s v="Morning"/>
    <s v="Office"/>
    <n v="0"/>
  </r>
  <r>
    <s v="E1039"/>
    <s v="Employee_39"/>
    <x v="2"/>
    <d v="2024-01-31T00:00:00"/>
    <x v="2"/>
    <n v="2024"/>
    <n v="1"/>
    <n v="1"/>
    <d v="1899-12-30T08:32:00"/>
    <d v="1899-12-30T19:52:00"/>
    <s v="Late"/>
    <s v="Evening"/>
    <s v="Remote"/>
    <n v="0"/>
  </r>
  <r>
    <s v="E1021"/>
    <s v="Employee_21"/>
    <x v="2"/>
    <d v="2024-03-22T00:00:00"/>
    <x v="0"/>
    <n v="2024"/>
    <n v="0"/>
    <n v="0"/>
    <m/>
    <m/>
    <s v="Absent"/>
    <s v="Morning"/>
    <s v="Remote"/>
    <n v="0"/>
  </r>
  <r>
    <s v="E1038"/>
    <s v="Employee_38"/>
    <x v="4"/>
    <d v="2024-03-09T00:00:00"/>
    <x v="0"/>
    <n v="2024"/>
    <n v="1"/>
    <n v="0"/>
    <d v="1899-12-30T11:39:00"/>
    <d v="1899-12-30T17:33:00"/>
    <s v="Work From Home"/>
    <s v="Morning"/>
    <s v="Remote"/>
    <n v="0"/>
  </r>
  <r>
    <s v="E1011"/>
    <s v="Employee_11"/>
    <x v="1"/>
    <d v="2024-02-12T00:00:00"/>
    <x v="5"/>
    <n v="2024"/>
    <n v="0"/>
    <n v="0"/>
    <m/>
    <m/>
    <s v="Absent"/>
    <s v="Morning"/>
    <s v="Office"/>
    <n v="0"/>
  </r>
  <r>
    <s v="E1038"/>
    <s v="Employee_38"/>
    <x v="4"/>
    <d v="2024-03-26T00:00:00"/>
    <x v="0"/>
    <n v="2024"/>
    <n v="1"/>
    <n v="0"/>
    <d v="1899-12-30T10:36:00"/>
    <d v="1899-12-30T17:20:00"/>
    <s v="Present"/>
    <s v="Morning"/>
    <s v="Remote"/>
    <n v="0"/>
  </r>
  <r>
    <s v="E1026"/>
    <s v="Employee_26"/>
    <x v="2"/>
    <d v="2024-03-27T00:00:00"/>
    <x v="0"/>
    <n v="2024"/>
    <n v="1"/>
    <n v="0"/>
    <d v="1899-12-30T11:41:00"/>
    <d v="1899-12-30T18:53:00"/>
    <s v="Work From Home"/>
    <s v="Morning"/>
    <s v="Remote"/>
    <n v="0"/>
  </r>
  <r>
    <s v="E1054"/>
    <s v="Employee_54"/>
    <x v="4"/>
    <d v="2024-08-03T00:00:00"/>
    <x v="9"/>
    <n v="2024"/>
    <n v="1"/>
    <n v="1"/>
    <d v="1899-12-30T11:35:00"/>
    <d v="1899-12-30T16:12:00"/>
    <s v="Late"/>
    <s v="Morning"/>
    <s v="Remote"/>
    <n v="0"/>
  </r>
  <r>
    <s v="E1020"/>
    <s v="Employee_20"/>
    <x v="3"/>
    <d v="2024-03-25T00:00:00"/>
    <x v="0"/>
    <n v="2024"/>
    <n v="1"/>
    <n v="0"/>
    <d v="1899-12-30T11:44:00"/>
    <d v="1899-12-30T20:58:00"/>
    <s v="Present"/>
    <s v="Morning"/>
    <s v="Office"/>
    <n v="0"/>
  </r>
  <r>
    <s v="E1008"/>
    <s v="Employee_8"/>
    <x v="2"/>
    <d v="2024-07-02T00:00:00"/>
    <x v="4"/>
    <n v="2024"/>
    <n v="1"/>
    <n v="0"/>
    <d v="1899-12-30T11:02:00"/>
    <d v="1899-12-30T16:15:00"/>
    <s v="Present"/>
    <s v="Morning"/>
    <s v="Remote"/>
    <n v="0"/>
  </r>
  <r>
    <s v="E1043"/>
    <s v="Employee_43"/>
    <x v="3"/>
    <d v="2024-03-18T00:00:00"/>
    <x v="0"/>
    <n v="2024"/>
    <n v="1"/>
    <n v="1"/>
    <d v="1899-12-30T09:54:00"/>
    <d v="1899-12-30T17:00:00"/>
    <s v="Late"/>
    <s v="Morning"/>
    <s v="Remote"/>
    <n v="0"/>
  </r>
  <r>
    <s v="E1005"/>
    <s v="Employee_5"/>
    <x v="1"/>
    <d v="2024-02-20T00:00:00"/>
    <x v="5"/>
    <n v="2024"/>
    <n v="1"/>
    <n v="0"/>
    <d v="1899-12-30T11:12:00"/>
    <d v="1899-12-30T16:15:00"/>
    <s v="Present"/>
    <s v="Evening"/>
    <s v="Remote"/>
    <n v="0"/>
  </r>
  <r>
    <s v="E1036"/>
    <s v="Employee_36"/>
    <x v="1"/>
    <d v="2024-01-18T00:00:00"/>
    <x v="2"/>
    <n v="2024"/>
    <n v="1"/>
    <n v="1"/>
    <d v="1899-12-30T11:42:00"/>
    <d v="1899-12-30T17:34:00"/>
    <s v="Late"/>
    <s v="Morning"/>
    <s v="Office"/>
    <n v="0"/>
  </r>
  <r>
    <s v="E1010"/>
    <s v="Employee_10"/>
    <x v="4"/>
    <d v="2024-09-03T00:00:00"/>
    <x v="3"/>
    <n v="2024"/>
    <n v="1"/>
    <n v="1"/>
    <d v="1899-12-30T08:19:00"/>
    <d v="1899-12-30T20:59:00"/>
    <s v="Late"/>
    <s v="Morning"/>
    <s v="Remote"/>
    <n v="0"/>
  </r>
  <r>
    <s v="E1052"/>
    <s v="Employee_52"/>
    <x v="3"/>
    <d v="2024-03-18T00:00:00"/>
    <x v="0"/>
    <n v="2024"/>
    <n v="1"/>
    <n v="0"/>
    <d v="1899-12-30T08:22:00"/>
    <d v="1899-12-30T17:38:00"/>
    <s v="Present"/>
    <s v="Morning"/>
    <s v="Office"/>
    <n v="0"/>
  </r>
  <r>
    <s v="E1052"/>
    <s v="Employee_52"/>
    <x v="1"/>
    <d v="2024-02-08T00:00:00"/>
    <x v="5"/>
    <n v="2024"/>
    <n v="1"/>
    <n v="0"/>
    <d v="1899-12-30T08:05:00"/>
    <d v="1899-12-30T18:01:00"/>
    <s v="Work From Home"/>
    <s v="Evening"/>
    <s v="Remote"/>
    <n v="0"/>
  </r>
  <r>
    <s v="E1049"/>
    <s v="Employee_49"/>
    <x v="2"/>
    <d v="2024-03-10T00:00:00"/>
    <x v="0"/>
    <n v="2024"/>
    <n v="1"/>
    <n v="0"/>
    <d v="1899-12-30T09:33:00"/>
    <d v="1899-12-30T19:19:00"/>
    <s v="Present"/>
    <s v="Evening"/>
    <s v="Office"/>
    <n v="0"/>
  </r>
  <r>
    <s v="E1035"/>
    <s v="Employee_35"/>
    <x v="4"/>
    <d v="2024-05-03T00:00:00"/>
    <x v="6"/>
    <n v="2024"/>
    <n v="0"/>
    <n v="0"/>
    <m/>
    <m/>
    <s v="Absent"/>
    <s v="Evening"/>
    <s v="Remote"/>
    <n v="0"/>
  </r>
  <r>
    <s v="E1040"/>
    <s v="Employee_40"/>
    <x v="2"/>
    <d v="2024-02-28T00:00:00"/>
    <x v="5"/>
    <n v="2024"/>
    <n v="1"/>
    <n v="1"/>
    <d v="1899-12-30T10:37:00"/>
    <d v="1899-12-30T16:48:00"/>
    <s v="Late"/>
    <s v="Evening"/>
    <s v="Office"/>
    <n v="0"/>
  </r>
  <r>
    <s v="E1013"/>
    <s v="Employee_13"/>
    <x v="3"/>
    <d v="2024-01-24T00:00:00"/>
    <x v="2"/>
    <n v="2024"/>
    <n v="1"/>
    <n v="1"/>
    <d v="1899-12-30T11:01:00"/>
    <d v="1899-12-30T20:45:00"/>
    <s v="Late"/>
    <s v="Evening"/>
    <s v="Office"/>
    <n v="0"/>
  </r>
  <r>
    <s v="E1043"/>
    <s v="Employee_43"/>
    <x v="1"/>
    <d v="2024-01-14T00:00:00"/>
    <x v="2"/>
    <n v="2024"/>
    <n v="1"/>
    <n v="0"/>
    <d v="1899-12-30T08:37:00"/>
    <d v="1899-12-30T16:38:00"/>
    <s v="Work From Home"/>
    <s v="Morning"/>
    <s v="Office"/>
    <n v="0"/>
  </r>
  <r>
    <s v="E1046"/>
    <s v="Employee_46"/>
    <x v="2"/>
    <d v="2024-02-29T00:00:00"/>
    <x v="5"/>
    <n v="2024"/>
    <n v="1"/>
    <n v="1"/>
    <d v="1899-12-30T09:00:00"/>
    <d v="1899-12-30T16:48:00"/>
    <s v="Late"/>
    <s v="Morning"/>
    <s v="Remote"/>
    <n v="0"/>
  </r>
  <r>
    <s v="E1025"/>
    <s v="Employee_25"/>
    <x v="3"/>
    <d v="2024-01-27T00:00:00"/>
    <x v="2"/>
    <n v="2024"/>
    <n v="1"/>
    <n v="1"/>
    <d v="1899-12-30T09:34:00"/>
    <d v="1899-12-30T18:35:00"/>
    <s v="Late"/>
    <s v="Morning"/>
    <s v="Office"/>
    <n v="0"/>
  </r>
  <r>
    <s v="E1021"/>
    <s v="Employee_21"/>
    <x v="2"/>
    <d v="2024-03-26T00:00:00"/>
    <x v="0"/>
    <n v="2024"/>
    <n v="0"/>
    <n v="0"/>
    <m/>
    <m/>
    <s v="Absent"/>
    <s v="Evening"/>
    <s v="Office"/>
    <n v="0"/>
  </r>
  <r>
    <s v="E1048"/>
    <s v="Employee_48"/>
    <x v="1"/>
    <d v="2024-03-15T00:00:00"/>
    <x v="0"/>
    <n v="2024"/>
    <n v="0"/>
    <n v="0"/>
    <m/>
    <m/>
    <s v="Absent"/>
    <s v="Evening"/>
    <s v="Remote"/>
    <n v="0"/>
  </r>
  <r>
    <s v="E1022"/>
    <s v="Employee_22"/>
    <x v="4"/>
    <d v="2024-01-01T00:00:00"/>
    <x v="2"/>
    <n v="2024"/>
    <n v="0"/>
    <n v="0"/>
    <m/>
    <m/>
    <s v="Absent"/>
    <s v="Evening"/>
    <s v="Office"/>
    <n v="0"/>
  </r>
  <r>
    <s v="E1041"/>
    <s v="Employee_41"/>
    <x v="4"/>
    <d v="2024-03-28T00:00:00"/>
    <x v="0"/>
    <n v="2024"/>
    <n v="1"/>
    <n v="1"/>
    <d v="1899-12-30T08:57:00"/>
    <d v="1899-12-30T16:48:00"/>
    <s v="Late"/>
    <s v="Evening"/>
    <s v="Remote"/>
    <n v="0"/>
  </r>
  <r>
    <s v="E1016"/>
    <s v="Employee_16"/>
    <x v="3"/>
    <d v="2024-03-09T00:00:00"/>
    <x v="0"/>
    <n v="2024"/>
    <n v="0"/>
    <n v="0"/>
    <m/>
    <m/>
    <s v="Absent"/>
    <s v="Evening"/>
    <s v="Remote"/>
    <n v="0"/>
  </r>
  <r>
    <s v="E1003"/>
    <s v="Employee_3"/>
    <x v="4"/>
    <d v="2024-03-29T00:00:00"/>
    <x v="0"/>
    <n v="2024"/>
    <n v="1"/>
    <n v="0"/>
    <d v="1899-12-30T11:10:00"/>
    <d v="1899-12-30T20:28:00"/>
    <s v="Work From Home"/>
    <s v="Evening"/>
    <s v="Office"/>
    <n v="0"/>
  </r>
  <r>
    <s v="E1019"/>
    <s v="Employee_19"/>
    <x v="1"/>
    <d v="2024-03-28T00:00:00"/>
    <x v="0"/>
    <n v="2024"/>
    <n v="1"/>
    <n v="0"/>
    <d v="1899-12-30T08:22:00"/>
    <d v="1899-12-30T17:05:00"/>
    <s v="Work From Home"/>
    <s v="Evening"/>
    <s v="Office"/>
    <n v="0"/>
  </r>
  <r>
    <s v="E1031"/>
    <s v="Employee_31"/>
    <x v="4"/>
    <d v="2024-01-31T00:00:00"/>
    <x v="2"/>
    <n v="2024"/>
    <n v="0"/>
    <n v="0"/>
    <m/>
    <m/>
    <s v="Absent"/>
    <s v="Evening"/>
    <s v="Remote"/>
    <n v="0"/>
  </r>
  <r>
    <s v="E1015"/>
    <s v="Employee_15"/>
    <x v="3"/>
    <d v="2024-08-01T00:00:00"/>
    <x v="9"/>
    <n v="2024"/>
    <n v="1"/>
    <n v="0"/>
    <d v="1899-12-30T08:37:00"/>
    <d v="1899-12-30T17:15:00"/>
    <s v="Present"/>
    <s v="Evening"/>
    <s v="Office"/>
    <n v="0"/>
  </r>
  <r>
    <s v="E1011"/>
    <s v="Employee_11"/>
    <x v="3"/>
    <d v="2024-03-30T00:00:00"/>
    <x v="0"/>
    <n v="2024"/>
    <n v="0"/>
    <n v="0"/>
    <m/>
    <m/>
    <s v="Absent"/>
    <s v="Evening"/>
    <s v="Office"/>
    <n v="0"/>
  </r>
  <r>
    <s v="E1033"/>
    <s v="Employee_33"/>
    <x v="4"/>
    <d v="2024-07-03T00:00:00"/>
    <x v="4"/>
    <n v="2024"/>
    <n v="1"/>
    <n v="0"/>
    <d v="1899-12-30T09:13:00"/>
    <d v="1899-12-30T18:27:00"/>
    <s v="Present"/>
    <s v="Evening"/>
    <s v="Office"/>
    <n v="0"/>
  </r>
  <r>
    <s v="E1047"/>
    <s v="Employee_47"/>
    <x v="4"/>
    <d v="2024-03-01T00:00:00"/>
    <x v="0"/>
    <n v="2024"/>
    <n v="1"/>
    <n v="0"/>
    <d v="1899-12-30T08:06:00"/>
    <d v="1899-12-30T17:28:00"/>
    <s v="Work From Home"/>
    <s v="Evening"/>
    <s v="Office"/>
    <n v="0"/>
  </r>
  <r>
    <s v="E1040"/>
    <s v="Employee_40"/>
    <x v="1"/>
    <d v="2024-01-09T00:00:00"/>
    <x v="2"/>
    <n v="2024"/>
    <n v="1"/>
    <n v="0"/>
    <d v="1899-12-30T09:12:00"/>
    <d v="1899-12-30T20:55:00"/>
    <s v="Present"/>
    <s v="Morning"/>
    <s v="Remote"/>
    <n v="0"/>
  </r>
  <r>
    <s v="E1017"/>
    <s v="Employee_17"/>
    <x v="3"/>
    <d v="2024-03-08T00:00:00"/>
    <x v="0"/>
    <n v="2024"/>
    <n v="1"/>
    <n v="1"/>
    <d v="1899-12-30T09:37:00"/>
    <d v="1899-12-30T19:26:00"/>
    <s v="Late"/>
    <s v="Evening"/>
    <s v="Remote"/>
    <n v="0"/>
  </r>
  <r>
    <s v="E1037"/>
    <s v="Employee_37"/>
    <x v="1"/>
    <d v="2024-03-01T00:00:00"/>
    <x v="0"/>
    <n v="2024"/>
    <n v="1"/>
    <n v="0"/>
    <d v="1899-12-30T09:46:00"/>
    <d v="1899-12-30T17:02:00"/>
    <s v="Present"/>
    <s v="Evening"/>
    <s v="Remote"/>
    <n v="0"/>
  </r>
  <r>
    <s v="E1013"/>
    <s v="Employee_13"/>
    <x v="2"/>
    <d v="2024-03-20T00:00:00"/>
    <x v="0"/>
    <n v="2024"/>
    <n v="1"/>
    <n v="1"/>
    <d v="1899-12-30T09:17:00"/>
    <d v="1899-12-30T16:30:00"/>
    <s v="Late"/>
    <s v="Evening"/>
    <s v="Remote"/>
    <n v="0"/>
  </r>
  <r>
    <s v="E1011"/>
    <s v="Employee_11"/>
    <x v="2"/>
    <d v="2024-03-09T00:00:00"/>
    <x v="0"/>
    <n v="2024"/>
    <n v="0"/>
    <n v="0"/>
    <m/>
    <m/>
    <s v="Absent"/>
    <s v="Morning"/>
    <s v="Remote"/>
    <n v="0"/>
  </r>
  <r>
    <s v="E1043"/>
    <s v="Employee_43"/>
    <x v="1"/>
    <d v="2024-02-01T00:00:00"/>
    <x v="5"/>
    <n v="2024"/>
    <n v="1"/>
    <n v="1"/>
    <d v="1899-12-30T11:21:00"/>
    <d v="1899-12-30T18:43:00"/>
    <s v="Late"/>
    <s v="Evening"/>
    <s v="Office"/>
    <n v="0"/>
  </r>
  <r>
    <s v="E1040"/>
    <s v="Employee_40"/>
    <x v="0"/>
    <d v="2024-11-03T00:00:00"/>
    <x v="1"/>
    <n v="2024"/>
    <n v="1"/>
    <n v="0"/>
    <d v="1899-12-30T08:57:00"/>
    <d v="1899-12-30T17:40:00"/>
    <s v="Work From Home"/>
    <s v="Evening"/>
    <s v="Remote"/>
    <n v="0"/>
  </r>
  <r>
    <s v="E1028"/>
    <s v="Employee_28"/>
    <x v="4"/>
    <d v="2024-02-28T00:00:00"/>
    <x v="5"/>
    <n v="2024"/>
    <n v="0"/>
    <n v="0"/>
    <m/>
    <m/>
    <s v="Absent"/>
    <s v="Morning"/>
    <s v="Remote"/>
    <n v="0"/>
  </r>
  <r>
    <s v="E1018"/>
    <s v="Employee_18"/>
    <x v="0"/>
    <d v="2024-11-03T00:00:00"/>
    <x v="1"/>
    <n v="2024"/>
    <n v="1"/>
    <n v="1"/>
    <d v="1899-12-30T10:01:00"/>
    <d v="1899-12-30T20:38:00"/>
    <s v="Late"/>
    <s v="Evening"/>
    <s v="Remote"/>
    <n v="0"/>
  </r>
  <r>
    <s v="E1010"/>
    <s v="Employee_10"/>
    <x v="4"/>
    <d v="2024-03-20T00:00:00"/>
    <x v="0"/>
    <n v="2024"/>
    <n v="0"/>
    <n v="0"/>
    <m/>
    <m/>
    <s v="Absent"/>
    <s v="Evening"/>
    <s v="Remote"/>
    <n v="0"/>
  </r>
  <r>
    <s v="E1036"/>
    <s v="Employee_36"/>
    <x v="3"/>
    <d v="2024-01-03T00:00:00"/>
    <x v="2"/>
    <n v="2024"/>
    <n v="1"/>
    <n v="0"/>
    <d v="1899-12-30T11:50:00"/>
    <d v="1899-12-30T18:24:00"/>
    <s v="Present"/>
    <s v="Morning"/>
    <s v="Remote"/>
    <n v="0"/>
  </r>
  <r>
    <s v="E1000"/>
    <s v="Employee_0"/>
    <x v="1"/>
    <d v="2024-01-05T00:00:00"/>
    <x v="2"/>
    <n v="2024"/>
    <n v="1"/>
    <n v="1"/>
    <d v="1899-12-30T08:11:00"/>
    <d v="1899-12-30T20:13:00"/>
    <s v="Late"/>
    <s v="Morning"/>
    <s v="Office"/>
    <n v="0"/>
  </r>
  <r>
    <s v="E1030"/>
    <s v="Employee_30"/>
    <x v="3"/>
    <d v="2024-02-23T00:00:00"/>
    <x v="5"/>
    <n v="2024"/>
    <n v="0"/>
    <n v="0"/>
    <m/>
    <m/>
    <s v="Absent"/>
    <s v="Evening"/>
    <s v="Remote"/>
    <n v="0"/>
  </r>
  <r>
    <s v="E1031"/>
    <s v="Employee_31"/>
    <x v="3"/>
    <d v="2024-01-20T00:00:00"/>
    <x v="2"/>
    <n v="2024"/>
    <n v="0"/>
    <n v="0"/>
    <m/>
    <m/>
    <s v="Absent"/>
    <s v="Morning"/>
    <s v="Remote"/>
    <n v="0"/>
  </r>
  <r>
    <s v="E1018"/>
    <s v="Employee_18"/>
    <x v="4"/>
    <d v="2024-05-03T00:00:00"/>
    <x v="6"/>
    <n v="2024"/>
    <n v="1"/>
    <n v="1"/>
    <d v="1899-12-30T09:55:00"/>
    <d v="1899-12-30T16:29:00"/>
    <s v="Late"/>
    <s v="Morning"/>
    <s v="Office"/>
    <n v="0"/>
  </r>
  <r>
    <s v="E1038"/>
    <s v="Employee_38"/>
    <x v="4"/>
    <d v="2024-03-26T00:00:00"/>
    <x v="0"/>
    <n v="2024"/>
    <n v="1"/>
    <n v="0"/>
    <d v="1899-12-30T10:11:00"/>
    <d v="1899-12-30T18:13:00"/>
    <s v="Work From Home"/>
    <s v="Morning"/>
    <s v="Office"/>
    <n v="0"/>
  </r>
  <r>
    <s v="E1015"/>
    <s v="Employee_15"/>
    <x v="0"/>
    <d v="2024-08-03T00:00:00"/>
    <x v="9"/>
    <n v="2024"/>
    <n v="1"/>
    <n v="0"/>
    <d v="1899-12-30T09:37:00"/>
    <d v="1899-12-30T17:25:00"/>
    <s v="Work From Home"/>
    <s v="Morning"/>
    <s v="Remote"/>
    <n v="0"/>
  </r>
  <r>
    <s v="E1005"/>
    <s v="Employee_5"/>
    <x v="2"/>
    <d v="2024-03-02T00:00:00"/>
    <x v="0"/>
    <n v="2024"/>
    <n v="1"/>
    <n v="1"/>
    <d v="1899-12-30T08:59:00"/>
    <d v="1899-12-30T20:22:00"/>
    <s v="Late"/>
    <s v="Morning"/>
    <s v="Office"/>
    <n v="0"/>
  </r>
  <r>
    <s v="E1008"/>
    <s v="Employee_8"/>
    <x v="3"/>
    <d v="2024-03-27T00:00:00"/>
    <x v="0"/>
    <n v="2024"/>
    <n v="1"/>
    <n v="0"/>
    <d v="1899-12-30T10:30:00"/>
    <d v="1899-12-30T19:41:00"/>
    <s v="Present"/>
    <s v="Evening"/>
    <s v="Remote"/>
    <n v="0"/>
  </r>
  <r>
    <s v="E1038"/>
    <s v="Employee_38"/>
    <x v="0"/>
    <d v="2024-02-09T00:00:00"/>
    <x v="5"/>
    <n v="2024"/>
    <n v="1"/>
    <n v="0"/>
    <d v="1899-12-30T11:02:00"/>
    <d v="1899-12-30T18:13:00"/>
    <s v="Work From Home"/>
    <s v="Morning"/>
    <s v="Office"/>
    <n v="0"/>
  </r>
  <r>
    <s v="E1002"/>
    <s v="Employee_2"/>
    <x v="2"/>
    <d v="2024-03-17T00:00:00"/>
    <x v="0"/>
    <n v="2024"/>
    <n v="1"/>
    <n v="0"/>
    <d v="1899-12-30T10:14:00"/>
    <d v="1899-12-30T19:59:00"/>
    <s v="Present"/>
    <s v="Evening"/>
    <s v="Remote"/>
    <n v="0"/>
  </r>
  <r>
    <s v="E1003"/>
    <s v="Employee_3"/>
    <x v="0"/>
    <d v="2024-02-11T00:00:00"/>
    <x v="5"/>
    <n v="2024"/>
    <n v="1"/>
    <n v="0"/>
    <d v="1899-12-30T10:54:00"/>
    <d v="1899-12-30T19:30:00"/>
    <s v="Present"/>
    <s v="Morning"/>
    <s v="Office"/>
    <n v="0"/>
  </r>
  <r>
    <s v="E1042"/>
    <s v="Employee_42"/>
    <x v="0"/>
    <d v="2024-01-23T00:00:00"/>
    <x v="2"/>
    <n v="2024"/>
    <n v="1"/>
    <n v="0"/>
    <d v="1899-12-30T09:06:00"/>
    <d v="1899-12-30T16:42:00"/>
    <s v="Present"/>
    <s v="Evening"/>
    <s v="Office"/>
    <n v="0"/>
  </r>
  <r>
    <s v="E1020"/>
    <s v="Employee_20"/>
    <x v="4"/>
    <d v="2024-03-21T00:00:00"/>
    <x v="0"/>
    <n v="2024"/>
    <n v="1"/>
    <n v="1"/>
    <d v="1899-12-30T09:41:00"/>
    <d v="1899-12-30T19:54:00"/>
    <s v="Late"/>
    <s v="Evening"/>
    <s v="Office"/>
    <n v="0"/>
  </r>
  <r>
    <s v="E1055"/>
    <s v="Employee_55"/>
    <x v="3"/>
    <d v="2024-04-02T00:00:00"/>
    <x v="10"/>
    <n v="2024"/>
    <n v="1"/>
    <n v="0"/>
    <d v="1899-12-30T09:37:00"/>
    <d v="1899-12-30T17:14:00"/>
    <s v="Present"/>
    <s v="Evening"/>
    <s v="Office"/>
    <n v="0"/>
  </r>
  <r>
    <s v="E1027"/>
    <s v="Employee_27"/>
    <x v="1"/>
    <d v="2024-01-15T00:00:00"/>
    <x v="2"/>
    <n v="2024"/>
    <n v="1"/>
    <n v="0"/>
    <d v="1899-12-30T11:45:00"/>
    <d v="1899-12-30T16:19:00"/>
    <s v="Work From Home"/>
    <s v="Evening"/>
    <s v="Office"/>
    <n v="0"/>
  </r>
  <r>
    <s v="E1055"/>
    <s v="Employee_55"/>
    <x v="0"/>
    <d v="2024-02-05T00:00:00"/>
    <x v="5"/>
    <n v="2024"/>
    <n v="1"/>
    <n v="1"/>
    <d v="1899-12-30T10:12:00"/>
    <d v="1899-12-30T20:22:00"/>
    <s v="Late"/>
    <s v="Evening"/>
    <s v="Remote"/>
    <n v="0"/>
  </r>
  <r>
    <s v="E1003"/>
    <s v="Employee_3"/>
    <x v="2"/>
    <d v="2024-03-24T00:00:00"/>
    <x v="0"/>
    <n v="2024"/>
    <n v="1"/>
    <n v="0"/>
    <d v="1899-12-30T11:48:00"/>
    <d v="1899-12-30T16:43:00"/>
    <s v="Work From Home"/>
    <s v="Evening"/>
    <s v="Remote"/>
    <n v="0"/>
  </r>
  <r>
    <s v="E1057"/>
    <s v="Employee_57"/>
    <x v="0"/>
    <d v="2024-01-22T00:00:00"/>
    <x v="2"/>
    <n v="2024"/>
    <n v="1"/>
    <n v="0"/>
    <d v="1899-12-30T09:50:00"/>
    <d v="1899-12-30T18:25:00"/>
    <s v="Work From Home"/>
    <s v="Evening"/>
    <s v="Remote"/>
    <n v="0"/>
  </r>
  <r>
    <s v="E1046"/>
    <s v="Employee_46"/>
    <x v="4"/>
    <d v="2024-01-19T00:00:00"/>
    <x v="2"/>
    <n v="2024"/>
    <n v="1"/>
    <n v="0"/>
    <d v="1899-12-30T10:40:00"/>
    <d v="1899-12-30T19:27:00"/>
    <s v="Present"/>
    <s v="Morning"/>
    <s v="Office"/>
    <n v="0"/>
  </r>
  <r>
    <s v="E1054"/>
    <s v="Employee_54"/>
    <x v="0"/>
    <d v="2024-03-03T00:00:00"/>
    <x v="0"/>
    <n v="2024"/>
    <n v="1"/>
    <n v="0"/>
    <d v="1899-12-30T11:27:00"/>
    <d v="1899-12-30T18:54:00"/>
    <s v="Present"/>
    <s v="Evening"/>
    <s v="Office"/>
    <n v="0"/>
  </r>
  <r>
    <s v="E1019"/>
    <s v="Employee_19"/>
    <x v="0"/>
    <d v="2024-02-13T00:00:00"/>
    <x v="5"/>
    <n v="2024"/>
    <n v="1"/>
    <n v="1"/>
    <d v="1899-12-30T11:33:00"/>
    <d v="1899-12-30T19:36:00"/>
    <s v="Late"/>
    <s v="Evening"/>
    <s v="Remote"/>
    <n v="0"/>
  </r>
  <r>
    <s v="E1043"/>
    <s v="Employee_43"/>
    <x v="1"/>
    <d v="2024-02-01T00:00:00"/>
    <x v="5"/>
    <n v="2024"/>
    <n v="1"/>
    <n v="0"/>
    <d v="1899-12-30T10:48:00"/>
    <d v="1899-12-30T20:28:00"/>
    <s v="Present"/>
    <s v="Morning"/>
    <s v="Remote"/>
    <n v="0"/>
  </r>
  <r>
    <s v="E1032"/>
    <s v="Employee_32"/>
    <x v="4"/>
    <d v="2024-02-23T00:00:00"/>
    <x v="5"/>
    <n v="2024"/>
    <n v="0"/>
    <n v="0"/>
    <m/>
    <m/>
    <s v="Absent"/>
    <s v="Morning"/>
    <s v="Office"/>
    <n v="0"/>
  </r>
  <r>
    <s v="E1038"/>
    <s v="Employee_38"/>
    <x v="3"/>
    <d v="2024-07-01T00:00:00"/>
    <x v="4"/>
    <n v="2024"/>
    <n v="1"/>
    <n v="1"/>
    <d v="1899-12-30T10:34:00"/>
    <d v="1899-12-30T19:01:00"/>
    <s v="Late"/>
    <s v="Morning"/>
    <s v="Office"/>
    <n v="0"/>
  </r>
  <r>
    <s v="E1041"/>
    <s v="Employee_41"/>
    <x v="0"/>
    <d v="2024-01-21T00:00:00"/>
    <x v="2"/>
    <n v="2024"/>
    <n v="1"/>
    <n v="0"/>
    <d v="1899-12-30T08:02:00"/>
    <d v="1899-12-30T16:12:00"/>
    <s v="Present"/>
    <s v="Evening"/>
    <s v="Office"/>
    <n v="0"/>
  </r>
  <r>
    <s v="E1008"/>
    <s v="Employee_8"/>
    <x v="1"/>
    <d v="2024-03-21T00:00:00"/>
    <x v="0"/>
    <n v="2024"/>
    <n v="0"/>
    <n v="0"/>
    <m/>
    <m/>
    <s v="Absent"/>
    <s v="Morning"/>
    <s v="Remote"/>
    <n v="0"/>
  </r>
  <r>
    <s v="E1012"/>
    <s v="Employee_12"/>
    <x v="0"/>
    <d v="2024-01-22T00:00:00"/>
    <x v="2"/>
    <n v="2024"/>
    <n v="1"/>
    <n v="0"/>
    <d v="1899-12-30T10:57:00"/>
    <d v="1899-12-30T16:35:00"/>
    <s v="Work From Home"/>
    <s v="Morning"/>
    <s v="Office"/>
    <n v="0"/>
  </r>
  <r>
    <s v="E1000"/>
    <s v="Employee_0"/>
    <x v="0"/>
    <d v="2024-02-05T00:00:00"/>
    <x v="5"/>
    <n v="2024"/>
    <n v="1"/>
    <n v="0"/>
    <d v="1899-12-30T08:40:00"/>
    <d v="1899-12-30T19:18:00"/>
    <s v="Work From Home"/>
    <s v="Morning"/>
    <s v="Remote"/>
    <n v="0"/>
  </r>
  <r>
    <s v="E1006"/>
    <s v="Employee_6"/>
    <x v="3"/>
    <d v="2024-01-03T00:00:00"/>
    <x v="2"/>
    <n v="2024"/>
    <n v="1"/>
    <n v="1"/>
    <d v="1899-12-30T11:27:00"/>
    <d v="1899-12-30T20:05:00"/>
    <s v="Late"/>
    <s v="Evening"/>
    <s v="Remote"/>
    <n v="0"/>
  </r>
  <r>
    <s v="E1040"/>
    <s v="Employee_40"/>
    <x v="3"/>
    <d v="2024-02-16T00:00:00"/>
    <x v="5"/>
    <n v="2024"/>
    <n v="1"/>
    <n v="0"/>
    <d v="1899-12-30T11:57:00"/>
    <d v="1899-12-30T16:27:00"/>
    <s v="Present"/>
    <s v="Morning"/>
    <s v="Remote"/>
    <n v="0"/>
  </r>
  <r>
    <s v="E1019"/>
    <s v="Employee_19"/>
    <x v="3"/>
    <d v="2024-02-19T00:00:00"/>
    <x v="5"/>
    <n v="2024"/>
    <n v="1"/>
    <n v="0"/>
    <d v="1899-12-30T11:23:00"/>
    <d v="1899-12-30T20:26:00"/>
    <s v="Present"/>
    <s v="Evening"/>
    <s v="Office"/>
    <n v="0"/>
  </r>
  <r>
    <s v="E1030"/>
    <s v="Employee_30"/>
    <x v="0"/>
    <d v="2024-02-10T00:00:00"/>
    <x v="5"/>
    <n v="2024"/>
    <n v="1"/>
    <n v="1"/>
    <d v="1899-12-30T11:17:00"/>
    <d v="1899-12-30T16:36:00"/>
    <s v="Late"/>
    <s v="Evening"/>
    <s v="Remote"/>
    <n v="0"/>
  </r>
  <r>
    <s v="E1002"/>
    <s v="Employee_2"/>
    <x v="2"/>
    <d v="2024-03-19T00:00:00"/>
    <x v="0"/>
    <n v="2024"/>
    <n v="0"/>
    <n v="0"/>
    <m/>
    <m/>
    <s v="Absent"/>
    <s v="Evening"/>
    <s v="Office"/>
    <n v="0"/>
  </r>
  <r>
    <s v="E1035"/>
    <s v="Employee_35"/>
    <x v="1"/>
    <d v="2024-03-15T00:00:00"/>
    <x v="0"/>
    <n v="2024"/>
    <n v="1"/>
    <n v="0"/>
    <d v="1899-12-30T11:37:00"/>
    <d v="1899-12-30T20:10:00"/>
    <s v="Work From Home"/>
    <s v="Morning"/>
    <s v="Office"/>
    <n v="0"/>
  </r>
  <r>
    <s v="E1057"/>
    <s v="Employee_57"/>
    <x v="2"/>
    <d v="2024-02-15T00:00:00"/>
    <x v="5"/>
    <n v="2024"/>
    <n v="1"/>
    <n v="0"/>
    <d v="1899-12-30T09:34:00"/>
    <d v="1899-12-30T19:43:00"/>
    <s v="Present"/>
    <s v="Morning"/>
    <s v="Remote"/>
    <n v="0"/>
  </r>
  <r>
    <s v="E1003"/>
    <s v="Employee_3"/>
    <x v="0"/>
    <d v="2024-03-28T00:00:00"/>
    <x v="0"/>
    <n v="2024"/>
    <n v="1"/>
    <n v="0"/>
    <d v="1899-12-30T10:42:00"/>
    <d v="1899-12-30T16:11:00"/>
    <s v="Work From Home"/>
    <s v="Morning"/>
    <s v="Remote"/>
    <n v="0"/>
  </r>
  <r>
    <s v="E1041"/>
    <s v="Employee_41"/>
    <x v="4"/>
    <d v="2024-01-14T00:00:00"/>
    <x v="2"/>
    <n v="2024"/>
    <n v="1"/>
    <n v="0"/>
    <d v="1899-12-30T10:05:00"/>
    <d v="1899-12-30T17:06:00"/>
    <s v="Work From Home"/>
    <s v="Morning"/>
    <s v="Remote"/>
    <n v="0"/>
  </r>
  <r>
    <s v="E1053"/>
    <s v="Employee_53"/>
    <x v="3"/>
    <d v="2024-01-22T00:00:00"/>
    <x v="2"/>
    <n v="2024"/>
    <n v="0"/>
    <n v="0"/>
    <m/>
    <m/>
    <s v="Absent"/>
    <s v="Evening"/>
    <s v="Office"/>
    <n v="0"/>
  </r>
  <r>
    <s v="E1003"/>
    <s v="Employee_3"/>
    <x v="2"/>
    <d v="2024-09-01T00:00:00"/>
    <x v="3"/>
    <n v="2024"/>
    <n v="0"/>
    <n v="0"/>
    <m/>
    <m/>
    <s v="Absent"/>
    <s v="Morning"/>
    <s v="Office"/>
    <n v="0"/>
  </r>
  <r>
    <s v="E1041"/>
    <s v="Employee_41"/>
    <x v="3"/>
    <d v="2024-01-31T00:00:00"/>
    <x v="2"/>
    <n v="2024"/>
    <n v="1"/>
    <n v="0"/>
    <d v="1899-12-30T11:46:00"/>
    <d v="1899-12-30T16:16:00"/>
    <s v="Work From Home"/>
    <s v="Evening"/>
    <s v="Office"/>
    <n v="0"/>
  </r>
  <r>
    <s v="E1020"/>
    <s v="Employee_20"/>
    <x v="0"/>
    <d v="2024-03-02T00:00:00"/>
    <x v="0"/>
    <n v="2024"/>
    <n v="1"/>
    <n v="1"/>
    <d v="1899-12-30T09:04:00"/>
    <d v="1899-12-30T19:16:00"/>
    <s v="Late"/>
    <s v="Evening"/>
    <s v="Office"/>
    <n v="0"/>
  </r>
  <r>
    <s v="E1047"/>
    <s v="Employee_47"/>
    <x v="2"/>
    <d v="2024-02-21T00:00:00"/>
    <x v="5"/>
    <n v="2024"/>
    <n v="1"/>
    <n v="0"/>
    <d v="1899-12-30T11:46:00"/>
    <d v="1899-12-30T17:37:00"/>
    <s v="Present"/>
    <s v="Morning"/>
    <s v="Remote"/>
    <n v="0"/>
  </r>
  <r>
    <s v="E1020"/>
    <s v="Employee_20"/>
    <x v="1"/>
    <d v="2024-03-23T00:00:00"/>
    <x v="0"/>
    <n v="2024"/>
    <n v="1"/>
    <n v="0"/>
    <d v="1899-12-30T09:24:00"/>
    <d v="1899-12-30T19:46:00"/>
    <s v="Work From Home"/>
    <s v="Evening"/>
    <s v="Office"/>
    <n v="0"/>
  </r>
  <r>
    <s v="E1001"/>
    <s v="Employee_1"/>
    <x v="3"/>
    <d v="2024-06-01T00:00:00"/>
    <x v="11"/>
    <n v="2024"/>
    <n v="1"/>
    <n v="1"/>
    <d v="1899-12-30T09:06:00"/>
    <d v="1899-12-30T16:53:00"/>
    <s v="Late"/>
    <s v="Evening"/>
    <s v="Remote"/>
    <n v="0"/>
  </r>
  <r>
    <s v="E1055"/>
    <s v="Employee_55"/>
    <x v="1"/>
    <d v="2024-01-02T00:00:00"/>
    <x v="2"/>
    <n v="2024"/>
    <n v="1"/>
    <n v="0"/>
    <d v="1899-12-30T08:52:00"/>
    <d v="1899-12-30T16:00:00"/>
    <s v="Present"/>
    <s v="Morning"/>
    <s v="Remote"/>
    <n v="0"/>
  </r>
  <r>
    <s v="E1030"/>
    <s v="Employee_30"/>
    <x v="3"/>
    <d v="2024-02-17T00:00:00"/>
    <x v="5"/>
    <n v="2024"/>
    <n v="1"/>
    <n v="0"/>
    <d v="1899-12-30T10:01:00"/>
    <d v="1899-12-30T19:10:00"/>
    <s v="Work From Home"/>
    <s v="Evening"/>
    <s v="Remote"/>
    <n v="0"/>
  </r>
  <r>
    <s v="E1018"/>
    <s v="Employee_18"/>
    <x v="3"/>
    <d v="2024-03-03T00:00:00"/>
    <x v="0"/>
    <n v="2024"/>
    <n v="0"/>
    <n v="0"/>
    <m/>
    <m/>
    <s v="Absent"/>
    <s v="Evening"/>
    <s v="Office"/>
    <n v="0"/>
  </r>
  <r>
    <s v="E1039"/>
    <s v="Employee_39"/>
    <x v="2"/>
    <d v="2024-01-13T00:00:00"/>
    <x v="2"/>
    <n v="2024"/>
    <n v="1"/>
    <n v="1"/>
    <d v="1899-12-30T09:41:00"/>
    <d v="1899-12-30T20:41:00"/>
    <s v="Late"/>
    <s v="Morning"/>
    <s v="Office"/>
    <n v="0"/>
  </r>
  <r>
    <s v="E1038"/>
    <s v="Employee_38"/>
    <x v="1"/>
    <d v="2024-02-20T00:00:00"/>
    <x v="5"/>
    <n v="2024"/>
    <n v="1"/>
    <n v="1"/>
    <d v="1899-12-30T10:05:00"/>
    <d v="1899-12-30T17:22:00"/>
    <s v="Late"/>
    <s v="Morning"/>
    <s v="Office"/>
    <n v="0"/>
  </r>
  <r>
    <s v="E1031"/>
    <s v="Employee_31"/>
    <x v="1"/>
    <d v="2024-02-01T00:00:00"/>
    <x v="5"/>
    <n v="2024"/>
    <n v="0"/>
    <n v="0"/>
    <m/>
    <m/>
    <s v="Absent"/>
    <s v="Evening"/>
    <s v="Office"/>
    <n v="0"/>
  </r>
  <r>
    <s v="E1003"/>
    <s v="Employee_3"/>
    <x v="2"/>
    <d v="2024-03-28T00:00:00"/>
    <x v="0"/>
    <n v="2024"/>
    <n v="0"/>
    <n v="0"/>
    <m/>
    <m/>
    <s v="Absent"/>
    <s v="Morning"/>
    <s v="Remote"/>
    <n v="0"/>
  </r>
  <r>
    <s v="E1057"/>
    <s v="Employee_57"/>
    <x v="0"/>
    <d v="2024-01-30T00:00:00"/>
    <x v="2"/>
    <n v="2024"/>
    <n v="1"/>
    <n v="0"/>
    <d v="1899-12-30T10:04:00"/>
    <d v="1899-12-30T16:10:00"/>
    <s v="Present"/>
    <s v="Morning"/>
    <s v="Office"/>
    <n v="0"/>
  </r>
  <r>
    <s v="E1046"/>
    <s v="Employee_46"/>
    <x v="4"/>
    <d v="2024-03-19T00:00:00"/>
    <x v="0"/>
    <n v="2024"/>
    <n v="1"/>
    <n v="0"/>
    <d v="1899-12-30T09:43:00"/>
    <d v="1899-12-30T18:24:00"/>
    <s v="Work From Home"/>
    <s v="Evening"/>
    <s v="Office"/>
    <n v="0"/>
  </r>
  <r>
    <s v="E1058"/>
    <s v="Employee_58"/>
    <x v="2"/>
    <d v="2024-03-01T00:00:00"/>
    <x v="0"/>
    <n v="2024"/>
    <n v="1"/>
    <n v="0"/>
    <d v="1899-12-30T11:29:00"/>
    <d v="1899-12-30T17:28:00"/>
    <s v="Present"/>
    <s v="Morning"/>
    <s v="Office"/>
    <n v="0"/>
  </r>
  <r>
    <s v="E1018"/>
    <s v="Employee_18"/>
    <x v="0"/>
    <d v="2024-02-24T00:00:00"/>
    <x v="5"/>
    <n v="2024"/>
    <n v="1"/>
    <n v="0"/>
    <d v="1899-12-30T10:49:00"/>
    <d v="1899-12-30T18:01:00"/>
    <s v="Present"/>
    <s v="Evening"/>
    <s v="Remote"/>
    <n v="0"/>
  </r>
  <r>
    <s v="E1057"/>
    <s v="Employee_57"/>
    <x v="4"/>
    <d v="2024-02-02T00:00:00"/>
    <x v="5"/>
    <n v="2024"/>
    <n v="1"/>
    <n v="0"/>
    <d v="1899-12-30T09:12:00"/>
    <d v="1899-12-30T16:58:00"/>
    <s v="Work From Home"/>
    <s v="Morning"/>
    <s v="Remote"/>
    <n v="0"/>
  </r>
  <r>
    <s v="E1035"/>
    <s v="Employee_35"/>
    <x v="3"/>
    <d v="2024-01-22T00:00:00"/>
    <x v="2"/>
    <n v="2024"/>
    <n v="1"/>
    <n v="1"/>
    <d v="1899-12-30T09:15:00"/>
    <d v="1899-12-30T17:48:00"/>
    <s v="Late"/>
    <s v="Morning"/>
    <s v="Office"/>
    <n v="0"/>
  </r>
  <r>
    <s v="E1052"/>
    <s v="Employee_52"/>
    <x v="3"/>
    <d v="2024-03-08T00:00:00"/>
    <x v="0"/>
    <n v="2024"/>
    <n v="1"/>
    <n v="1"/>
    <d v="1899-12-30T10:55:00"/>
    <d v="1899-12-30T16:05:00"/>
    <s v="Late"/>
    <s v="Morning"/>
    <s v="Remote"/>
    <n v="0"/>
  </r>
  <r>
    <s v="E1047"/>
    <s v="Employee_47"/>
    <x v="2"/>
    <d v="2024-02-14T00:00:00"/>
    <x v="5"/>
    <n v="2024"/>
    <n v="1"/>
    <n v="0"/>
    <d v="1899-12-30T09:18:00"/>
    <d v="1899-12-30T16:12:00"/>
    <s v="Work From Home"/>
    <s v="Evening"/>
    <s v="Office"/>
    <n v="0"/>
  </r>
  <r>
    <s v="E1014"/>
    <s v="Employee_14"/>
    <x v="4"/>
    <d v="2024-05-02T00:00:00"/>
    <x v="6"/>
    <n v="2024"/>
    <n v="1"/>
    <n v="0"/>
    <d v="1899-12-30T09:48:00"/>
    <d v="1899-12-30T20:36:00"/>
    <s v="Work From Home"/>
    <s v="Evening"/>
    <s v="Remote"/>
    <n v="0"/>
  </r>
  <r>
    <s v="E1039"/>
    <s v="Employee_39"/>
    <x v="4"/>
    <d v="2024-12-03T00:00:00"/>
    <x v="8"/>
    <n v="2024"/>
    <n v="1"/>
    <n v="1"/>
    <d v="1899-12-30T11:01:00"/>
    <d v="1899-12-30T18:25:00"/>
    <s v="Late"/>
    <s v="Morning"/>
    <s v="Office"/>
    <n v="0"/>
  </r>
  <r>
    <s v="E1011"/>
    <s v="Employee_11"/>
    <x v="0"/>
    <d v="2024-01-18T00:00:00"/>
    <x v="2"/>
    <n v="2024"/>
    <n v="1"/>
    <n v="0"/>
    <d v="1899-12-30T08:58:00"/>
    <d v="1899-12-30T19:13:00"/>
    <s v="Present"/>
    <s v="Morning"/>
    <s v="Office"/>
    <n v="0"/>
  </r>
  <r>
    <s v="E1003"/>
    <s v="Employee_3"/>
    <x v="2"/>
    <d v="2024-10-03T00:00:00"/>
    <x v="7"/>
    <n v="2024"/>
    <n v="1"/>
    <n v="1"/>
    <d v="1899-12-30T09:05:00"/>
    <d v="1899-12-30T18:34:00"/>
    <s v="Late"/>
    <s v="Morning"/>
    <s v="Office"/>
    <n v="0"/>
  </r>
  <r>
    <s v="E1003"/>
    <s v="Employee_3"/>
    <x v="4"/>
    <d v="2024-02-24T00:00:00"/>
    <x v="5"/>
    <n v="2024"/>
    <n v="1"/>
    <n v="0"/>
    <d v="1899-12-30T08:08:00"/>
    <d v="1899-12-30T16:59:00"/>
    <s v="Work From Home"/>
    <s v="Morning"/>
    <s v="Remote"/>
    <n v="0"/>
  </r>
  <r>
    <s v="E1036"/>
    <s v="Employee_36"/>
    <x v="4"/>
    <d v="2024-03-17T00:00:00"/>
    <x v="0"/>
    <n v="2024"/>
    <n v="1"/>
    <n v="0"/>
    <d v="1899-12-30T08:01:00"/>
    <d v="1899-12-30T20:23:00"/>
    <s v="Present"/>
    <s v="Morning"/>
    <s v="Remote"/>
    <n v="0"/>
  </r>
  <r>
    <s v="E1006"/>
    <s v="Employee_6"/>
    <x v="1"/>
    <d v="2024-02-02T00:00:00"/>
    <x v="5"/>
    <n v="2024"/>
    <n v="1"/>
    <n v="0"/>
    <d v="1899-12-30T10:09:00"/>
    <d v="1899-12-30T17:39:00"/>
    <s v="Present"/>
    <s v="Evening"/>
    <s v="Remote"/>
    <n v="0"/>
  </r>
  <r>
    <s v="E1009"/>
    <s v="Employee_9"/>
    <x v="0"/>
    <d v="2024-01-07T00:00:00"/>
    <x v="2"/>
    <n v="2024"/>
    <n v="1"/>
    <n v="0"/>
    <d v="1899-12-30T08:19:00"/>
    <d v="1899-12-30T16:56:00"/>
    <s v="Present"/>
    <s v="Morning"/>
    <s v="Office"/>
    <n v="0"/>
  </r>
  <r>
    <s v="E1008"/>
    <s v="Employee_8"/>
    <x v="3"/>
    <d v="2024-06-01T00:00:00"/>
    <x v="11"/>
    <n v="2024"/>
    <n v="0"/>
    <n v="0"/>
    <m/>
    <m/>
    <s v="Absent"/>
    <s v="Evening"/>
    <s v="Office"/>
    <n v="0"/>
  </r>
  <r>
    <s v="E1053"/>
    <s v="Employee_53"/>
    <x v="3"/>
    <d v="2024-06-03T00:00:00"/>
    <x v="11"/>
    <n v="2024"/>
    <n v="1"/>
    <n v="0"/>
    <d v="1899-12-30T10:12:00"/>
    <d v="1899-12-30T18:42:00"/>
    <s v="Work From Home"/>
    <s v="Morning"/>
    <s v="Office"/>
    <n v="0"/>
  </r>
  <r>
    <s v="E1048"/>
    <s v="Employee_48"/>
    <x v="3"/>
    <d v="2024-02-24T00:00:00"/>
    <x v="5"/>
    <n v="2024"/>
    <n v="0"/>
    <n v="0"/>
    <m/>
    <m/>
    <s v="Absent"/>
    <s v="Evening"/>
    <s v="Remote"/>
    <n v="0"/>
  </r>
  <r>
    <s v="E1032"/>
    <s v="Employee_32"/>
    <x v="0"/>
    <d v="2024-02-16T00:00:00"/>
    <x v="5"/>
    <n v="2024"/>
    <n v="0"/>
    <n v="0"/>
    <m/>
    <m/>
    <s v="Absent"/>
    <s v="Evening"/>
    <s v="Remote"/>
    <n v="0"/>
  </r>
  <r>
    <s v="E1001"/>
    <s v="Employee_1"/>
    <x v="4"/>
    <d v="2024-12-03T00:00:00"/>
    <x v="8"/>
    <n v="2024"/>
    <n v="1"/>
    <n v="0"/>
    <d v="1899-12-30T08:37:00"/>
    <d v="1899-12-30T18:41:00"/>
    <s v="Work From Home"/>
    <s v="Morning"/>
    <s v="Office"/>
    <n v="0"/>
  </r>
  <r>
    <s v="E1028"/>
    <s v="Employee_28"/>
    <x v="3"/>
    <d v="2024-03-25T00:00:00"/>
    <x v="0"/>
    <n v="2024"/>
    <n v="1"/>
    <n v="1"/>
    <d v="1899-12-30T08:18:00"/>
    <d v="1899-12-30T16:05:00"/>
    <s v="Late"/>
    <s v="Morning"/>
    <s v="Remote"/>
    <n v="0"/>
  </r>
  <r>
    <s v="E1022"/>
    <s v="Employee_22"/>
    <x v="4"/>
    <d v="2024-02-19T00:00:00"/>
    <x v="5"/>
    <n v="2024"/>
    <n v="0"/>
    <n v="0"/>
    <m/>
    <m/>
    <s v="Absent"/>
    <s v="Evening"/>
    <s v="Remote"/>
    <n v="0"/>
  </r>
  <r>
    <s v="E1034"/>
    <s v="Employee_34"/>
    <x v="1"/>
    <d v="2024-01-29T00:00:00"/>
    <x v="2"/>
    <n v="2024"/>
    <n v="1"/>
    <n v="1"/>
    <d v="1899-12-30T11:21:00"/>
    <d v="1899-12-30T17:33:00"/>
    <s v="Late"/>
    <s v="Evening"/>
    <s v="Office"/>
    <n v="0"/>
  </r>
  <r>
    <s v="E1009"/>
    <s v="Employee_9"/>
    <x v="1"/>
    <d v="2024-01-22T00:00:00"/>
    <x v="2"/>
    <n v="2024"/>
    <n v="1"/>
    <n v="0"/>
    <d v="1899-12-30T10:49:00"/>
    <d v="1899-12-30T17:14:00"/>
    <s v="Work From Home"/>
    <s v="Evening"/>
    <s v="Office"/>
    <n v="0"/>
  </r>
  <r>
    <s v="E1054"/>
    <s v="Employee_54"/>
    <x v="2"/>
    <d v="2024-08-03T00:00:00"/>
    <x v="9"/>
    <n v="2024"/>
    <n v="0"/>
    <n v="0"/>
    <m/>
    <m/>
    <s v="Absent"/>
    <s v="Morning"/>
    <s v="Office"/>
    <n v="0"/>
  </r>
  <r>
    <s v="E1013"/>
    <s v="Employee_13"/>
    <x v="2"/>
    <d v="2024-03-05T00:00:00"/>
    <x v="0"/>
    <n v="2024"/>
    <n v="1"/>
    <n v="0"/>
    <d v="1899-12-30T09:35:00"/>
    <d v="1899-12-30T19:38:00"/>
    <s v="Present"/>
    <s v="Morning"/>
    <s v="Remote"/>
    <n v="0"/>
  </r>
  <r>
    <s v="E1044"/>
    <s v="Employee_44"/>
    <x v="0"/>
    <d v="2024-03-30T00:00:00"/>
    <x v="0"/>
    <n v="2024"/>
    <n v="0"/>
    <n v="0"/>
    <m/>
    <m/>
    <s v="Absent"/>
    <s v="Evening"/>
    <s v="Office"/>
    <n v="0"/>
  </r>
  <r>
    <s v="E1058"/>
    <s v="Employee_58"/>
    <x v="3"/>
    <d v="2024-01-25T00:00:00"/>
    <x v="2"/>
    <n v="2024"/>
    <n v="1"/>
    <n v="0"/>
    <d v="1899-12-30T10:40:00"/>
    <d v="1899-12-30T16:56:00"/>
    <s v="Work From Home"/>
    <s v="Evening"/>
    <s v="Office"/>
    <n v="0"/>
  </r>
  <r>
    <s v="E1031"/>
    <s v="Employee_31"/>
    <x v="2"/>
    <d v="2024-07-02T00:00:00"/>
    <x v="4"/>
    <n v="2024"/>
    <n v="1"/>
    <n v="0"/>
    <d v="1899-12-30T09:48:00"/>
    <d v="1899-12-30T20:05:00"/>
    <s v="Work From Home"/>
    <s v="Evening"/>
    <s v="Remote"/>
    <n v="0"/>
  </r>
  <r>
    <s v="E1041"/>
    <s v="Employee_41"/>
    <x v="2"/>
    <d v="2024-03-29T00:00:00"/>
    <x v="0"/>
    <n v="2024"/>
    <n v="1"/>
    <n v="1"/>
    <d v="1899-12-30T10:38:00"/>
    <d v="1899-12-30T19:03:00"/>
    <s v="Late"/>
    <s v="Evening"/>
    <s v="Office"/>
    <n v="0"/>
  </r>
  <r>
    <s v="E1054"/>
    <s v="Employee_54"/>
    <x v="2"/>
    <d v="2024-02-19T00:00:00"/>
    <x v="5"/>
    <n v="2024"/>
    <n v="1"/>
    <n v="0"/>
    <d v="1899-12-30T10:51:00"/>
    <d v="1899-12-30T16:22:00"/>
    <s v="Present"/>
    <s v="Evening"/>
    <s v="Office"/>
    <n v="0"/>
  </r>
  <r>
    <s v="E1033"/>
    <s v="Employee_33"/>
    <x v="4"/>
    <d v="2024-02-16T00:00:00"/>
    <x v="5"/>
    <n v="2024"/>
    <n v="1"/>
    <n v="0"/>
    <d v="1899-12-30T08:58:00"/>
    <d v="1899-12-30T18:17:00"/>
    <s v="Present"/>
    <s v="Morning"/>
    <s v="Remote"/>
    <n v="0"/>
  </r>
  <r>
    <s v="E1026"/>
    <s v="Employee_26"/>
    <x v="0"/>
    <d v="2024-07-01T00:00:00"/>
    <x v="4"/>
    <n v="2024"/>
    <n v="0"/>
    <n v="0"/>
    <m/>
    <m/>
    <s v="Absent"/>
    <s v="Morning"/>
    <s v="Office"/>
    <n v="0"/>
  </r>
  <r>
    <s v="E1040"/>
    <s v="Employee_40"/>
    <x v="3"/>
    <d v="2024-02-23T00:00:00"/>
    <x v="5"/>
    <n v="2024"/>
    <n v="1"/>
    <n v="0"/>
    <d v="1899-12-30T10:47:00"/>
    <d v="1899-12-30T17:11:00"/>
    <s v="Work From Home"/>
    <s v="Evening"/>
    <s v="Office"/>
    <n v="0"/>
  </r>
  <r>
    <s v="E1017"/>
    <s v="Employee_17"/>
    <x v="3"/>
    <d v="2024-03-24T00:00:00"/>
    <x v="0"/>
    <n v="2024"/>
    <n v="1"/>
    <n v="1"/>
    <d v="1899-12-30T10:10:00"/>
    <d v="1899-12-30T18:04:00"/>
    <s v="Late"/>
    <s v="Evening"/>
    <s v="Remote"/>
    <n v="0"/>
  </r>
  <r>
    <s v="E1041"/>
    <s v="Employee_41"/>
    <x v="0"/>
    <d v="2024-02-02T00:00:00"/>
    <x v="5"/>
    <n v="2024"/>
    <n v="1"/>
    <n v="0"/>
    <d v="1899-12-30T09:57:00"/>
    <d v="1899-12-30T16:46:00"/>
    <s v="Work From Home"/>
    <s v="Evening"/>
    <s v="Remote"/>
    <n v="0"/>
  </r>
  <r>
    <s v="E1030"/>
    <s v="Employee_30"/>
    <x v="1"/>
    <d v="2024-02-01T00:00:00"/>
    <x v="5"/>
    <n v="2024"/>
    <n v="1"/>
    <n v="0"/>
    <d v="1899-12-30T08:53:00"/>
    <d v="1899-12-30T19:18:00"/>
    <s v="Work From Home"/>
    <s v="Morning"/>
    <s v="Office"/>
    <n v="0"/>
  </r>
  <r>
    <s v="E1053"/>
    <s v="Employee_53"/>
    <x v="3"/>
    <d v="2024-01-15T00:00:00"/>
    <x v="2"/>
    <n v="2024"/>
    <n v="1"/>
    <n v="0"/>
    <d v="1899-12-30T09:24:00"/>
    <d v="1899-12-30T17:26:00"/>
    <s v="Present"/>
    <s v="Morning"/>
    <s v="Remote"/>
    <n v="0"/>
  </r>
  <r>
    <s v="E1024"/>
    <s v="Employee_24"/>
    <x v="1"/>
    <d v="2024-01-24T00:00:00"/>
    <x v="2"/>
    <n v="2024"/>
    <n v="0"/>
    <n v="0"/>
    <m/>
    <m/>
    <s v="Absent"/>
    <s v="Morning"/>
    <s v="Remote"/>
    <n v="0"/>
  </r>
  <r>
    <s v="E1059"/>
    <s v="Employee_59"/>
    <x v="2"/>
    <d v="2024-11-03T00:00:00"/>
    <x v="1"/>
    <n v="2024"/>
    <n v="0"/>
    <n v="0"/>
    <m/>
    <m/>
    <s v="Absent"/>
    <s v="Evening"/>
    <s v="Office"/>
    <n v="0"/>
  </r>
  <r>
    <s v="E1039"/>
    <s v="Employee_39"/>
    <x v="0"/>
    <d v="2024-03-19T00:00:00"/>
    <x v="0"/>
    <n v="2024"/>
    <n v="1"/>
    <n v="0"/>
    <d v="1899-12-30T09:30:00"/>
    <d v="1899-12-30T16:29:00"/>
    <s v="Work From Home"/>
    <s v="Morning"/>
    <s v="Remote"/>
    <n v="0"/>
  </r>
  <r>
    <s v="E1037"/>
    <s v="Employee_37"/>
    <x v="0"/>
    <d v="2024-01-28T00:00:00"/>
    <x v="2"/>
    <n v="2024"/>
    <n v="1"/>
    <n v="1"/>
    <d v="1899-12-30T08:09:00"/>
    <d v="1899-12-30T18:39:00"/>
    <s v="Late"/>
    <s v="Morning"/>
    <s v="Remote"/>
    <n v="0"/>
  </r>
  <r>
    <s v="E1021"/>
    <s v="Employee_21"/>
    <x v="2"/>
    <d v="2024-03-17T00:00:00"/>
    <x v="0"/>
    <n v="2024"/>
    <n v="1"/>
    <n v="0"/>
    <d v="1899-12-30T09:12:00"/>
    <d v="1899-12-30T17:32:00"/>
    <s v="Present"/>
    <s v="Evening"/>
    <s v="Remote"/>
    <n v="0"/>
  </r>
  <r>
    <s v="E1032"/>
    <s v="Employee_32"/>
    <x v="0"/>
    <d v="2024-03-26T00:00:00"/>
    <x v="0"/>
    <n v="2024"/>
    <n v="1"/>
    <n v="0"/>
    <d v="1899-12-30T08:09:00"/>
    <d v="1899-12-30T20:13:00"/>
    <s v="Work From Home"/>
    <s v="Morning"/>
    <s v="Office"/>
    <n v="0"/>
  </r>
  <r>
    <s v="E1058"/>
    <s v="Employee_58"/>
    <x v="4"/>
    <d v="2024-03-26T00:00:00"/>
    <x v="0"/>
    <n v="2024"/>
    <n v="1"/>
    <n v="0"/>
    <d v="1899-12-30T11:23:00"/>
    <d v="1899-12-30T17:56:00"/>
    <s v="Work From Home"/>
    <s v="Evening"/>
    <s v="Remote"/>
    <n v="0"/>
  </r>
  <r>
    <s v="E1053"/>
    <s v="Employee_53"/>
    <x v="3"/>
    <d v="2024-01-16T00:00:00"/>
    <x v="2"/>
    <n v="2024"/>
    <n v="1"/>
    <n v="0"/>
    <d v="1899-12-30T09:13:00"/>
    <d v="1899-12-30T19:10:00"/>
    <s v="Work From Home"/>
    <s v="Morning"/>
    <s v="Office"/>
    <n v="0"/>
  </r>
  <r>
    <s v="E1047"/>
    <s v="Employee_47"/>
    <x v="0"/>
    <d v="2024-03-26T00:00:00"/>
    <x v="0"/>
    <n v="2024"/>
    <n v="1"/>
    <n v="0"/>
    <d v="1899-12-30T09:30:00"/>
    <d v="1899-12-30T19:59:00"/>
    <s v="Work From Home"/>
    <s v="Morning"/>
    <s v="Remote"/>
    <n v="0"/>
  </r>
  <r>
    <s v="E1026"/>
    <s v="Employee_26"/>
    <x v="2"/>
    <d v="2024-05-03T00:00:00"/>
    <x v="6"/>
    <n v="2024"/>
    <n v="1"/>
    <n v="1"/>
    <d v="1899-12-30T09:40:00"/>
    <d v="1899-12-30T16:25:00"/>
    <s v="Late"/>
    <s v="Evening"/>
    <s v="Office"/>
    <n v="0"/>
  </r>
  <r>
    <s v="E1003"/>
    <s v="Employee_3"/>
    <x v="0"/>
    <d v="2024-01-18T00:00:00"/>
    <x v="2"/>
    <n v="2024"/>
    <n v="1"/>
    <n v="0"/>
    <d v="1899-12-30T08:54:00"/>
    <d v="1899-12-30T16:27:00"/>
    <s v="Present"/>
    <s v="Morning"/>
    <s v="Remote"/>
    <n v="0"/>
  </r>
  <r>
    <s v="E1037"/>
    <s v="Employee_37"/>
    <x v="0"/>
    <d v="2024-03-30T00:00:00"/>
    <x v="0"/>
    <n v="2024"/>
    <n v="1"/>
    <n v="1"/>
    <d v="1899-12-30T08:16:00"/>
    <d v="1899-12-30T19:16:00"/>
    <s v="Late"/>
    <s v="Evening"/>
    <s v="Remote"/>
    <n v="0"/>
  </r>
  <r>
    <s v="E1059"/>
    <s v="Employee_59"/>
    <x v="1"/>
    <d v="2024-03-25T00:00:00"/>
    <x v="0"/>
    <n v="2024"/>
    <n v="1"/>
    <n v="0"/>
    <d v="1899-12-30T10:17:00"/>
    <d v="1899-12-30T19:37:00"/>
    <s v="Work From Home"/>
    <s v="Evening"/>
    <s v="Office"/>
    <n v="0"/>
  </r>
  <r>
    <s v="E1021"/>
    <s v="Employee_21"/>
    <x v="2"/>
    <d v="2024-01-03T00:00:00"/>
    <x v="2"/>
    <n v="2024"/>
    <n v="1"/>
    <n v="0"/>
    <d v="1899-12-30T11:33:00"/>
    <d v="1899-12-30T16:48:00"/>
    <s v="Present"/>
    <s v="Morning"/>
    <s v="Office"/>
    <n v="0"/>
  </r>
  <r>
    <s v="E1055"/>
    <s v="Employee_55"/>
    <x v="2"/>
    <d v="2024-02-27T00:00:00"/>
    <x v="5"/>
    <n v="2024"/>
    <n v="1"/>
    <n v="0"/>
    <d v="1899-12-30T08:01:00"/>
    <d v="1899-12-30T18:26:00"/>
    <s v="Work From Home"/>
    <s v="Evening"/>
    <s v="Remote"/>
    <n v="0"/>
  </r>
  <r>
    <s v="E1015"/>
    <s v="Employee_15"/>
    <x v="3"/>
    <d v="2024-03-06T00:00:00"/>
    <x v="0"/>
    <n v="2024"/>
    <n v="1"/>
    <n v="0"/>
    <d v="1899-12-30T11:09:00"/>
    <d v="1899-12-30T20:29:00"/>
    <s v="Present"/>
    <s v="Morning"/>
    <s v="Remote"/>
    <n v="0"/>
  </r>
  <r>
    <s v="E1020"/>
    <s v="Employee_20"/>
    <x v="3"/>
    <d v="2024-12-01T00:00:00"/>
    <x v="8"/>
    <n v="2024"/>
    <n v="0"/>
    <n v="0"/>
    <m/>
    <m/>
    <s v="Absent"/>
    <s v="Morning"/>
    <s v="Office"/>
    <n v="0"/>
  </r>
  <r>
    <s v="E1009"/>
    <s v="Employee_9"/>
    <x v="4"/>
    <d v="2024-03-15T00:00:00"/>
    <x v="0"/>
    <n v="2024"/>
    <n v="1"/>
    <n v="0"/>
    <d v="1899-12-30T08:47:00"/>
    <d v="1899-12-30T20:29:00"/>
    <s v="Work From Home"/>
    <s v="Morning"/>
    <s v="Remote"/>
    <n v="0"/>
  </r>
  <r>
    <s v="E1039"/>
    <s v="Employee_39"/>
    <x v="1"/>
    <d v="2024-01-26T00:00:00"/>
    <x v="2"/>
    <n v="2024"/>
    <n v="1"/>
    <n v="0"/>
    <d v="1899-12-30T10:14:00"/>
    <d v="1899-12-30T18:05:00"/>
    <s v="Work From Home"/>
    <s v="Morning"/>
    <s v="Remote"/>
    <n v="0"/>
  </r>
  <r>
    <s v="E1002"/>
    <s v="Employee_2"/>
    <x v="0"/>
    <d v="2024-02-14T00:00:00"/>
    <x v="5"/>
    <n v="2024"/>
    <n v="1"/>
    <n v="0"/>
    <d v="1899-12-30T08:18:00"/>
    <d v="1899-12-30T20:55:00"/>
    <s v="Present"/>
    <s v="Evening"/>
    <s v="Remote"/>
    <n v="0"/>
  </r>
  <r>
    <s v="E1019"/>
    <s v="Employee_19"/>
    <x v="4"/>
    <d v="2024-03-28T00:00:00"/>
    <x v="0"/>
    <n v="2024"/>
    <n v="1"/>
    <n v="1"/>
    <d v="1899-12-30T10:18:00"/>
    <d v="1899-12-30T19:47:00"/>
    <s v="Late"/>
    <s v="Evening"/>
    <s v="Remote"/>
    <n v="0"/>
  </r>
  <r>
    <s v="E1055"/>
    <s v="Employee_55"/>
    <x v="3"/>
    <d v="2024-01-11T00:00:00"/>
    <x v="2"/>
    <n v="2024"/>
    <n v="0"/>
    <n v="0"/>
    <m/>
    <m/>
    <s v="Absent"/>
    <s v="Evening"/>
    <s v="Remote"/>
    <n v="0"/>
  </r>
  <r>
    <s v="E1042"/>
    <s v="Employee_42"/>
    <x v="1"/>
    <d v="2024-01-31T00:00:00"/>
    <x v="2"/>
    <n v="2024"/>
    <n v="1"/>
    <n v="1"/>
    <d v="1899-12-30T09:44:00"/>
    <d v="1899-12-30T18:24:00"/>
    <s v="Late"/>
    <s v="Evening"/>
    <s v="Remote"/>
    <n v="0"/>
  </r>
  <r>
    <s v="E1058"/>
    <s v="Employee_58"/>
    <x v="1"/>
    <d v="2024-05-01T00:00:00"/>
    <x v="6"/>
    <n v="2024"/>
    <n v="0"/>
    <n v="0"/>
    <m/>
    <m/>
    <s v="Absent"/>
    <s v="Evening"/>
    <s v="Office"/>
    <n v="0"/>
  </r>
  <r>
    <s v="E1033"/>
    <s v="Employee_33"/>
    <x v="0"/>
    <d v="2024-01-18T00:00:00"/>
    <x v="2"/>
    <n v="2024"/>
    <n v="0"/>
    <n v="0"/>
    <m/>
    <m/>
    <s v="Absent"/>
    <s v="Morning"/>
    <s v="Office"/>
    <n v="0"/>
  </r>
  <r>
    <s v="E1056"/>
    <s v="Employee_56"/>
    <x v="4"/>
    <d v="2024-12-02T00:00:00"/>
    <x v="8"/>
    <n v="2024"/>
    <n v="1"/>
    <n v="0"/>
    <d v="1899-12-30T11:44:00"/>
    <d v="1899-12-30T16:52:00"/>
    <s v="Work From Home"/>
    <s v="Evening"/>
    <s v="Office"/>
    <n v="0"/>
  </r>
  <r>
    <s v="E1009"/>
    <s v="Employee_9"/>
    <x v="2"/>
    <d v="2024-07-02T00:00:00"/>
    <x v="4"/>
    <n v="2024"/>
    <n v="1"/>
    <n v="0"/>
    <d v="1899-12-30T09:50:00"/>
    <d v="1899-12-30T17:48:00"/>
    <s v="Work From Home"/>
    <s v="Morning"/>
    <s v="Office"/>
    <n v="0"/>
  </r>
  <r>
    <s v="E1013"/>
    <s v="Employee_13"/>
    <x v="0"/>
    <d v="2024-11-02T00:00:00"/>
    <x v="1"/>
    <n v="2024"/>
    <n v="1"/>
    <n v="0"/>
    <d v="1899-12-30T10:13:00"/>
    <d v="1899-12-30T16:40:00"/>
    <s v="Present"/>
    <s v="Evening"/>
    <s v="Remote"/>
    <n v="0"/>
  </r>
  <r>
    <s v="E1014"/>
    <s v="Employee_14"/>
    <x v="2"/>
    <d v="2024-03-17T00:00:00"/>
    <x v="0"/>
    <n v="2024"/>
    <n v="0"/>
    <n v="0"/>
    <m/>
    <m/>
    <s v="Absent"/>
    <s v="Morning"/>
    <s v="Remote"/>
    <n v="0"/>
  </r>
  <r>
    <s v="E1058"/>
    <s v="Employee_58"/>
    <x v="3"/>
    <d v="2024-02-14T00:00:00"/>
    <x v="5"/>
    <n v="2024"/>
    <n v="0"/>
    <n v="0"/>
    <m/>
    <m/>
    <s v="Absent"/>
    <s v="Morning"/>
    <s v="Office"/>
    <n v="0"/>
  </r>
  <r>
    <s v="E1059"/>
    <s v="Employee_59"/>
    <x v="1"/>
    <d v="2024-03-23T00:00:00"/>
    <x v="0"/>
    <n v="2024"/>
    <n v="0"/>
    <n v="0"/>
    <m/>
    <m/>
    <s v="Absent"/>
    <s v="Morning"/>
    <s v="Office"/>
    <n v="0"/>
  </r>
  <r>
    <s v="E1051"/>
    <s v="Employee_51"/>
    <x v="0"/>
    <d v="2024-02-25T00:00:00"/>
    <x v="5"/>
    <n v="2024"/>
    <n v="1"/>
    <n v="1"/>
    <d v="1899-12-30T11:10:00"/>
    <d v="1899-12-30T17:57:00"/>
    <s v="Late"/>
    <s v="Evening"/>
    <s v="Remote"/>
    <n v="0"/>
  </r>
  <r>
    <s v="E1058"/>
    <s v="Employee_58"/>
    <x v="0"/>
    <d v="2024-01-24T00:00:00"/>
    <x v="2"/>
    <n v="2024"/>
    <n v="1"/>
    <n v="1"/>
    <d v="1899-12-30T11:26:00"/>
    <d v="1899-12-30T20:05:00"/>
    <s v="Late"/>
    <s v="Evening"/>
    <s v="Office"/>
    <n v="0"/>
  </r>
  <r>
    <s v="E1020"/>
    <s v="Employee_20"/>
    <x v="2"/>
    <d v="2024-08-02T00:00:00"/>
    <x v="9"/>
    <n v="2024"/>
    <n v="1"/>
    <n v="0"/>
    <d v="1899-12-30T11:39:00"/>
    <d v="1899-12-30T17:14:00"/>
    <s v="Present"/>
    <s v="Morning"/>
    <s v="Remote"/>
    <n v="0"/>
  </r>
  <r>
    <s v="E1038"/>
    <s v="Employee_38"/>
    <x v="1"/>
    <d v="2024-03-16T00:00:00"/>
    <x v="0"/>
    <n v="2024"/>
    <n v="1"/>
    <n v="0"/>
    <d v="1899-12-30T08:17:00"/>
    <d v="1899-12-30T17:57:00"/>
    <s v="Present"/>
    <s v="Morning"/>
    <s v="Remote"/>
    <n v="0"/>
  </r>
  <r>
    <s v="E1014"/>
    <s v="Employee_14"/>
    <x v="3"/>
    <d v="2024-01-23T00:00:00"/>
    <x v="2"/>
    <n v="2024"/>
    <n v="1"/>
    <n v="1"/>
    <d v="1899-12-30T09:23:00"/>
    <d v="1899-12-30T20:39:00"/>
    <s v="Late"/>
    <s v="Evening"/>
    <s v="Remote"/>
    <n v="0"/>
  </r>
  <r>
    <s v="E1013"/>
    <s v="Employee_13"/>
    <x v="2"/>
    <d v="2024-03-21T00:00:00"/>
    <x v="0"/>
    <n v="2024"/>
    <n v="0"/>
    <n v="0"/>
    <m/>
    <m/>
    <s v="Absent"/>
    <s v="Evening"/>
    <s v="Office"/>
    <n v="0"/>
  </r>
  <r>
    <s v="E1050"/>
    <s v="Employee_50"/>
    <x v="3"/>
    <d v="2024-10-02T00:00:00"/>
    <x v="7"/>
    <n v="2024"/>
    <n v="0"/>
    <n v="0"/>
    <m/>
    <m/>
    <s v="Absent"/>
    <s v="Morning"/>
    <s v="Remote"/>
    <n v="0"/>
  </r>
  <r>
    <s v="E1056"/>
    <s v="Employee_56"/>
    <x v="1"/>
    <d v="2024-01-25T00:00:00"/>
    <x v="2"/>
    <n v="2024"/>
    <n v="1"/>
    <n v="0"/>
    <d v="1899-12-30T08:51:00"/>
    <d v="1899-12-30T19:36:00"/>
    <s v="Work From Home"/>
    <s v="Evening"/>
    <s v="Office"/>
    <n v="0"/>
  </r>
  <r>
    <s v="E1013"/>
    <s v="Employee_13"/>
    <x v="0"/>
    <d v="2024-03-17T00:00:00"/>
    <x v="0"/>
    <n v="2024"/>
    <n v="1"/>
    <n v="0"/>
    <d v="1899-12-30T11:00:00"/>
    <d v="1899-12-30T17:38:00"/>
    <s v="Present"/>
    <s v="Evening"/>
    <s v="Remote"/>
    <n v="0"/>
  </r>
  <r>
    <s v="E1007"/>
    <s v="Employee_7"/>
    <x v="0"/>
    <d v="2024-09-01T00:00:00"/>
    <x v="3"/>
    <n v="2024"/>
    <n v="1"/>
    <n v="0"/>
    <d v="1899-12-30T08:58:00"/>
    <d v="1899-12-30T19:19:00"/>
    <s v="Present"/>
    <s v="Morning"/>
    <s v="Remote"/>
    <n v="0"/>
  </r>
  <r>
    <s v="E1046"/>
    <s v="Employee_46"/>
    <x v="0"/>
    <d v="2024-03-14T00:00:00"/>
    <x v="0"/>
    <n v="2024"/>
    <n v="1"/>
    <n v="1"/>
    <d v="1899-12-30T11:38:00"/>
    <d v="1899-12-30T17:47:00"/>
    <s v="Late"/>
    <s v="Morning"/>
    <s v="Remote"/>
    <n v="0"/>
  </r>
  <r>
    <s v="E1012"/>
    <s v="Employee_12"/>
    <x v="1"/>
    <d v="2024-03-30T00:00:00"/>
    <x v="0"/>
    <n v="2024"/>
    <n v="1"/>
    <n v="0"/>
    <d v="1899-12-30T09:46:00"/>
    <d v="1899-12-30T17:04:00"/>
    <s v="Work From Home"/>
    <s v="Evening"/>
    <s v="Remote"/>
    <n v="0"/>
  </r>
  <r>
    <s v="E1002"/>
    <s v="Employee_2"/>
    <x v="1"/>
    <d v="2024-02-18T00:00:00"/>
    <x v="5"/>
    <n v="2024"/>
    <n v="1"/>
    <n v="0"/>
    <d v="1899-12-30T09:29:00"/>
    <d v="1899-12-30T16:49:00"/>
    <s v="Work From Home"/>
    <s v="Evening"/>
    <s v="Remote"/>
    <n v="0"/>
  </r>
  <r>
    <s v="E1044"/>
    <s v="Employee_44"/>
    <x v="3"/>
    <d v="2024-01-01T00:00:00"/>
    <x v="2"/>
    <n v="2024"/>
    <n v="1"/>
    <n v="1"/>
    <d v="1899-12-30T08:53:00"/>
    <d v="1899-12-30T17:04:00"/>
    <s v="Late"/>
    <s v="Morning"/>
    <s v="Remote"/>
    <n v="0"/>
  </r>
  <r>
    <s v="E1039"/>
    <s v="Employee_39"/>
    <x v="3"/>
    <d v="2024-11-03T00:00:00"/>
    <x v="1"/>
    <n v="2024"/>
    <n v="1"/>
    <n v="0"/>
    <d v="1899-12-30T08:23:00"/>
    <d v="1899-12-30T16:46:00"/>
    <s v="Work From Home"/>
    <s v="Morning"/>
    <s v="Office"/>
    <n v="0"/>
  </r>
  <r>
    <s v="E1035"/>
    <s v="Employee_35"/>
    <x v="3"/>
    <d v="2024-03-28T00:00:00"/>
    <x v="0"/>
    <n v="2024"/>
    <n v="0"/>
    <n v="0"/>
    <m/>
    <m/>
    <s v="Absent"/>
    <s v="Evening"/>
    <s v="Remote"/>
    <n v="0"/>
  </r>
  <r>
    <s v="E1034"/>
    <s v="Employee_34"/>
    <x v="3"/>
    <d v="2024-02-17T00:00:00"/>
    <x v="5"/>
    <n v="2024"/>
    <n v="0"/>
    <n v="0"/>
    <m/>
    <m/>
    <s v="Absent"/>
    <s v="Morning"/>
    <s v="Remote"/>
    <n v="0"/>
  </r>
  <r>
    <s v="E1008"/>
    <s v="Employee_8"/>
    <x v="2"/>
    <d v="2024-01-27T00:00:00"/>
    <x v="2"/>
    <n v="2024"/>
    <n v="1"/>
    <n v="1"/>
    <d v="1899-12-30T11:01:00"/>
    <d v="1899-12-30T17:24:00"/>
    <s v="Late"/>
    <s v="Morning"/>
    <s v="Office"/>
    <n v="0"/>
  </r>
  <r>
    <s v="E1029"/>
    <s v="Employee_29"/>
    <x v="3"/>
    <d v="2024-01-06T00:00:00"/>
    <x v="2"/>
    <n v="2024"/>
    <n v="1"/>
    <n v="0"/>
    <d v="1899-12-30T10:36:00"/>
    <d v="1899-12-30T16:10:00"/>
    <s v="Work From Home"/>
    <s v="Evening"/>
    <s v="Remote"/>
    <n v="0"/>
  </r>
  <r>
    <s v="E1025"/>
    <s v="Employee_25"/>
    <x v="3"/>
    <d v="2024-03-20T00:00:00"/>
    <x v="0"/>
    <n v="2024"/>
    <n v="1"/>
    <n v="0"/>
    <d v="1899-12-30T08:48:00"/>
    <d v="1899-12-30T16:20:00"/>
    <s v="Work From Home"/>
    <s v="Morning"/>
    <s v="Office"/>
    <n v="0"/>
  </r>
  <r>
    <s v="E1046"/>
    <s v="Employee_46"/>
    <x v="2"/>
    <d v="2024-02-24T00:00:00"/>
    <x v="5"/>
    <n v="2024"/>
    <n v="1"/>
    <n v="0"/>
    <d v="1899-12-30T10:48:00"/>
    <d v="1899-12-30T18:54:00"/>
    <s v="Work From Home"/>
    <s v="Evening"/>
    <s v="Office"/>
    <n v="0"/>
  </r>
  <r>
    <s v="E1012"/>
    <s v="Employee_12"/>
    <x v="0"/>
    <d v="2024-01-16T00:00:00"/>
    <x v="2"/>
    <n v="2024"/>
    <n v="1"/>
    <n v="0"/>
    <d v="1899-12-30T11:04:00"/>
    <d v="1899-12-30T19:30:00"/>
    <s v="Present"/>
    <s v="Morning"/>
    <s v="Remote"/>
    <n v="0"/>
  </r>
  <r>
    <s v="E1003"/>
    <s v="Employee_3"/>
    <x v="2"/>
    <d v="2024-09-02T00:00:00"/>
    <x v="3"/>
    <n v="2024"/>
    <n v="1"/>
    <n v="0"/>
    <d v="1899-12-30T08:00:00"/>
    <d v="1899-12-30T16:45:00"/>
    <s v="Work From Home"/>
    <s v="Morning"/>
    <s v="Remote"/>
    <n v="0"/>
  </r>
  <r>
    <s v="E1055"/>
    <s v="Employee_55"/>
    <x v="0"/>
    <d v="2024-03-22T00:00:00"/>
    <x v="0"/>
    <n v="2024"/>
    <n v="1"/>
    <n v="0"/>
    <d v="1899-12-30T09:47:00"/>
    <d v="1899-12-30T17:14:00"/>
    <s v="Work From Home"/>
    <s v="Evening"/>
    <s v="Office"/>
    <n v="0"/>
  </r>
  <r>
    <s v="E1046"/>
    <s v="Employee_46"/>
    <x v="4"/>
    <d v="2024-01-23T00:00:00"/>
    <x v="2"/>
    <n v="2024"/>
    <n v="1"/>
    <n v="1"/>
    <d v="1899-12-30T08:35:00"/>
    <d v="1899-12-30T18:11:00"/>
    <s v="Late"/>
    <s v="Evening"/>
    <s v="Remote"/>
    <n v="0"/>
  </r>
  <r>
    <s v="E1006"/>
    <s v="Employee_6"/>
    <x v="3"/>
    <d v="2024-03-29T00:00:00"/>
    <x v="0"/>
    <n v="2024"/>
    <n v="1"/>
    <n v="0"/>
    <d v="1899-12-30T11:39:00"/>
    <d v="1899-12-30T16:23:00"/>
    <s v="Present"/>
    <s v="Morning"/>
    <s v="Office"/>
    <n v="0"/>
  </r>
  <r>
    <s v="E1047"/>
    <s v="Employee_47"/>
    <x v="3"/>
    <d v="2024-03-03T00:00:00"/>
    <x v="0"/>
    <n v="2024"/>
    <n v="0"/>
    <n v="0"/>
    <m/>
    <m/>
    <s v="Absent"/>
    <s v="Morning"/>
    <s v="Remote"/>
    <n v="0"/>
  </r>
  <r>
    <s v="E1030"/>
    <s v="Employee_30"/>
    <x v="1"/>
    <d v="2024-03-14T00:00:00"/>
    <x v="0"/>
    <n v="2024"/>
    <n v="0"/>
    <n v="0"/>
    <m/>
    <m/>
    <s v="Absent"/>
    <s v="Morning"/>
    <s v="Office"/>
    <n v="0"/>
  </r>
  <r>
    <s v="E1024"/>
    <s v="Employee_24"/>
    <x v="4"/>
    <d v="2024-02-03T00:00:00"/>
    <x v="5"/>
    <n v="2024"/>
    <n v="1"/>
    <n v="0"/>
    <d v="1899-12-30T09:59:00"/>
    <d v="1899-12-30T18:45:00"/>
    <s v="Present"/>
    <s v="Morning"/>
    <s v="Remote"/>
    <n v="0"/>
  </r>
  <r>
    <s v="E1046"/>
    <s v="Employee_46"/>
    <x v="0"/>
    <d v="2024-03-12T00:00:00"/>
    <x v="0"/>
    <n v="2024"/>
    <n v="1"/>
    <n v="0"/>
    <d v="1899-12-30T09:05:00"/>
    <d v="1899-12-30T19:18:00"/>
    <s v="Present"/>
    <s v="Evening"/>
    <s v="Remote"/>
    <n v="0"/>
  </r>
  <r>
    <s v="E1000"/>
    <s v="Employee_0"/>
    <x v="3"/>
    <d v="2024-12-02T00:00:00"/>
    <x v="8"/>
    <n v="2024"/>
    <n v="1"/>
    <n v="0"/>
    <d v="1899-12-30T11:20:00"/>
    <d v="1899-12-30T17:01:00"/>
    <s v="Work From Home"/>
    <s v="Evening"/>
    <s v="Remote"/>
    <n v="0"/>
  </r>
  <r>
    <s v="E1040"/>
    <s v="Employee_40"/>
    <x v="0"/>
    <d v="2024-02-27T00:00:00"/>
    <x v="5"/>
    <n v="2024"/>
    <n v="1"/>
    <n v="1"/>
    <d v="1899-12-30T08:52:00"/>
    <d v="1899-12-30T18:45:00"/>
    <s v="Late"/>
    <s v="Evening"/>
    <s v="Office"/>
    <n v="0"/>
  </r>
  <r>
    <s v="E1035"/>
    <s v="Employee_35"/>
    <x v="1"/>
    <d v="2024-02-19T00:00:00"/>
    <x v="5"/>
    <n v="2024"/>
    <n v="1"/>
    <n v="0"/>
    <d v="1899-12-30T09:54:00"/>
    <d v="1899-12-30T20:37:00"/>
    <s v="Present"/>
    <s v="Morning"/>
    <s v="Remote"/>
    <n v="0"/>
  </r>
  <r>
    <s v="E1037"/>
    <s v="Employee_37"/>
    <x v="3"/>
    <d v="2024-03-15T00:00:00"/>
    <x v="0"/>
    <n v="2024"/>
    <n v="1"/>
    <n v="0"/>
    <d v="1899-12-30T10:52:00"/>
    <d v="1899-12-30T16:18:00"/>
    <s v="Work From Home"/>
    <s v="Evening"/>
    <s v="Remote"/>
    <n v="0"/>
  </r>
  <r>
    <s v="E1051"/>
    <s v="Employee_51"/>
    <x v="1"/>
    <d v="2024-03-06T00:00:00"/>
    <x v="0"/>
    <n v="2024"/>
    <n v="1"/>
    <n v="0"/>
    <d v="1899-12-30T11:56:00"/>
    <d v="1899-12-30T16:54:00"/>
    <s v="Present"/>
    <s v="Morning"/>
    <s v="Office"/>
    <n v="0"/>
  </r>
  <r>
    <s v="E1031"/>
    <s v="Employee_31"/>
    <x v="2"/>
    <d v="2024-02-01T00:00:00"/>
    <x v="5"/>
    <n v="2024"/>
    <n v="1"/>
    <n v="0"/>
    <d v="1899-12-30T09:52:00"/>
    <d v="1899-12-30T19:45:00"/>
    <s v="Work From Home"/>
    <s v="Evening"/>
    <s v="Office"/>
    <n v="0"/>
  </r>
  <r>
    <s v="E1023"/>
    <s v="Employee_23"/>
    <x v="3"/>
    <d v="2024-02-29T00:00:00"/>
    <x v="5"/>
    <n v="2024"/>
    <n v="1"/>
    <n v="0"/>
    <d v="1899-12-30T09:27:00"/>
    <d v="1899-12-30T16:02:00"/>
    <s v="Work From Home"/>
    <s v="Evening"/>
    <s v="Office"/>
    <n v="0"/>
  </r>
  <r>
    <s v="E1042"/>
    <s v="Employee_42"/>
    <x v="0"/>
    <d v="2024-11-01T00:00:00"/>
    <x v="1"/>
    <n v="2024"/>
    <n v="1"/>
    <n v="1"/>
    <d v="1899-12-30T09:20:00"/>
    <d v="1899-12-30T16:11:00"/>
    <s v="Late"/>
    <s v="Morning"/>
    <s v="Office"/>
    <n v="0"/>
  </r>
  <r>
    <s v="E1035"/>
    <s v="Employee_35"/>
    <x v="0"/>
    <d v="2024-02-23T00:00:00"/>
    <x v="5"/>
    <n v="2024"/>
    <n v="1"/>
    <n v="0"/>
    <d v="1899-12-30T09:30:00"/>
    <d v="1899-12-30T18:34:00"/>
    <s v="Present"/>
    <s v="Evening"/>
    <s v="Remote"/>
    <n v="0"/>
  </r>
  <r>
    <s v="E1028"/>
    <s v="Employee_28"/>
    <x v="4"/>
    <d v="2024-02-24T00:00:00"/>
    <x v="5"/>
    <n v="2024"/>
    <n v="1"/>
    <n v="0"/>
    <d v="1899-12-30T09:45:00"/>
    <d v="1899-12-30T18:53:00"/>
    <s v="Work From Home"/>
    <s v="Evening"/>
    <s v="Remote"/>
    <n v="0"/>
  </r>
  <r>
    <s v="E1011"/>
    <s v="Employee_11"/>
    <x v="2"/>
    <d v="2024-01-12T00:00:00"/>
    <x v="2"/>
    <n v="2024"/>
    <n v="0"/>
    <n v="0"/>
    <m/>
    <m/>
    <s v="Absent"/>
    <s v="Morning"/>
    <s v="Remote"/>
    <n v="0"/>
  </r>
  <r>
    <s v="E1009"/>
    <s v="Employee_9"/>
    <x v="4"/>
    <d v="2024-09-01T00:00:00"/>
    <x v="3"/>
    <n v="2024"/>
    <n v="1"/>
    <n v="0"/>
    <d v="1899-12-30T08:23:00"/>
    <d v="1899-12-30T20:48:00"/>
    <s v="Work From Home"/>
    <s v="Evening"/>
    <s v="Remote"/>
    <n v="0"/>
  </r>
  <r>
    <s v="E1023"/>
    <s v="Employee_23"/>
    <x v="3"/>
    <d v="2024-02-19T00:00:00"/>
    <x v="5"/>
    <n v="2024"/>
    <n v="0"/>
    <n v="0"/>
    <m/>
    <m/>
    <s v="Absent"/>
    <s v="Morning"/>
    <s v="Office"/>
    <n v="0"/>
  </r>
  <r>
    <s v="E1053"/>
    <s v="Employee_53"/>
    <x v="2"/>
    <d v="2024-01-27T00:00:00"/>
    <x v="2"/>
    <n v="2024"/>
    <n v="0"/>
    <n v="0"/>
    <m/>
    <m/>
    <s v="Absent"/>
    <s v="Morning"/>
    <s v="Remote"/>
    <n v="0"/>
  </r>
  <r>
    <s v="E1037"/>
    <s v="Employee_37"/>
    <x v="3"/>
    <d v="2024-03-04T00:00:00"/>
    <x v="0"/>
    <n v="2024"/>
    <n v="0"/>
    <n v="0"/>
    <m/>
    <m/>
    <s v="Absent"/>
    <s v="Evening"/>
    <s v="Remote"/>
    <n v="0"/>
  </r>
  <r>
    <s v="E1034"/>
    <s v="Employee_34"/>
    <x v="2"/>
    <d v="2024-07-03T00:00:00"/>
    <x v="4"/>
    <n v="2024"/>
    <n v="1"/>
    <n v="1"/>
    <d v="1899-12-30T08:40:00"/>
    <d v="1899-12-30T17:13:00"/>
    <s v="Late"/>
    <s v="Morning"/>
    <s v="Remote"/>
    <n v="0"/>
  </r>
  <r>
    <s v="E1022"/>
    <s v="Employee_22"/>
    <x v="1"/>
    <d v="2024-01-18T00:00:00"/>
    <x v="2"/>
    <n v="2024"/>
    <n v="1"/>
    <n v="0"/>
    <d v="1899-12-30T11:20:00"/>
    <d v="1899-12-30T20:40:00"/>
    <s v="Work From Home"/>
    <s v="Evening"/>
    <s v="Office"/>
    <n v="0"/>
  </r>
  <r>
    <s v="E1038"/>
    <s v="Employee_38"/>
    <x v="3"/>
    <d v="2024-02-14T00:00:00"/>
    <x v="5"/>
    <n v="2024"/>
    <n v="0"/>
    <n v="0"/>
    <m/>
    <m/>
    <s v="Absent"/>
    <s v="Morning"/>
    <s v="Remote"/>
    <n v="0"/>
  </r>
  <r>
    <s v="E1037"/>
    <s v="Employee_37"/>
    <x v="1"/>
    <d v="2024-03-20T00:00:00"/>
    <x v="0"/>
    <n v="2024"/>
    <n v="1"/>
    <n v="0"/>
    <d v="1899-12-30T09:38:00"/>
    <d v="1899-12-30T20:02:00"/>
    <s v="Work From Home"/>
    <s v="Morning"/>
    <s v="Office"/>
    <n v="0"/>
  </r>
  <r>
    <s v="E1022"/>
    <s v="Employee_22"/>
    <x v="3"/>
    <d v="2024-07-01T00:00:00"/>
    <x v="4"/>
    <n v="2024"/>
    <n v="1"/>
    <n v="1"/>
    <d v="1899-12-30T10:39:00"/>
    <d v="1899-12-30T20:58:00"/>
    <s v="Late"/>
    <s v="Morning"/>
    <s v="Remote"/>
    <n v="0"/>
  </r>
  <r>
    <s v="E1054"/>
    <s v="Employee_54"/>
    <x v="3"/>
    <d v="2024-07-01T00:00:00"/>
    <x v="4"/>
    <n v="2024"/>
    <n v="1"/>
    <n v="1"/>
    <d v="1899-12-30T08:45:00"/>
    <d v="1899-12-30T20:48:00"/>
    <s v="Late"/>
    <s v="Morning"/>
    <s v="Remote"/>
    <n v="0"/>
  </r>
  <r>
    <s v="E1001"/>
    <s v="Employee_1"/>
    <x v="2"/>
    <d v="2024-01-05T00:00:00"/>
    <x v="2"/>
    <n v="2024"/>
    <n v="1"/>
    <n v="0"/>
    <d v="1899-12-30T09:48:00"/>
    <d v="1899-12-30T19:10:00"/>
    <s v="Present"/>
    <s v="Evening"/>
    <s v="Remote"/>
    <n v="0"/>
  </r>
  <r>
    <s v="E1033"/>
    <s v="Employee_33"/>
    <x v="3"/>
    <d v="2024-01-06T00:00:00"/>
    <x v="2"/>
    <n v="2024"/>
    <n v="1"/>
    <n v="1"/>
    <d v="1899-12-30T09:03:00"/>
    <d v="1899-12-30T20:40:00"/>
    <s v="Late"/>
    <s v="Evening"/>
    <s v="Remote"/>
    <n v="0"/>
  </r>
  <r>
    <s v="E1020"/>
    <s v="Employee_20"/>
    <x v="3"/>
    <d v="2024-03-21T00:00:00"/>
    <x v="0"/>
    <n v="2024"/>
    <n v="1"/>
    <n v="0"/>
    <d v="1899-12-30T08:46:00"/>
    <d v="1899-12-30T20:35:00"/>
    <s v="Present"/>
    <s v="Morning"/>
    <s v="Remote"/>
    <n v="0"/>
  </r>
  <r>
    <s v="E1030"/>
    <s v="Employee_30"/>
    <x v="1"/>
    <d v="2024-03-20T00:00:00"/>
    <x v="0"/>
    <n v="2024"/>
    <n v="0"/>
    <n v="0"/>
    <m/>
    <m/>
    <s v="Absent"/>
    <s v="Morning"/>
    <s v="Remote"/>
    <n v="0"/>
  </r>
  <r>
    <s v="E1015"/>
    <s v="Employee_15"/>
    <x v="1"/>
    <d v="2024-03-19T00:00:00"/>
    <x v="0"/>
    <n v="2024"/>
    <n v="0"/>
    <n v="0"/>
    <m/>
    <m/>
    <s v="Absent"/>
    <s v="Evening"/>
    <s v="Remote"/>
    <n v="0"/>
  </r>
  <r>
    <s v="E1025"/>
    <s v="Employee_25"/>
    <x v="0"/>
    <d v="2024-02-26T00:00:00"/>
    <x v="5"/>
    <n v="2024"/>
    <n v="1"/>
    <n v="0"/>
    <d v="1899-12-30T09:06:00"/>
    <d v="1899-12-30T17:49:00"/>
    <s v="Present"/>
    <s v="Morning"/>
    <s v="Remote"/>
    <n v="0"/>
  </r>
  <r>
    <s v="E1059"/>
    <s v="Employee_59"/>
    <x v="4"/>
    <d v="2024-10-01T00:00:00"/>
    <x v="7"/>
    <n v="2024"/>
    <n v="1"/>
    <n v="1"/>
    <d v="1899-12-30T08:17:00"/>
    <d v="1899-12-30T16:33:00"/>
    <s v="Late"/>
    <s v="Evening"/>
    <s v="Remote"/>
    <n v="0"/>
  </r>
  <r>
    <s v="E1012"/>
    <s v="Employee_12"/>
    <x v="2"/>
    <d v="2024-03-18T00:00:00"/>
    <x v="0"/>
    <n v="2024"/>
    <n v="0"/>
    <n v="0"/>
    <m/>
    <m/>
    <s v="Absent"/>
    <s v="Morning"/>
    <s v="Remote"/>
    <n v="0"/>
  </r>
  <r>
    <s v="E1023"/>
    <s v="Employee_23"/>
    <x v="1"/>
    <d v="2024-01-04T00:00:00"/>
    <x v="2"/>
    <n v="2024"/>
    <n v="1"/>
    <n v="0"/>
    <d v="1899-12-30T09:57:00"/>
    <d v="1899-12-30T18:30:00"/>
    <s v="Work From Home"/>
    <s v="Morning"/>
    <s v="Office"/>
    <n v="0"/>
  </r>
  <r>
    <s v="E1052"/>
    <s v="Employee_52"/>
    <x v="1"/>
    <d v="2024-03-25T00:00:00"/>
    <x v="0"/>
    <n v="2024"/>
    <n v="0"/>
    <n v="0"/>
    <m/>
    <m/>
    <s v="Absent"/>
    <s v="Morning"/>
    <s v="Office"/>
    <n v="0"/>
  </r>
  <r>
    <s v="E1021"/>
    <s v="Employee_21"/>
    <x v="1"/>
    <d v="2024-01-03T00:00:00"/>
    <x v="2"/>
    <n v="2024"/>
    <n v="0"/>
    <n v="0"/>
    <m/>
    <m/>
    <s v="Absent"/>
    <s v="Morning"/>
    <s v="Remote"/>
    <n v="0"/>
  </r>
  <r>
    <s v="E1024"/>
    <s v="Employee_24"/>
    <x v="1"/>
    <d v="2024-03-03T00:00:00"/>
    <x v="0"/>
    <n v="2024"/>
    <n v="1"/>
    <n v="0"/>
    <d v="1899-12-30T08:19:00"/>
    <d v="1899-12-30T19:03:00"/>
    <s v="Work From Home"/>
    <s v="Morning"/>
    <s v="Office"/>
    <n v="0"/>
  </r>
  <r>
    <s v="E1007"/>
    <s v="Employee_7"/>
    <x v="2"/>
    <d v="2024-01-20T00:00:00"/>
    <x v="2"/>
    <n v="2024"/>
    <n v="0"/>
    <n v="0"/>
    <m/>
    <m/>
    <s v="Absent"/>
    <s v="Morning"/>
    <s v="Remote"/>
    <n v="0"/>
  </r>
  <r>
    <s v="E1017"/>
    <s v="Employee_17"/>
    <x v="3"/>
    <d v="2024-03-27T00:00:00"/>
    <x v="0"/>
    <n v="2024"/>
    <n v="1"/>
    <n v="0"/>
    <d v="1899-12-30T11:28:00"/>
    <d v="1899-12-30T20:31:00"/>
    <s v="Work From Home"/>
    <s v="Evening"/>
    <s v="Remote"/>
    <n v="0"/>
  </r>
  <r>
    <s v="E1054"/>
    <s v="Employee_54"/>
    <x v="1"/>
    <d v="2024-05-01T00:00:00"/>
    <x v="6"/>
    <n v="2024"/>
    <n v="1"/>
    <n v="0"/>
    <d v="1899-12-30T10:39:00"/>
    <d v="1899-12-30T18:14:00"/>
    <s v="Present"/>
    <s v="Evening"/>
    <s v="Remote"/>
    <n v="0"/>
  </r>
  <r>
    <s v="E1056"/>
    <s v="Employee_56"/>
    <x v="4"/>
    <d v="2024-03-11T00:00:00"/>
    <x v="0"/>
    <n v="2024"/>
    <n v="1"/>
    <n v="0"/>
    <d v="1899-12-30T10:25:00"/>
    <d v="1899-12-30T19:10:00"/>
    <s v="Present"/>
    <s v="Evening"/>
    <s v="Office"/>
    <n v="0"/>
  </r>
  <r>
    <s v="E1020"/>
    <s v="Employee_20"/>
    <x v="4"/>
    <d v="2024-01-13T00:00:00"/>
    <x v="2"/>
    <n v="2024"/>
    <n v="0"/>
    <n v="0"/>
    <m/>
    <m/>
    <s v="Absent"/>
    <s v="Evening"/>
    <s v="Office"/>
    <n v="0"/>
  </r>
  <r>
    <s v="E1036"/>
    <s v="Employee_36"/>
    <x v="3"/>
    <d v="2024-01-21T00:00:00"/>
    <x v="2"/>
    <n v="2024"/>
    <n v="0"/>
    <n v="0"/>
    <m/>
    <m/>
    <s v="Absent"/>
    <s v="Evening"/>
    <s v="Remote"/>
    <n v="0"/>
  </r>
  <r>
    <s v="E1007"/>
    <s v="Employee_7"/>
    <x v="2"/>
    <d v="2024-03-02T00:00:00"/>
    <x v="0"/>
    <n v="2024"/>
    <n v="1"/>
    <n v="0"/>
    <d v="1899-12-30T11:21:00"/>
    <d v="1899-12-30T16:25:00"/>
    <s v="Present"/>
    <s v="Evening"/>
    <s v="Office"/>
    <n v="0"/>
  </r>
  <r>
    <s v="E1030"/>
    <s v="Employee_30"/>
    <x v="4"/>
    <d v="2024-01-22T00:00:00"/>
    <x v="2"/>
    <n v="2024"/>
    <n v="1"/>
    <n v="0"/>
    <d v="1899-12-30T11:47:00"/>
    <d v="1899-12-30T18:36:00"/>
    <s v="Present"/>
    <s v="Evening"/>
    <s v="Remote"/>
    <n v="0"/>
  </r>
  <r>
    <s v="E1026"/>
    <s v="Employee_26"/>
    <x v="3"/>
    <d v="2024-03-27T00:00:00"/>
    <x v="0"/>
    <n v="2024"/>
    <n v="0"/>
    <n v="0"/>
    <m/>
    <m/>
    <s v="Absent"/>
    <s v="Morning"/>
    <s v="Remote"/>
    <n v="0"/>
  </r>
  <r>
    <s v="E1058"/>
    <s v="Employee_58"/>
    <x v="2"/>
    <d v="2024-01-22T00:00:00"/>
    <x v="2"/>
    <n v="2024"/>
    <n v="1"/>
    <n v="0"/>
    <d v="1899-12-30T10:52:00"/>
    <d v="1899-12-30T17:40:00"/>
    <s v="Work From Home"/>
    <s v="Evening"/>
    <s v="Office"/>
    <n v="0"/>
  </r>
  <r>
    <s v="E1022"/>
    <s v="Employee_22"/>
    <x v="2"/>
    <d v="2024-01-02T00:00:00"/>
    <x v="2"/>
    <n v="2024"/>
    <n v="1"/>
    <n v="1"/>
    <d v="1899-12-30T09:53:00"/>
    <d v="1899-12-30T18:38:00"/>
    <s v="Late"/>
    <s v="Morning"/>
    <s v="Remote"/>
    <n v="0"/>
  </r>
  <r>
    <s v="E1030"/>
    <s v="Employee_30"/>
    <x v="1"/>
    <d v="2024-02-05T00:00:00"/>
    <x v="5"/>
    <n v="2024"/>
    <n v="1"/>
    <n v="0"/>
    <d v="1899-12-30T10:12:00"/>
    <d v="1899-12-30T17:29:00"/>
    <s v="Work From Home"/>
    <s v="Morning"/>
    <s v="Remote"/>
    <n v="0"/>
  </r>
  <r>
    <s v="E1004"/>
    <s v="Employee_4"/>
    <x v="4"/>
    <d v="2024-01-01T00:00:00"/>
    <x v="2"/>
    <n v="2024"/>
    <n v="0"/>
    <n v="0"/>
    <m/>
    <m/>
    <s v="Absent"/>
    <s v="Evening"/>
    <s v="Office"/>
    <n v="0"/>
  </r>
  <r>
    <s v="E1004"/>
    <s v="Employee_4"/>
    <x v="3"/>
    <d v="2024-01-11T00:00:00"/>
    <x v="2"/>
    <n v="2024"/>
    <n v="1"/>
    <n v="0"/>
    <d v="1899-12-30T10:19:00"/>
    <d v="1899-12-30T17:23:00"/>
    <s v="Present"/>
    <s v="Evening"/>
    <s v="Remote"/>
    <n v="0"/>
  </r>
  <r>
    <s v="E1025"/>
    <s v="Employee_25"/>
    <x v="1"/>
    <d v="2024-01-30T00:00:00"/>
    <x v="2"/>
    <n v="2024"/>
    <n v="1"/>
    <n v="0"/>
    <d v="1899-12-30T10:45:00"/>
    <d v="1899-12-30T16:30:00"/>
    <s v="Present"/>
    <s v="Evening"/>
    <s v="Office"/>
    <n v="0"/>
  </r>
  <r>
    <s v="E1022"/>
    <s v="Employee_22"/>
    <x v="1"/>
    <d v="2024-03-27T00:00:00"/>
    <x v="0"/>
    <n v="2024"/>
    <n v="1"/>
    <n v="0"/>
    <d v="1899-12-30T09:12:00"/>
    <d v="1899-12-30T19:05:00"/>
    <s v="Present"/>
    <s v="Morning"/>
    <s v="Office"/>
    <n v="0"/>
  </r>
  <r>
    <s v="E1050"/>
    <s v="Employee_50"/>
    <x v="2"/>
    <d v="2024-01-29T00:00:00"/>
    <x v="2"/>
    <n v="2024"/>
    <n v="0"/>
    <n v="0"/>
    <m/>
    <m/>
    <s v="Absent"/>
    <s v="Evening"/>
    <s v="Remote"/>
    <n v="0"/>
  </r>
  <r>
    <s v="E1043"/>
    <s v="Employee_43"/>
    <x v="0"/>
    <d v="2024-05-03T00:00:00"/>
    <x v="6"/>
    <n v="2024"/>
    <n v="0"/>
    <n v="0"/>
    <m/>
    <m/>
    <s v="Absent"/>
    <s v="Evening"/>
    <s v="Remote"/>
    <n v="0"/>
  </r>
  <r>
    <s v="E1031"/>
    <s v="Employee_31"/>
    <x v="1"/>
    <d v="2024-02-04T00:00:00"/>
    <x v="5"/>
    <n v="2024"/>
    <n v="1"/>
    <n v="0"/>
    <d v="1899-12-30T09:04:00"/>
    <d v="1899-12-30T19:28:00"/>
    <s v="Work From Home"/>
    <s v="Evening"/>
    <s v="Office"/>
    <n v="0"/>
  </r>
  <r>
    <s v="E1038"/>
    <s v="Employee_38"/>
    <x v="1"/>
    <d v="2024-03-15T00:00:00"/>
    <x v="0"/>
    <n v="2024"/>
    <n v="1"/>
    <n v="1"/>
    <d v="1899-12-30T10:41:00"/>
    <d v="1899-12-30T20:47:00"/>
    <s v="Late"/>
    <s v="Morning"/>
    <s v="Remote"/>
    <n v="0"/>
  </r>
  <r>
    <s v="E1017"/>
    <s v="Employee_17"/>
    <x v="2"/>
    <d v="2024-01-18T00:00:00"/>
    <x v="2"/>
    <n v="2024"/>
    <n v="1"/>
    <n v="1"/>
    <d v="1899-12-30T08:15:00"/>
    <d v="1899-12-30T17:20:00"/>
    <s v="Late"/>
    <s v="Evening"/>
    <s v="Remote"/>
    <n v="0"/>
  </r>
  <r>
    <s v="E1012"/>
    <s v="Employee_12"/>
    <x v="2"/>
    <d v="2024-04-03T00:00:00"/>
    <x v="10"/>
    <n v="2024"/>
    <n v="0"/>
    <n v="0"/>
    <m/>
    <m/>
    <s v="Absent"/>
    <s v="Evening"/>
    <s v="Remote"/>
    <n v="0"/>
  </r>
  <r>
    <s v="E1037"/>
    <s v="Employee_37"/>
    <x v="4"/>
    <d v="2024-02-17T00:00:00"/>
    <x v="5"/>
    <n v="2024"/>
    <n v="1"/>
    <n v="0"/>
    <d v="1899-12-30T08:16:00"/>
    <d v="1899-12-30T18:38:00"/>
    <s v="Work From Home"/>
    <s v="Evening"/>
    <s v="Office"/>
    <n v="0"/>
  </r>
  <r>
    <s v="E1025"/>
    <s v="Employee_25"/>
    <x v="1"/>
    <d v="2024-03-02T00:00:00"/>
    <x v="0"/>
    <n v="2024"/>
    <n v="0"/>
    <n v="0"/>
    <m/>
    <m/>
    <s v="Absent"/>
    <s v="Morning"/>
    <s v="Remote"/>
    <n v="0"/>
  </r>
  <r>
    <s v="E1027"/>
    <s v="Employee_27"/>
    <x v="1"/>
    <d v="2024-06-02T00:00:00"/>
    <x v="11"/>
    <n v="2024"/>
    <n v="0"/>
    <n v="0"/>
    <m/>
    <m/>
    <s v="Absent"/>
    <s v="Evening"/>
    <s v="Office"/>
    <n v="0"/>
  </r>
  <r>
    <s v="E1057"/>
    <s v="Employee_57"/>
    <x v="4"/>
    <d v="2024-01-27T00:00:00"/>
    <x v="2"/>
    <n v="2024"/>
    <n v="0"/>
    <n v="0"/>
    <m/>
    <m/>
    <s v="Absent"/>
    <s v="Evening"/>
    <s v="Office"/>
    <n v="0"/>
  </r>
  <r>
    <s v="E1052"/>
    <s v="Employee_52"/>
    <x v="4"/>
    <d v="2024-03-20T00:00:00"/>
    <x v="0"/>
    <n v="2024"/>
    <n v="0"/>
    <n v="0"/>
    <m/>
    <m/>
    <s v="Absent"/>
    <s v="Morning"/>
    <s v="Remote"/>
    <n v="0"/>
  </r>
  <r>
    <s v="E1003"/>
    <s v="Employee_3"/>
    <x v="4"/>
    <d v="2024-02-04T00:00:00"/>
    <x v="5"/>
    <n v="2024"/>
    <n v="1"/>
    <n v="0"/>
    <d v="1899-12-30T10:38:00"/>
    <d v="1899-12-30T16:29:00"/>
    <s v="Work From Home"/>
    <s v="Morning"/>
    <s v="Remote"/>
    <n v="0"/>
  </r>
  <r>
    <s v="E1048"/>
    <s v="Employee_48"/>
    <x v="3"/>
    <d v="2024-03-23T00:00:00"/>
    <x v="0"/>
    <n v="2024"/>
    <n v="1"/>
    <n v="0"/>
    <d v="1899-12-30T08:16:00"/>
    <d v="1899-12-30T20:24:00"/>
    <s v="Present"/>
    <s v="Morning"/>
    <s v="Remote"/>
    <n v="0"/>
  </r>
  <r>
    <s v="E1059"/>
    <s v="Employee_59"/>
    <x v="1"/>
    <d v="2024-10-03T00:00:00"/>
    <x v="7"/>
    <n v="2024"/>
    <n v="1"/>
    <n v="0"/>
    <d v="1899-12-30T09:45:00"/>
    <d v="1899-12-30T17:35:00"/>
    <s v="Present"/>
    <s v="Evening"/>
    <s v="Remote"/>
    <n v="0"/>
  </r>
  <r>
    <s v="E1040"/>
    <s v="Employee_40"/>
    <x v="1"/>
    <d v="2024-02-15T00:00:00"/>
    <x v="5"/>
    <n v="2024"/>
    <n v="1"/>
    <n v="0"/>
    <d v="1899-12-30T11:05:00"/>
    <d v="1899-12-30T17:18:00"/>
    <s v="Present"/>
    <s v="Evening"/>
    <s v="Office"/>
    <n v="0"/>
  </r>
  <r>
    <s v="E1029"/>
    <s v="Employee_29"/>
    <x v="2"/>
    <d v="2024-02-17T00:00:00"/>
    <x v="5"/>
    <n v="2024"/>
    <n v="1"/>
    <n v="0"/>
    <d v="1899-12-30T09:37:00"/>
    <d v="1899-12-30T20:00:00"/>
    <s v="Present"/>
    <s v="Morning"/>
    <s v="Office"/>
    <n v="0"/>
  </r>
  <r>
    <s v="E1011"/>
    <s v="Employee_11"/>
    <x v="2"/>
    <d v="2024-01-24T00:00:00"/>
    <x v="2"/>
    <n v="2024"/>
    <n v="1"/>
    <n v="0"/>
    <d v="1899-12-30T11:14:00"/>
    <d v="1899-12-30T17:57:00"/>
    <s v="Work From Home"/>
    <s v="Evening"/>
    <s v="Remote"/>
    <n v="0"/>
  </r>
  <r>
    <s v="E1023"/>
    <s v="Employee_23"/>
    <x v="2"/>
    <d v="2024-01-10T00:00:00"/>
    <x v="2"/>
    <n v="2024"/>
    <n v="1"/>
    <n v="0"/>
    <d v="1899-12-30T11:19:00"/>
    <d v="1899-12-30T17:28:00"/>
    <s v="Work From Home"/>
    <s v="Morning"/>
    <s v="Office"/>
    <n v="0"/>
  </r>
  <r>
    <s v="E1055"/>
    <s v="Employee_55"/>
    <x v="1"/>
    <d v="2024-02-02T00:00:00"/>
    <x v="5"/>
    <n v="2024"/>
    <n v="1"/>
    <n v="1"/>
    <d v="1899-12-30T08:47:00"/>
    <d v="1899-12-30T16:06:00"/>
    <s v="Late"/>
    <s v="Morning"/>
    <s v="Office"/>
    <n v="0"/>
  </r>
  <r>
    <s v="E1015"/>
    <s v="Employee_15"/>
    <x v="4"/>
    <d v="2024-11-03T00:00:00"/>
    <x v="1"/>
    <n v="2024"/>
    <n v="1"/>
    <n v="0"/>
    <d v="1899-12-30T10:24:00"/>
    <d v="1899-12-30T17:23:00"/>
    <s v="Present"/>
    <s v="Morning"/>
    <s v="Remote"/>
    <n v="0"/>
  </r>
  <r>
    <s v="E1007"/>
    <s v="Employee_7"/>
    <x v="4"/>
    <d v="2024-03-04T00:00:00"/>
    <x v="0"/>
    <n v="2024"/>
    <n v="1"/>
    <n v="0"/>
    <d v="1899-12-30T11:03:00"/>
    <d v="1899-12-30T19:39:00"/>
    <s v="Present"/>
    <s v="Morning"/>
    <s v="Office"/>
    <n v="0"/>
  </r>
  <r>
    <s v="E1051"/>
    <s v="Employee_51"/>
    <x v="3"/>
    <d v="2024-01-13T00:00:00"/>
    <x v="2"/>
    <n v="2024"/>
    <n v="1"/>
    <n v="0"/>
    <d v="1899-12-30T08:11:00"/>
    <d v="1899-12-30T18:34:00"/>
    <s v="Work From Home"/>
    <s v="Evening"/>
    <s v="Office"/>
    <n v="0"/>
  </r>
  <r>
    <s v="E1054"/>
    <s v="Employee_54"/>
    <x v="0"/>
    <d v="2024-01-25T00:00:00"/>
    <x v="2"/>
    <n v="2024"/>
    <n v="1"/>
    <n v="0"/>
    <d v="1899-12-30T08:05:00"/>
    <d v="1899-12-30T20:23:00"/>
    <s v="Present"/>
    <s v="Evening"/>
    <s v="Office"/>
    <n v="0"/>
  </r>
  <r>
    <s v="E1007"/>
    <s v="Employee_7"/>
    <x v="2"/>
    <d v="2024-01-21T00:00:00"/>
    <x v="2"/>
    <n v="2024"/>
    <n v="0"/>
    <n v="0"/>
    <m/>
    <m/>
    <s v="Absent"/>
    <s v="Evening"/>
    <s v="Office"/>
    <n v="0"/>
  </r>
  <r>
    <s v="E1007"/>
    <s v="Employee_7"/>
    <x v="4"/>
    <d v="2024-02-28T00:00:00"/>
    <x v="5"/>
    <n v="2024"/>
    <n v="1"/>
    <n v="0"/>
    <d v="1899-12-30T10:21:00"/>
    <d v="1899-12-30T20:35:00"/>
    <s v="Present"/>
    <s v="Evening"/>
    <s v="Remote"/>
    <n v="0"/>
  </r>
  <r>
    <s v="E1021"/>
    <s v="Employee_21"/>
    <x v="4"/>
    <d v="2024-03-13T00:00:00"/>
    <x v="0"/>
    <n v="2024"/>
    <n v="1"/>
    <n v="1"/>
    <d v="1899-12-30T08:37:00"/>
    <d v="1899-12-30T18:15:00"/>
    <s v="Late"/>
    <s v="Evening"/>
    <s v="Remote"/>
    <n v="0"/>
  </r>
  <r>
    <s v="E1030"/>
    <s v="Employee_30"/>
    <x v="2"/>
    <d v="2024-08-03T00:00:00"/>
    <x v="9"/>
    <n v="2024"/>
    <n v="1"/>
    <n v="1"/>
    <d v="1899-12-30T09:41:00"/>
    <d v="1899-12-30T18:26:00"/>
    <s v="Late"/>
    <s v="Evening"/>
    <s v="Remote"/>
    <n v="0"/>
  </r>
  <r>
    <s v="E1001"/>
    <s v="Employee_1"/>
    <x v="0"/>
    <d v="2024-02-02T00:00:00"/>
    <x v="5"/>
    <n v="2024"/>
    <n v="0"/>
    <n v="0"/>
    <m/>
    <m/>
    <s v="Absent"/>
    <s v="Morning"/>
    <s v="Office"/>
    <n v="0"/>
  </r>
  <r>
    <s v="E1006"/>
    <s v="Employee_6"/>
    <x v="2"/>
    <d v="2024-02-27T00:00:00"/>
    <x v="5"/>
    <n v="2024"/>
    <n v="0"/>
    <n v="0"/>
    <m/>
    <m/>
    <s v="Absent"/>
    <s v="Morning"/>
    <s v="Office"/>
    <n v="0"/>
  </r>
  <r>
    <s v="E1013"/>
    <s v="Employee_13"/>
    <x v="3"/>
    <d v="2024-02-13T00:00:00"/>
    <x v="5"/>
    <n v="2024"/>
    <n v="0"/>
    <n v="0"/>
    <m/>
    <m/>
    <s v="Absent"/>
    <s v="Evening"/>
    <s v="Office"/>
    <n v="0"/>
  </r>
  <r>
    <s v="E1059"/>
    <s v="Employee_59"/>
    <x v="3"/>
    <d v="2024-03-25T00:00:00"/>
    <x v="0"/>
    <n v="2024"/>
    <n v="1"/>
    <n v="0"/>
    <d v="1899-12-30T09:57:00"/>
    <d v="1899-12-30T19:26:00"/>
    <s v="Present"/>
    <s v="Evening"/>
    <s v="Remote"/>
    <n v="0"/>
  </r>
  <r>
    <s v="E1047"/>
    <s v="Employee_47"/>
    <x v="4"/>
    <d v="2024-03-30T00:00:00"/>
    <x v="0"/>
    <n v="2024"/>
    <n v="1"/>
    <n v="1"/>
    <d v="1899-12-30T10:12:00"/>
    <d v="1899-12-30T17:03:00"/>
    <s v="Late"/>
    <s v="Evening"/>
    <s v="Remote"/>
    <n v="0"/>
  </r>
  <r>
    <s v="E1055"/>
    <s v="Employee_55"/>
    <x v="1"/>
    <d v="2024-03-01T00:00:00"/>
    <x v="0"/>
    <n v="2024"/>
    <n v="1"/>
    <n v="1"/>
    <d v="1899-12-30T10:14:00"/>
    <d v="1899-12-30T17:00:00"/>
    <s v="Late"/>
    <s v="Morning"/>
    <s v="Remote"/>
    <n v="0"/>
  </r>
  <r>
    <s v="E1046"/>
    <s v="Employee_46"/>
    <x v="1"/>
    <d v="2024-01-30T00:00:00"/>
    <x v="2"/>
    <n v="2024"/>
    <n v="1"/>
    <n v="1"/>
    <d v="1899-12-30T09:19:00"/>
    <d v="1899-12-30T16:53:00"/>
    <s v="Late"/>
    <s v="Evening"/>
    <s v="Office"/>
    <n v="0"/>
  </r>
  <r>
    <s v="E1029"/>
    <s v="Employee_29"/>
    <x v="0"/>
    <d v="2024-03-18T00:00:00"/>
    <x v="0"/>
    <n v="2024"/>
    <n v="1"/>
    <n v="0"/>
    <d v="1899-12-30T08:58:00"/>
    <d v="1899-12-30T18:48:00"/>
    <s v="Work From Home"/>
    <s v="Evening"/>
    <s v="Office"/>
    <n v="0"/>
  </r>
  <r>
    <s v="E1037"/>
    <s v="Employee_37"/>
    <x v="2"/>
    <d v="2024-02-16T00:00:00"/>
    <x v="5"/>
    <n v="2024"/>
    <n v="1"/>
    <n v="0"/>
    <d v="1899-12-30T11:39:00"/>
    <d v="1899-12-30T18:20:00"/>
    <s v="Present"/>
    <s v="Evening"/>
    <s v="Remote"/>
    <n v="0"/>
  </r>
  <r>
    <s v="E1025"/>
    <s v="Employee_25"/>
    <x v="2"/>
    <d v="2024-03-18T00:00:00"/>
    <x v="0"/>
    <n v="2024"/>
    <n v="1"/>
    <n v="1"/>
    <d v="1899-12-30T11:07:00"/>
    <d v="1899-12-30T20:41:00"/>
    <s v="Late"/>
    <s v="Morning"/>
    <s v="Remote"/>
    <n v="0"/>
  </r>
  <r>
    <s v="E1016"/>
    <s v="Employee_16"/>
    <x v="0"/>
    <d v="2024-02-14T00:00:00"/>
    <x v="5"/>
    <n v="2024"/>
    <n v="0"/>
    <n v="0"/>
    <m/>
    <m/>
    <s v="Absent"/>
    <s v="Evening"/>
    <s v="Remote"/>
    <n v="0"/>
  </r>
  <r>
    <s v="E1027"/>
    <s v="Employee_27"/>
    <x v="1"/>
    <d v="2024-01-14T00:00:00"/>
    <x v="2"/>
    <n v="2024"/>
    <n v="1"/>
    <n v="0"/>
    <d v="1899-12-30T08:38:00"/>
    <d v="1899-12-30T18:41:00"/>
    <s v="Present"/>
    <s v="Morning"/>
    <s v="Remote"/>
    <n v="0"/>
  </r>
  <r>
    <s v="E1053"/>
    <s v="Employee_53"/>
    <x v="3"/>
    <d v="2024-01-18T00:00:00"/>
    <x v="2"/>
    <n v="2024"/>
    <n v="1"/>
    <n v="1"/>
    <d v="1899-12-30T11:04:00"/>
    <d v="1899-12-30T16:26:00"/>
    <s v="Late"/>
    <s v="Morning"/>
    <s v="Remote"/>
    <n v="0"/>
  </r>
  <r>
    <s v="E1046"/>
    <s v="Employee_46"/>
    <x v="4"/>
    <d v="2024-05-01T00:00:00"/>
    <x v="6"/>
    <n v="2024"/>
    <n v="1"/>
    <n v="0"/>
    <d v="1899-12-30T08:10:00"/>
    <d v="1899-12-30T19:04:00"/>
    <s v="Work From Home"/>
    <s v="Evening"/>
    <s v="Remote"/>
    <n v="0"/>
  </r>
  <r>
    <s v="E1008"/>
    <s v="Employee_8"/>
    <x v="3"/>
    <d v="2024-02-24T00:00:00"/>
    <x v="5"/>
    <n v="2024"/>
    <n v="0"/>
    <n v="0"/>
    <m/>
    <m/>
    <s v="Absent"/>
    <s v="Morning"/>
    <s v="Office"/>
    <n v="0"/>
  </r>
  <r>
    <s v="E1004"/>
    <s v="Employee_4"/>
    <x v="2"/>
    <d v="2024-01-01T00:00:00"/>
    <x v="2"/>
    <n v="2024"/>
    <n v="1"/>
    <n v="0"/>
    <d v="1899-12-30T11:33:00"/>
    <d v="1899-12-30T19:15:00"/>
    <s v="Present"/>
    <s v="Evening"/>
    <s v="Remote"/>
    <n v="0"/>
  </r>
  <r>
    <s v="E1036"/>
    <s v="Employee_36"/>
    <x v="4"/>
    <d v="2024-02-27T00:00:00"/>
    <x v="5"/>
    <n v="2024"/>
    <n v="0"/>
    <n v="0"/>
    <m/>
    <m/>
    <s v="Absent"/>
    <s v="Evening"/>
    <s v="Office"/>
    <n v="0"/>
  </r>
  <r>
    <s v="E1015"/>
    <s v="Employee_15"/>
    <x v="4"/>
    <d v="2024-03-25T00:00:00"/>
    <x v="0"/>
    <n v="2024"/>
    <n v="1"/>
    <n v="0"/>
    <d v="1899-12-30T08:20:00"/>
    <d v="1899-12-30T18:06:00"/>
    <s v="Present"/>
    <s v="Morning"/>
    <s v="Remote"/>
    <n v="0"/>
  </r>
  <r>
    <s v="E1042"/>
    <s v="Employee_42"/>
    <x v="4"/>
    <d v="2024-03-17T00:00:00"/>
    <x v="0"/>
    <n v="2024"/>
    <n v="1"/>
    <n v="0"/>
    <d v="1899-12-30T08:26:00"/>
    <d v="1899-12-30T18:53:00"/>
    <s v="Work From Home"/>
    <s v="Evening"/>
    <s v="Office"/>
    <n v="0"/>
  </r>
  <r>
    <s v="E1037"/>
    <s v="Employee_37"/>
    <x v="4"/>
    <d v="2024-01-13T00:00:00"/>
    <x v="2"/>
    <n v="2024"/>
    <n v="0"/>
    <n v="0"/>
    <m/>
    <m/>
    <s v="Absent"/>
    <s v="Morning"/>
    <s v="Office"/>
    <n v="0"/>
  </r>
  <r>
    <s v="E1044"/>
    <s v="Employee_44"/>
    <x v="0"/>
    <d v="2024-02-28T00:00:00"/>
    <x v="5"/>
    <n v="2024"/>
    <n v="1"/>
    <n v="0"/>
    <d v="1899-12-30T09:49:00"/>
    <d v="1899-12-30T17:05:00"/>
    <s v="Work From Home"/>
    <s v="Morning"/>
    <s v="Office"/>
    <n v="0"/>
  </r>
  <r>
    <s v="E1057"/>
    <s v="Employee_57"/>
    <x v="1"/>
    <d v="2024-02-19T00:00:00"/>
    <x v="5"/>
    <n v="2024"/>
    <n v="0"/>
    <n v="0"/>
    <m/>
    <m/>
    <s v="Absent"/>
    <s v="Morning"/>
    <s v="Remote"/>
    <n v="0"/>
  </r>
  <r>
    <s v="E1057"/>
    <s v="Employee_57"/>
    <x v="2"/>
    <d v="2024-01-25T00:00:00"/>
    <x v="2"/>
    <n v="2024"/>
    <n v="0"/>
    <n v="0"/>
    <m/>
    <m/>
    <s v="Absent"/>
    <s v="Morning"/>
    <s v="Remote"/>
    <n v="0"/>
  </r>
  <r>
    <s v="E1041"/>
    <s v="Employee_41"/>
    <x v="1"/>
    <d v="2024-01-23T00:00:00"/>
    <x v="2"/>
    <n v="2024"/>
    <n v="1"/>
    <n v="0"/>
    <d v="1899-12-30T11:40:00"/>
    <d v="1899-12-30T18:58:00"/>
    <s v="Present"/>
    <s v="Evening"/>
    <s v="Remote"/>
    <n v="0"/>
  </r>
  <r>
    <s v="E1032"/>
    <s v="Employee_32"/>
    <x v="0"/>
    <d v="2024-03-27T00:00:00"/>
    <x v="0"/>
    <n v="2024"/>
    <n v="1"/>
    <n v="0"/>
    <d v="1899-12-30T10:19:00"/>
    <d v="1899-12-30T16:19:00"/>
    <s v="Present"/>
    <s v="Evening"/>
    <s v="Office"/>
    <n v="0"/>
  </r>
  <r>
    <s v="E1009"/>
    <s v="Employee_9"/>
    <x v="4"/>
    <d v="2024-01-03T00:00:00"/>
    <x v="2"/>
    <n v="2024"/>
    <n v="1"/>
    <n v="0"/>
    <d v="1899-12-30T09:43:00"/>
    <d v="1899-12-30T18:09:00"/>
    <s v="Work From Home"/>
    <s v="Morning"/>
    <s v="Office"/>
    <n v="0"/>
  </r>
  <r>
    <s v="E1023"/>
    <s v="Employee_23"/>
    <x v="1"/>
    <d v="2024-02-16T00:00:00"/>
    <x v="5"/>
    <n v="2024"/>
    <n v="0"/>
    <n v="0"/>
    <m/>
    <m/>
    <s v="Absent"/>
    <s v="Evening"/>
    <s v="Remote"/>
    <n v="0"/>
  </r>
  <r>
    <s v="E1031"/>
    <s v="Employee_31"/>
    <x v="3"/>
    <d v="2024-09-01T00:00:00"/>
    <x v="3"/>
    <n v="2024"/>
    <n v="1"/>
    <n v="0"/>
    <d v="1899-12-30T10:28:00"/>
    <d v="1899-12-30T18:34:00"/>
    <s v="Work From Home"/>
    <s v="Morning"/>
    <s v="Office"/>
    <n v="0"/>
  </r>
  <r>
    <s v="E1047"/>
    <s v="Employee_47"/>
    <x v="0"/>
    <d v="2024-01-22T00:00:00"/>
    <x v="2"/>
    <n v="2024"/>
    <n v="0"/>
    <n v="0"/>
    <m/>
    <m/>
    <s v="Absent"/>
    <s v="Morning"/>
    <s v="Remote"/>
    <n v="0"/>
  </r>
  <r>
    <s v="E1037"/>
    <s v="Employee_37"/>
    <x v="1"/>
    <d v="2024-03-11T00:00:00"/>
    <x v="0"/>
    <n v="2024"/>
    <n v="1"/>
    <n v="1"/>
    <d v="1899-12-30T08:48:00"/>
    <d v="1899-12-30T16:51:00"/>
    <s v="Late"/>
    <s v="Morning"/>
    <s v="Office"/>
    <n v="0"/>
  </r>
  <r>
    <s v="E1058"/>
    <s v="Employee_58"/>
    <x v="3"/>
    <d v="2024-01-29T00:00:00"/>
    <x v="2"/>
    <n v="2024"/>
    <n v="1"/>
    <n v="0"/>
    <d v="1899-12-30T11:58:00"/>
    <d v="1899-12-30T16:28:00"/>
    <s v="Work From Home"/>
    <s v="Morning"/>
    <s v="Office"/>
    <n v="0"/>
  </r>
  <r>
    <s v="E1028"/>
    <s v="Employee_28"/>
    <x v="3"/>
    <d v="2024-02-17T00:00:00"/>
    <x v="5"/>
    <n v="2024"/>
    <n v="1"/>
    <n v="0"/>
    <d v="1899-12-30T08:58:00"/>
    <d v="1899-12-30T17:28:00"/>
    <s v="Present"/>
    <s v="Morning"/>
    <s v="Office"/>
    <n v="0"/>
  </r>
  <r>
    <s v="E1021"/>
    <s v="Employee_21"/>
    <x v="2"/>
    <d v="2024-02-29T00:00:00"/>
    <x v="5"/>
    <n v="2024"/>
    <n v="0"/>
    <n v="0"/>
    <m/>
    <m/>
    <s v="Absent"/>
    <s v="Evening"/>
    <s v="Office"/>
    <n v="0"/>
  </r>
  <r>
    <s v="E1048"/>
    <s v="Employee_48"/>
    <x v="3"/>
    <d v="2024-03-20T00:00:00"/>
    <x v="0"/>
    <n v="2024"/>
    <n v="0"/>
    <n v="0"/>
    <m/>
    <m/>
    <s v="Absent"/>
    <s v="Evening"/>
    <s v="Office"/>
    <n v="0"/>
  </r>
  <r>
    <s v="E1057"/>
    <s v="Employee_57"/>
    <x v="2"/>
    <d v="2024-07-02T00:00:00"/>
    <x v="4"/>
    <n v="2024"/>
    <n v="0"/>
    <n v="0"/>
    <m/>
    <m/>
    <s v="Absent"/>
    <s v="Evening"/>
    <s v="Office"/>
    <n v="0"/>
  </r>
  <r>
    <s v="E1047"/>
    <s v="Employee_47"/>
    <x v="0"/>
    <d v="2024-03-25T00:00:00"/>
    <x v="0"/>
    <n v="2024"/>
    <n v="1"/>
    <n v="1"/>
    <d v="1899-12-30T08:55:00"/>
    <d v="1899-12-30T19:44:00"/>
    <s v="Late"/>
    <s v="Evening"/>
    <s v="Office"/>
    <n v="0"/>
  </r>
  <r>
    <s v="E1048"/>
    <s v="Employee_48"/>
    <x v="2"/>
    <d v="2024-03-24T00:00:00"/>
    <x v="0"/>
    <n v="2024"/>
    <n v="1"/>
    <n v="0"/>
    <d v="1899-12-30T11:06:00"/>
    <d v="1899-12-30T16:00:00"/>
    <s v="Present"/>
    <s v="Morning"/>
    <s v="Office"/>
    <n v="0"/>
  </r>
  <r>
    <s v="E1010"/>
    <s v="Employee_10"/>
    <x v="0"/>
    <d v="2024-02-03T00:00:00"/>
    <x v="5"/>
    <n v="2024"/>
    <n v="1"/>
    <n v="0"/>
    <d v="1899-12-30T09:29:00"/>
    <d v="1899-12-30T19:00:00"/>
    <s v="Present"/>
    <s v="Morning"/>
    <s v="Remote"/>
    <n v="0"/>
  </r>
  <r>
    <s v="E1004"/>
    <s v="Employee_4"/>
    <x v="4"/>
    <d v="2024-03-29T00:00:00"/>
    <x v="0"/>
    <n v="2024"/>
    <n v="0"/>
    <n v="0"/>
    <m/>
    <m/>
    <s v="Absent"/>
    <s v="Morning"/>
    <s v="Office"/>
    <n v="0"/>
  </r>
  <r>
    <s v="E1043"/>
    <s v="Employee_43"/>
    <x v="2"/>
    <d v="2024-01-24T00:00:00"/>
    <x v="2"/>
    <n v="2024"/>
    <n v="1"/>
    <n v="0"/>
    <d v="1899-12-30T08:14:00"/>
    <d v="1899-12-30T17:30:00"/>
    <s v="Work From Home"/>
    <s v="Evening"/>
    <s v="Office"/>
    <n v="0"/>
  </r>
  <r>
    <s v="E1044"/>
    <s v="Employee_44"/>
    <x v="4"/>
    <d v="2024-02-13T00:00:00"/>
    <x v="5"/>
    <n v="2024"/>
    <n v="1"/>
    <n v="0"/>
    <d v="1899-12-30T10:57:00"/>
    <d v="1899-12-30T19:20:00"/>
    <s v="Work From Home"/>
    <s v="Evening"/>
    <s v="Remote"/>
    <n v="0"/>
  </r>
  <r>
    <s v="E1007"/>
    <s v="Employee_7"/>
    <x v="1"/>
    <d v="2024-02-25T00:00:00"/>
    <x v="5"/>
    <n v="2024"/>
    <n v="0"/>
    <n v="0"/>
    <m/>
    <m/>
    <s v="Absent"/>
    <s v="Morning"/>
    <s v="Remote"/>
    <n v="0"/>
  </r>
  <r>
    <s v="E1041"/>
    <s v="Employee_41"/>
    <x v="4"/>
    <d v="2024-01-22T00:00:00"/>
    <x v="2"/>
    <n v="2024"/>
    <n v="1"/>
    <n v="0"/>
    <d v="1899-12-30T09:36:00"/>
    <d v="1899-12-30T16:17:00"/>
    <s v="Work From Home"/>
    <s v="Evening"/>
    <s v="Remote"/>
    <n v="0"/>
  </r>
  <r>
    <s v="E1017"/>
    <s v="Employee_17"/>
    <x v="0"/>
    <d v="2024-01-11T00:00:00"/>
    <x v="2"/>
    <n v="2024"/>
    <n v="0"/>
    <n v="0"/>
    <m/>
    <m/>
    <s v="Absent"/>
    <s v="Evening"/>
    <s v="Office"/>
    <n v="0"/>
  </r>
  <r>
    <s v="E1020"/>
    <s v="Employee_20"/>
    <x v="2"/>
    <d v="2024-01-28T00:00:00"/>
    <x v="2"/>
    <n v="2024"/>
    <n v="1"/>
    <n v="0"/>
    <d v="1899-12-30T09:01:00"/>
    <d v="1899-12-30T20:04:00"/>
    <s v="Work From Home"/>
    <s v="Evening"/>
    <s v="Office"/>
    <n v="0"/>
  </r>
  <r>
    <s v="E1054"/>
    <s v="Employee_54"/>
    <x v="0"/>
    <d v="2024-02-27T00:00:00"/>
    <x v="5"/>
    <n v="2024"/>
    <n v="0"/>
    <n v="0"/>
    <m/>
    <m/>
    <s v="Absent"/>
    <s v="Morning"/>
    <s v="Office"/>
    <n v="0"/>
  </r>
  <r>
    <s v="E1000"/>
    <s v="Employee_0"/>
    <x v="3"/>
    <d v="2024-09-02T00:00:00"/>
    <x v="3"/>
    <n v="2024"/>
    <n v="1"/>
    <n v="1"/>
    <d v="1899-12-30T11:51:00"/>
    <d v="1899-12-30T17:53:00"/>
    <s v="Late"/>
    <s v="Evening"/>
    <s v="Remote"/>
    <n v="0"/>
  </r>
  <r>
    <s v="E1056"/>
    <s v="Employee_56"/>
    <x v="0"/>
    <d v="2024-05-02T00:00:00"/>
    <x v="6"/>
    <n v="2024"/>
    <n v="1"/>
    <n v="0"/>
    <d v="1899-12-30T11:43:00"/>
    <d v="1899-12-30T20:33:00"/>
    <s v="Work From Home"/>
    <s v="Evening"/>
    <s v="Office"/>
    <n v="0"/>
  </r>
  <r>
    <s v="E1049"/>
    <s v="Employee_49"/>
    <x v="4"/>
    <d v="2024-03-09T00:00:00"/>
    <x v="0"/>
    <n v="2024"/>
    <n v="1"/>
    <n v="0"/>
    <d v="1899-12-30T11:06:00"/>
    <d v="1899-12-30T19:33:00"/>
    <s v="Present"/>
    <s v="Evening"/>
    <s v="Remote"/>
    <n v="0"/>
  </r>
  <r>
    <s v="E1049"/>
    <s v="Employee_49"/>
    <x v="1"/>
    <d v="2024-02-03T00:00:00"/>
    <x v="5"/>
    <n v="2024"/>
    <n v="1"/>
    <n v="0"/>
    <d v="1899-12-30T08:33:00"/>
    <d v="1899-12-30T19:21:00"/>
    <s v="Present"/>
    <s v="Morning"/>
    <s v="Office"/>
    <n v="0"/>
  </r>
  <r>
    <s v="E1013"/>
    <s v="Employee_13"/>
    <x v="1"/>
    <d v="2024-01-30T00:00:00"/>
    <x v="2"/>
    <n v="2024"/>
    <n v="1"/>
    <n v="0"/>
    <d v="1899-12-30T10:49:00"/>
    <d v="1899-12-30T19:54:00"/>
    <s v="Work From Home"/>
    <s v="Evening"/>
    <s v="Office"/>
    <n v="0"/>
  </r>
  <r>
    <s v="E1029"/>
    <s v="Employee_29"/>
    <x v="4"/>
    <d v="2024-02-24T00:00:00"/>
    <x v="5"/>
    <n v="2024"/>
    <n v="1"/>
    <n v="0"/>
    <d v="1899-12-30T08:48:00"/>
    <d v="1899-12-30T20:55:00"/>
    <s v="Work From Home"/>
    <s v="Morning"/>
    <s v="Office"/>
    <n v="0"/>
  </r>
  <r>
    <s v="E1048"/>
    <s v="Employee_48"/>
    <x v="0"/>
    <d v="2024-09-02T00:00:00"/>
    <x v="3"/>
    <n v="2024"/>
    <n v="0"/>
    <n v="0"/>
    <m/>
    <m/>
    <s v="Absent"/>
    <s v="Morning"/>
    <s v="Office"/>
    <n v="0"/>
  </r>
  <r>
    <s v="E1005"/>
    <s v="Employee_5"/>
    <x v="0"/>
    <d v="2024-03-03T00:00:00"/>
    <x v="0"/>
    <n v="2024"/>
    <n v="1"/>
    <n v="0"/>
    <d v="1899-12-30T11:29:00"/>
    <d v="1899-12-30T20:49:00"/>
    <s v="Present"/>
    <s v="Morning"/>
    <s v="Office"/>
    <n v="0"/>
  </r>
  <r>
    <s v="E1015"/>
    <s v="Employee_15"/>
    <x v="1"/>
    <d v="2024-03-30T00:00:00"/>
    <x v="0"/>
    <n v="2024"/>
    <n v="0"/>
    <n v="0"/>
    <m/>
    <m/>
    <s v="Absent"/>
    <s v="Morning"/>
    <s v="Remote"/>
    <n v="0"/>
  </r>
  <r>
    <s v="E1034"/>
    <s v="Employee_34"/>
    <x v="4"/>
    <d v="2024-03-24T00:00:00"/>
    <x v="0"/>
    <n v="2024"/>
    <n v="1"/>
    <n v="1"/>
    <d v="1899-12-30T11:35:00"/>
    <d v="1899-12-30T17:29:00"/>
    <s v="Late"/>
    <s v="Evening"/>
    <s v="Remote"/>
    <n v="0"/>
  </r>
  <r>
    <s v="E1036"/>
    <s v="Employee_36"/>
    <x v="1"/>
    <d v="2024-11-02T00:00:00"/>
    <x v="1"/>
    <n v="2024"/>
    <n v="1"/>
    <n v="0"/>
    <d v="1899-12-30T09:22:00"/>
    <d v="1899-12-30T18:11:00"/>
    <s v="Work From Home"/>
    <s v="Evening"/>
    <s v="Office"/>
    <n v="0"/>
  </r>
  <r>
    <s v="E1041"/>
    <s v="Employee_41"/>
    <x v="3"/>
    <d v="2024-06-02T00:00:00"/>
    <x v="11"/>
    <n v="2024"/>
    <n v="1"/>
    <n v="0"/>
    <d v="1899-12-30T10:24:00"/>
    <d v="1899-12-30T19:29:00"/>
    <s v="Work From Home"/>
    <s v="Morning"/>
    <s v="Remote"/>
    <n v="0"/>
  </r>
  <r>
    <s v="E1014"/>
    <s v="Employee_14"/>
    <x v="1"/>
    <d v="2024-02-02T00:00:00"/>
    <x v="5"/>
    <n v="2024"/>
    <n v="1"/>
    <n v="1"/>
    <d v="1899-12-30T10:44:00"/>
    <d v="1899-12-30T19:57:00"/>
    <s v="Late"/>
    <s v="Morning"/>
    <s v="Remote"/>
    <n v="0"/>
  </r>
  <r>
    <s v="E1009"/>
    <s v="Employee_9"/>
    <x v="4"/>
    <d v="2024-04-03T00:00:00"/>
    <x v="10"/>
    <n v="2024"/>
    <n v="0"/>
    <n v="0"/>
    <m/>
    <m/>
    <s v="Absent"/>
    <s v="Evening"/>
    <s v="Remote"/>
    <n v="0"/>
  </r>
  <r>
    <s v="E1052"/>
    <s v="Employee_52"/>
    <x v="1"/>
    <d v="2024-03-18T00:00:00"/>
    <x v="0"/>
    <n v="2024"/>
    <n v="1"/>
    <n v="0"/>
    <d v="1899-12-30T10:39:00"/>
    <d v="1899-12-30T17:44:00"/>
    <s v="Present"/>
    <s v="Morning"/>
    <s v="Remote"/>
    <n v="0"/>
  </r>
  <r>
    <s v="E1047"/>
    <s v="Employee_47"/>
    <x v="1"/>
    <d v="2024-02-18T00:00:00"/>
    <x v="5"/>
    <n v="2024"/>
    <n v="1"/>
    <n v="1"/>
    <d v="1899-12-30T09:34:00"/>
    <d v="1899-12-30T17:31:00"/>
    <s v="Late"/>
    <s v="Morning"/>
    <s v="Office"/>
    <n v="0"/>
  </r>
  <r>
    <s v="E1019"/>
    <s v="Employee_19"/>
    <x v="1"/>
    <d v="2024-02-13T00:00:00"/>
    <x v="5"/>
    <n v="2024"/>
    <n v="1"/>
    <n v="1"/>
    <d v="1899-12-30T09:22:00"/>
    <d v="1899-12-30T17:09:00"/>
    <s v="Late"/>
    <s v="Morning"/>
    <s v="Office"/>
    <n v="0"/>
  </r>
  <r>
    <s v="E1014"/>
    <s v="Employee_14"/>
    <x v="0"/>
    <d v="2024-01-17T00:00:00"/>
    <x v="2"/>
    <n v="2024"/>
    <n v="0"/>
    <n v="0"/>
    <m/>
    <m/>
    <s v="Absent"/>
    <s v="Evening"/>
    <s v="Remote"/>
    <n v="0"/>
  </r>
  <r>
    <s v="E1059"/>
    <s v="Employee_59"/>
    <x v="0"/>
    <d v="2024-01-26T00:00:00"/>
    <x v="2"/>
    <n v="2024"/>
    <n v="1"/>
    <n v="0"/>
    <d v="1899-12-30T08:46:00"/>
    <d v="1899-12-30T17:23:00"/>
    <s v="Work From Home"/>
    <s v="Evening"/>
    <s v="Remote"/>
    <n v="0"/>
  </r>
  <r>
    <s v="E1049"/>
    <s v="Employee_49"/>
    <x v="3"/>
    <d v="2024-03-28T00:00:00"/>
    <x v="0"/>
    <n v="2024"/>
    <n v="1"/>
    <n v="0"/>
    <d v="1899-12-30T10:16:00"/>
    <d v="1899-12-30T18:38:00"/>
    <s v="Present"/>
    <s v="Evening"/>
    <s v="Remote"/>
    <n v="0"/>
  </r>
  <r>
    <s v="E1008"/>
    <s v="Employee_8"/>
    <x v="4"/>
    <d v="2024-03-27T00:00:00"/>
    <x v="0"/>
    <n v="2024"/>
    <n v="1"/>
    <n v="1"/>
    <d v="1899-12-30T10:30:00"/>
    <d v="1899-12-30T16:25:00"/>
    <s v="Late"/>
    <s v="Morning"/>
    <s v="Office"/>
    <n v="0"/>
  </r>
  <r>
    <s v="E1049"/>
    <s v="Employee_49"/>
    <x v="2"/>
    <d v="2024-01-25T00:00:00"/>
    <x v="2"/>
    <n v="2024"/>
    <n v="0"/>
    <n v="0"/>
    <m/>
    <m/>
    <s v="Absent"/>
    <s v="Morning"/>
    <s v="Remote"/>
    <n v="0"/>
  </r>
  <r>
    <s v="E1047"/>
    <s v="Employee_47"/>
    <x v="4"/>
    <d v="2024-01-25T00:00:00"/>
    <x v="2"/>
    <n v="2024"/>
    <n v="1"/>
    <n v="0"/>
    <d v="1899-12-30T09:02:00"/>
    <d v="1899-12-30T17:55:00"/>
    <s v="Work From Home"/>
    <s v="Morning"/>
    <s v="Remote"/>
    <n v="0"/>
  </r>
  <r>
    <s v="E1010"/>
    <s v="Employee_10"/>
    <x v="4"/>
    <d v="2024-03-05T00:00:00"/>
    <x v="0"/>
    <n v="2024"/>
    <n v="1"/>
    <n v="0"/>
    <d v="1899-12-30T09:42:00"/>
    <d v="1899-12-30T20:47:00"/>
    <s v="Work From Home"/>
    <s v="Morning"/>
    <s v="Remote"/>
    <n v="0"/>
  </r>
  <r>
    <s v="E1027"/>
    <s v="Employee_27"/>
    <x v="3"/>
    <d v="2024-02-18T00:00:00"/>
    <x v="5"/>
    <n v="2024"/>
    <n v="1"/>
    <n v="1"/>
    <d v="1899-12-30T11:40:00"/>
    <d v="1899-12-30T19:44:00"/>
    <s v="Late"/>
    <s v="Morning"/>
    <s v="Remote"/>
    <n v="0"/>
  </r>
  <r>
    <s v="E1008"/>
    <s v="Employee_8"/>
    <x v="4"/>
    <d v="2024-01-15T00:00:00"/>
    <x v="2"/>
    <n v="2024"/>
    <n v="1"/>
    <n v="0"/>
    <d v="1899-12-30T08:19:00"/>
    <d v="1899-12-30T20:52:00"/>
    <s v="Present"/>
    <s v="Evening"/>
    <s v="Remote"/>
    <n v="0"/>
  </r>
  <r>
    <s v="E1023"/>
    <s v="Employee_23"/>
    <x v="3"/>
    <d v="2024-06-03T00:00:00"/>
    <x v="11"/>
    <n v="2024"/>
    <n v="1"/>
    <n v="0"/>
    <d v="1899-12-30T10:13:00"/>
    <d v="1899-12-30T20:34:00"/>
    <s v="Work From Home"/>
    <s v="Morning"/>
    <s v="Remote"/>
    <n v="0"/>
  </r>
  <r>
    <s v="E1011"/>
    <s v="Employee_11"/>
    <x v="3"/>
    <d v="2024-02-17T00:00:00"/>
    <x v="5"/>
    <n v="2024"/>
    <n v="1"/>
    <n v="1"/>
    <d v="1899-12-30T10:19:00"/>
    <d v="1899-12-30T20:21:00"/>
    <s v="Late"/>
    <s v="Morning"/>
    <s v="Office"/>
    <n v="0"/>
  </r>
  <r>
    <s v="E1038"/>
    <s v="Employee_38"/>
    <x v="3"/>
    <d v="2024-03-19T00:00:00"/>
    <x v="0"/>
    <n v="2024"/>
    <n v="1"/>
    <n v="0"/>
    <d v="1899-12-30T08:39:00"/>
    <d v="1899-12-30T18:33:00"/>
    <s v="Present"/>
    <s v="Evening"/>
    <s v="Office"/>
    <n v="0"/>
  </r>
  <r>
    <s v="E1036"/>
    <s v="Employee_36"/>
    <x v="4"/>
    <d v="2024-03-15T00:00:00"/>
    <x v="0"/>
    <n v="2024"/>
    <n v="1"/>
    <n v="1"/>
    <d v="1899-12-30T10:26:00"/>
    <d v="1899-12-30T19:19:00"/>
    <s v="Late"/>
    <s v="Evening"/>
    <s v="Office"/>
    <n v="0"/>
  </r>
  <r>
    <s v="E1037"/>
    <s v="Employee_37"/>
    <x v="3"/>
    <d v="2024-01-04T00:00:00"/>
    <x v="2"/>
    <n v="2024"/>
    <n v="1"/>
    <n v="1"/>
    <d v="1899-12-30T09:19:00"/>
    <d v="1899-12-30T19:45:00"/>
    <s v="Late"/>
    <s v="Morning"/>
    <s v="Office"/>
    <n v="0"/>
  </r>
  <r>
    <s v="E1012"/>
    <s v="Employee_12"/>
    <x v="2"/>
    <d v="2024-11-01T00:00:00"/>
    <x v="1"/>
    <n v="2024"/>
    <n v="1"/>
    <n v="1"/>
    <d v="1899-12-30T10:03:00"/>
    <d v="1899-12-30T20:35:00"/>
    <s v="Late"/>
    <s v="Morning"/>
    <s v="Office"/>
    <n v="0"/>
  </r>
  <r>
    <s v="E1012"/>
    <s v="Employee_12"/>
    <x v="0"/>
    <d v="2024-02-20T00:00:00"/>
    <x v="5"/>
    <n v="2024"/>
    <n v="1"/>
    <n v="0"/>
    <d v="1899-12-30T11:40:00"/>
    <d v="1899-12-30T18:31:00"/>
    <s v="Work From Home"/>
    <s v="Morning"/>
    <s v="Office"/>
    <n v="0"/>
  </r>
  <r>
    <s v="E1027"/>
    <s v="Employee_27"/>
    <x v="2"/>
    <d v="2024-02-01T00:00:00"/>
    <x v="5"/>
    <n v="2024"/>
    <n v="1"/>
    <n v="1"/>
    <d v="1899-12-30T11:39:00"/>
    <d v="1899-12-30T20:02:00"/>
    <s v="Late"/>
    <s v="Morning"/>
    <s v="Office"/>
    <n v="0"/>
  </r>
  <r>
    <s v="E1028"/>
    <s v="Employee_28"/>
    <x v="4"/>
    <d v="2024-02-14T00:00:00"/>
    <x v="5"/>
    <n v="2024"/>
    <n v="0"/>
    <n v="0"/>
    <m/>
    <m/>
    <s v="Absent"/>
    <s v="Evening"/>
    <s v="Office"/>
    <n v="0"/>
  </r>
  <r>
    <s v="E1011"/>
    <s v="Employee_11"/>
    <x v="4"/>
    <d v="2024-03-27T00:00:00"/>
    <x v="0"/>
    <n v="2024"/>
    <n v="1"/>
    <n v="1"/>
    <d v="1899-12-30T09:56:00"/>
    <d v="1899-12-30T17:37:00"/>
    <s v="Late"/>
    <s v="Morning"/>
    <s v="Remote"/>
    <n v="0"/>
  </r>
  <r>
    <s v="E1004"/>
    <s v="Employee_4"/>
    <x v="3"/>
    <d v="2024-02-20T00:00:00"/>
    <x v="5"/>
    <n v="2024"/>
    <n v="0"/>
    <n v="0"/>
    <m/>
    <m/>
    <s v="Absent"/>
    <s v="Morning"/>
    <s v="Office"/>
    <n v="0"/>
  </r>
  <r>
    <s v="E1018"/>
    <s v="Employee_18"/>
    <x v="1"/>
    <d v="2024-03-07T00:00:00"/>
    <x v="0"/>
    <n v="2024"/>
    <n v="0"/>
    <n v="0"/>
    <m/>
    <m/>
    <s v="Absent"/>
    <s v="Evening"/>
    <s v="Remote"/>
    <n v="0"/>
  </r>
  <r>
    <s v="E1042"/>
    <s v="Employee_42"/>
    <x v="0"/>
    <d v="2024-10-02T00:00:00"/>
    <x v="7"/>
    <n v="2024"/>
    <n v="0"/>
    <n v="0"/>
    <m/>
    <m/>
    <s v="Absent"/>
    <s v="Morning"/>
    <s v="Remote"/>
    <n v="0"/>
  </r>
  <r>
    <s v="E1040"/>
    <s v="Employee_40"/>
    <x v="0"/>
    <d v="2024-03-02T00:00:00"/>
    <x v="0"/>
    <n v="2024"/>
    <n v="1"/>
    <n v="0"/>
    <d v="1899-12-30T11:13:00"/>
    <d v="1899-12-30T17:26:00"/>
    <s v="Work From Home"/>
    <s v="Morning"/>
    <s v="Office"/>
    <n v="0"/>
  </r>
  <r>
    <s v="E1020"/>
    <s v="Employee_20"/>
    <x v="4"/>
    <d v="2024-09-01T00:00:00"/>
    <x v="3"/>
    <n v="2024"/>
    <n v="1"/>
    <n v="0"/>
    <d v="1899-12-30T08:41:00"/>
    <d v="1899-12-30T20:01:00"/>
    <s v="Work From Home"/>
    <s v="Morning"/>
    <s v="Office"/>
    <n v="0"/>
  </r>
  <r>
    <s v="E1034"/>
    <s v="Employee_34"/>
    <x v="1"/>
    <d v="2024-09-01T00:00:00"/>
    <x v="3"/>
    <n v="2024"/>
    <n v="1"/>
    <n v="1"/>
    <d v="1899-12-30T08:35:00"/>
    <d v="1899-12-30T19:27:00"/>
    <s v="Late"/>
    <s v="Evening"/>
    <s v="Remote"/>
    <n v="0"/>
  </r>
  <r>
    <s v="E1050"/>
    <s v="Employee_50"/>
    <x v="4"/>
    <d v="2024-06-01T00:00:00"/>
    <x v="11"/>
    <n v="2024"/>
    <n v="1"/>
    <n v="0"/>
    <d v="1899-12-30T09:17:00"/>
    <d v="1899-12-30T17:21:00"/>
    <s v="Work From Home"/>
    <s v="Morning"/>
    <s v="Office"/>
    <n v="0"/>
  </r>
  <r>
    <s v="E1037"/>
    <s v="Employee_37"/>
    <x v="0"/>
    <d v="2024-03-18T00:00:00"/>
    <x v="0"/>
    <n v="2024"/>
    <n v="1"/>
    <n v="1"/>
    <d v="1899-12-30T09:55:00"/>
    <d v="1899-12-30T18:44:00"/>
    <s v="Late"/>
    <s v="Morning"/>
    <s v="Remote"/>
    <n v="0"/>
  </r>
  <r>
    <s v="E1039"/>
    <s v="Employee_39"/>
    <x v="0"/>
    <d v="2024-02-03T00:00:00"/>
    <x v="5"/>
    <n v="2024"/>
    <n v="0"/>
    <n v="0"/>
    <m/>
    <m/>
    <s v="Absent"/>
    <s v="Evening"/>
    <s v="Office"/>
    <n v="0"/>
  </r>
  <r>
    <s v="E1008"/>
    <s v="Employee_8"/>
    <x v="4"/>
    <d v="2024-01-15T00:00:00"/>
    <x v="2"/>
    <n v="2024"/>
    <n v="1"/>
    <n v="1"/>
    <d v="1899-12-30T11:17:00"/>
    <d v="1899-12-30T16:30:00"/>
    <s v="Late"/>
    <s v="Morning"/>
    <s v="Remote"/>
    <n v="0"/>
  </r>
  <r>
    <s v="E1000"/>
    <s v="Employee_0"/>
    <x v="2"/>
    <d v="2024-01-03T00:00:00"/>
    <x v="2"/>
    <n v="2024"/>
    <n v="1"/>
    <n v="0"/>
    <d v="1899-12-30T08:45:00"/>
    <d v="1899-12-30T20:47:00"/>
    <s v="Present"/>
    <s v="Evening"/>
    <s v="Office"/>
    <n v="0"/>
  </r>
  <r>
    <s v="E1000"/>
    <s v="Employee_0"/>
    <x v="0"/>
    <d v="2024-02-02T00:00:00"/>
    <x v="5"/>
    <n v="2024"/>
    <n v="1"/>
    <n v="0"/>
    <d v="1899-12-30T10:00:00"/>
    <d v="1899-12-30T20:21:00"/>
    <s v="Present"/>
    <s v="Evening"/>
    <s v="Remote"/>
    <n v="0"/>
  </r>
  <r>
    <s v="E1052"/>
    <s v="Employee_52"/>
    <x v="1"/>
    <d v="2024-03-03T00:00:00"/>
    <x v="0"/>
    <n v="2024"/>
    <n v="0"/>
    <n v="0"/>
    <m/>
    <m/>
    <s v="Absent"/>
    <s v="Morning"/>
    <s v="Office"/>
    <n v="0"/>
  </r>
  <r>
    <s v="E1002"/>
    <s v="Employee_2"/>
    <x v="4"/>
    <d v="2024-02-23T00:00:00"/>
    <x v="5"/>
    <n v="2024"/>
    <n v="1"/>
    <n v="0"/>
    <d v="1899-12-30T10:38:00"/>
    <d v="1899-12-30T17:52:00"/>
    <s v="Work From Home"/>
    <s v="Morning"/>
    <s v="Office"/>
    <n v="0"/>
  </r>
  <r>
    <s v="E1044"/>
    <s v="Employee_44"/>
    <x v="4"/>
    <d v="2024-01-01T00:00:00"/>
    <x v="2"/>
    <n v="2024"/>
    <n v="1"/>
    <n v="0"/>
    <d v="1899-12-30T09:47:00"/>
    <d v="1899-12-30T19:28:00"/>
    <s v="Present"/>
    <s v="Morning"/>
    <s v="Office"/>
    <n v="0"/>
  </r>
  <r>
    <s v="E1041"/>
    <s v="Employee_41"/>
    <x v="0"/>
    <d v="2024-03-18T00:00:00"/>
    <x v="0"/>
    <n v="2024"/>
    <n v="1"/>
    <n v="0"/>
    <d v="1899-12-30T09:14:00"/>
    <d v="1899-12-30T20:21:00"/>
    <s v="Work From Home"/>
    <s v="Morning"/>
    <s v="Remote"/>
    <n v="0"/>
  </r>
  <r>
    <s v="E1047"/>
    <s v="Employee_47"/>
    <x v="0"/>
    <d v="2024-10-02T00:00:00"/>
    <x v="7"/>
    <n v="2024"/>
    <n v="1"/>
    <n v="0"/>
    <d v="1899-12-30T11:53:00"/>
    <d v="1899-12-30T16:15:00"/>
    <s v="Present"/>
    <s v="Morning"/>
    <s v="Office"/>
    <n v="0"/>
  </r>
  <r>
    <s v="E1041"/>
    <s v="Employee_41"/>
    <x v="4"/>
    <d v="2024-02-01T00:00:00"/>
    <x v="5"/>
    <n v="2024"/>
    <n v="1"/>
    <n v="1"/>
    <d v="1899-12-30T11:42:00"/>
    <d v="1899-12-30T16:10:00"/>
    <s v="Late"/>
    <s v="Evening"/>
    <s v="Remote"/>
    <n v="0"/>
  </r>
  <r>
    <s v="E1059"/>
    <s v="Employee_59"/>
    <x v="2"/>
    <d v="2024-03-29T00:00:00"/>
    <x v="0"/>
    <n v="2024"/>
    <n v="0"/>
    <n v="0"/>
    <m/>
    <m/>
    <s v="Absent"/>
    <s v="Morning"/>
    <s v="Office"/>
    <n v="0"/>
  </r>
  <r>
    <s v="E1051"/>
    <s v="Employee_51"/>
    <x v="3"/>
    <d v="2024-01-20T00:00:00"/>
    <x v="2"/>
    <n v="2024"/>
    <n v="1"/>
    <n v="0"/>
    <d v="1899-12-30T10:01:00"/>
    <d v="1899-12-30T17:02:00"/>
    <s v="Work From Home"/>
    <s v="Morning"/>
    <s v="Remote"/>
    <n v="0"/>
  </r>
  <r>
    <s v="E1025"/>
    <s v="Employee_25"/>
    <x v="2"/>
    <d v="2024-02-21T00:00:00"/>
    <x v="5"/>
    <n v="2024"/>
    <n v="1"/>
    <n v="0"/>
    <d v="1899-12-30T11:46:00"/>
    <d v="1899-12-30T17:32:00"/>
    <s v="Present"/>
    <s v="Evening"/>
    <s v="Remote"/>
    <n v="0"/>
  </r>
  <r>
    <s v="E1035"/>
    <s v="Employee_35"/>
    <x v="2"/>
    <d v="2024-03-24T00:00:00"/>
    <x v="0"/>
    <n v="2024"/>
    <n v="1"/>
    <n v="0"/>
    <d v="1899-12-30T08:15:00"/>
    <d v="1899-12-30T19:28:00"/>
    <s v="Present"/>
    <s v="Morning"/>
    <s v="Office"/>
    <n v="0"/>
  </r>
  <r>
    <s v="E1018"/>
    <s v="Employee_18"/>
    <x v="3"/>
    <d v="2024-03-20T00:00:00"/>
    <x v="0"/>
    <n v="2024"/>
    <n v="1"/>
    <n v="0"/>
    <d v="1899-12-30T10:25:00"/>
    <d v="1899-12-30T18:35:00"/>
    <s v="Work From Home"/>
    <s v="Morning"/>
    <s v="Office"/>
    <n v="0"/>
  </r>
  <r>
    <s v="E1052"/>
    <s v="Employee_52"/>
    <x v="2"/>
    <d v="2024-03-23T00:00:00"/>
    <x v="0"/>
    <n v="2024"/>
    <n v="0"/>
    <n v="0"/>
    <m/>
    <m/>
    <s v="Absent"/>
    <s v="Morning"/>
    <s v="Remote"/>
    <n v="0"/>
  </r>
  <r>
    <s v="E1048"/>
    <s v="Employee_48"/>
    <x v="3"/>
    <d v="2024-03-19T00:00:00"/>
    <x v="0"/>
    <n v="2024"/>
    <n v="1"/>
    <n v="0"/>
    <d v="1899-12-30T09:12:00"/>
    <d v="1899-12-30T20:28:00"/>
    <s v="Work From Home"/>
    <s v="Evening"/>
    <s v="Office"/>
    <n v="0"/>
  </r>
  <r>
    <s v="E1046"/>
    <s v="Employee_46"/>
    <x v="2"/>
    <d v="2024-01-03T00:00:00"/>
    <x v="2"/>
    <n v="2024"/>
    <n v="1"/>
    <n v="1"/>
    <d v="1899-12-30T11:52:00"/>
    <d v="1899-12-30T19:51:00"/>
    <s v="Late"/>
    <s v="Morning"/>
    <s v="Remote"/>
    <n v="0"/>
  </r>
  <r>
    <s v="E1033"/>
    <s v="Employee_33"/>
    <x v="0"/>
    <d v="2024-06-02T00:00:00"/>
    <x v="11"/>
    <n v="2024"/>
    <n v="1"/>
    <n v="1"/>
    <d v="1899-12-30T08:03:00"/>
    <d v="1899-12-30T17:49:00"/>
    <s v="Late"/>
    <s v="Evening"/>
    <s v="Office"/>
    <n v="0"/>
  </r>
  <r>
    <s v="E1036"/>
    <s v="Employee_36"/>
    <x v="0"/>
    <d v="2024-11-03T00:00:00"/>
    <x v="1"/>
    <n v="2024"/>
    <n v="1"/>
    <n v="1"/>
    <d v="1899-12-30T11:03:00"/>
    <d v="1899-12-30T19:50:00"/>
    <s v="Late"/>
    <s v="Morning"/>
    <s v="Office"/>
    <n v="0"/>
  </r>
  <r>
    <s v="E1054"/>
    <s v="Employee_54"/>
    <x v="1"/>
    <d v="2024-02-22T00:00:00"/>
    <x v="5"/>
    <n v="2024"/>
    <n v="1"/>
    <n v="0"/>
    <d v="1899-12-30T11:11:00"/>
    <d v="1899-12-30T18:17:00"/>
    <s v="Present"/>
    <s v="Morning"/>
    <s v="Remote"/>
    <n v="0"/>
  </r>
  <r>
    <s v="E1006"/>
    <s v="Employee_6"/>
    <x v="4"/>
    <d v="2024-02-19T00:00:00"/>
    <x v="5"/>
    <n v="2024"/>
    <n v="1"/>
    <n v="0"/>
    <d v="1899-12-30T11:19:00"/>
    <d v="1899-12-30T17:46:00"/>
    <s v="Work From Home"/>
    <s v="Morning"/>
    <s v="Office"/>
    <n v="0"/>
  </r>
  <r>
    <s v="E1027"/>
    <s v="Employee_27"/>
    <x v="4"/>
    <d v="2024-01-04T00:00:00"/>
    <x v="2"/>
    <n v="2024"/>
    <n v="0"/>
    <n v="0"/>
    <m/>
    <m/>
    <s v="Absent"/>
    <s v="Morning"/>
    <s v="Office"/>
    <n v="0"/>
  </r>
  <r>
    <s v="E1021"/>
    <s v="Employee_21"/>
    <x v="2"/>
    <d v="2024-01-31T00:00:00"/>
    <x v="2"/>
    <n v="2024"/>
    <n v="1"/>
    <n v="0"/>
    <d v="1899-12-30T10:57:00"/>
    <d v="1899-12-30T19:28:00"/>
    <s v="Present"/>
    <s v="Evening"/>
    <s v="Remote"/>
    <n v="0"/>
  </r>
  <r>
    <s v="E1039"/>
    <s v="Employee_39"/>
    <x v="0"/>
    <d v="2024-03-19T00:00:00"/>
    <x v="0"/>
    <n v="2024"/>
    <n v="1"/>
    <n v="0"/>
    <d v="1899-12-30T09:38:00"/>
    <d v="1899-12-30T17:07:00"/>
    <s v="Present"/>
    <s v="Morning"/>
    <s v="Office"/>
    <n v="0"/>
  </r>
  <r>
    <s v="E1000"/>
    <s v="Employee_0"/>
    <x v="4"/>
    <d v="2024-03-09T00:00:00"/>
    <x v="0"/>
    <n v="2024"/>
    <n v="1"/>
    <n v="0"/>
    <d v="1899-12-30T08:06:00"/>
    <d v="1899-12-30T18:34:00"/>
    <s v="Work From Home"/>
    <s v="Evening"/>
    <s v="Office"/>
    <n v="0"/>
  </r>
  <r>
    <s v="E1058"/>
    <s v="Employee_58"/>
    <x v="0"/>
    <d v="2024-03-30T00:00:00"/>
    <x v="0"/>
    <n v="2024"/>
    <n v="0"/>
    <n v="0"/>
    <m/>
    <m/>
    <s v="Absent"/>
    <s v="Evening"/>
    <s v="Office"/>
    <n v="0"/>
  </r>
  <r>
    <s v="E1044"/>
    <s v="Employee_44"/>
    <x v="4"/>
    <d v="2024-03-18T00:00:00"/>
    <x v="0"/>
    <n v="2024"/>
    <n v="1"/>
    <n v="0"/>
    <d v="1899-12-30T11:22:00"/>
    <d v="1899-12-30T16:25:00"/>
    <s v="Present"/>
    <s v="Evening"/>
    <s v="Office"/>
    <n v="0"/>
  </r>
  <r>
    <s v="E1024"/>
    <s v="Employee_24"/>
    <x v="2"/>
    <d v="2024-03-20T00:00:00"/>
    <x v="0"/>
    <n v="2024"/>
    <n v="1"/>
    <n v="0"/>
    <d v="1899-12-30T09:59:00"/>
    <d v="1899-12-30T20:45:00"/>
    <s v="Present"/>
    <s v="Evening"/>
    <s v="Remote"/>
    <n v="0"/>
  </r>
  <r>
    <s v="E1048"/>
    <s v="Employee_48"/>
    <x v="2"/>
    <d v="2024-02-27T00:00:00"/>
    <x v="5"/>
    <n v="2024"/>
    <n v="0"/>
    <n v="0"/>
    <m/>
    <m/>
    <s v="Absent"/>
    <s v="Morning"/>
    <s v="Office"/>
    <n v="0"/>
  </r>
  <r>
    <s v="E1002"/>
    <s v="Employee_2"/>
    <x v="1"/>
    <d v="2024-03-14T00:00:00"/>
    <x v="0"/>
    <n v="2024"/>
    <n v="1"/>
    <n v="1"/>
    <d v="1899-12-30T08:14:00"/>
    <d v="1899-12-30T18:58:00"/>
    <s v="Late"/>
    <s v="Morning"/>
    <s v="Remote"/>
    <n v="0"/>
  </r>
  <r>
    <s v="E1050"/>
    <s v="Employee_50"/>
    <x v="4"/>
    <d v="2024-01-16T00:00:00"/>
    <x v="2"/>
    <n v="2024"/>
    <n v="1"/>
    <n v="0"/>
    <d v="1899-12-30T09:01:00"/>
    <d v="1899-12-30T20:47:00"/>
    <s v="Present"/>
    <s v="Morning"/>
    <s v="Remote"/>
    <n v="0"/>
  </r>
  <r>
    <s v="E1001"/>
    <s v="Employee_1"/>
    <x v="1"/>
    <d v="2024-02-19T00:00:00"/>
    <x v="5"/>
    <n v="2024"/>
    <n v="1"/>
    <n v="0"/>
    <d v="1899-12-30T08:08:00"/>
    <d v="1899-12-30T19:16:00"/>
    <s v="Work From Home"/>
    <s v="Evening"/>
    <s v="Office"/>
    <n v="0"/>
  </r>
  <r>
    <s v="E1016"/>
    <s v="Employee_16"/>
    <x v="3"/>
    <d v="2024-03-24T00:00:00"/>
    <x v="0"/>
    <n v="2024"/>
    <n v="1"/>
    <n v="0"/>
    <d v="1899-12-30T09:49:00"/>
    <d v="1899-12-30T17:10:00"/>
    <s v="Work From Home"/>
    <s v="Evening"/>
    <s v="Office"/>
    <n v="0"/>
  </r>
  <r>
    <s v="E1021"/>
    <s v="Employee_21"/>
    <x v="0"/>
    <d v="2024-03-20T00:00:00"/>
    <x v="0"/>
    <n v="2024"/>
    <n v="1"/>
    <n v="0"/>
    <d v="1899-12-30T10:56:00"/>
    <d v="1899-12-30T18:23:00"/>
    <s v="Work From Home"/>
    <s v="Morning"/>
    <s v="Remote"/>
    <n v="0"/>
  </r>
  <r>
    <s v="E1003"/>
    <s v="Employee_3"/>
    <x v="3"/>
    <d v="2024-02-26T00:00:00"/>
    <x v="5"/>
    <n v="2024"/>
    <n v="1"/>
    <n v="0"/>
    <d v="1899-12-30T08:31:00"/>
    <d v="1899-12-30T20:18:00"/>
    <s v="Work From Home"/>
    <s v="Morning"/>
    <s v="Remote"/>
    <n v="0"/>
  </r>
  <r>
    <s v="E1043"/>
    <s v="Employee_43"/>
    <x v="2"/>
    <d v="2024-01-28T00:00:00"/>
    <x v="2"/>
    <n v="2024"/>
    <n v="1"/>
    <n v="1"/>
    <d v="1899-12-30T11:13:00"/>
    <d v="1899-12-30T18:01:00"/>
    <s v="Late"/>
    <s v="Morning"/>
    <s v="Office"/>
    <n v="0"/>
  </r>
  <r>
    <s v="E1050"/>
    <s v="Employee_50"/>
    <x v="0"/>
    <d v="2024-03-01T00:00:00"/>
    <x v="0"/>
    <n v="2024"/>
    <n v="1"/>
    <n v="0"/>
    <d v="1899-12-30T08:09:00"/>
    <d v="1899-12-30T19:38:00"/>
    <s v="Present"/>
    <s v="Evening"/>
    <s v="Office"/>
    <n v="0"/>
  </r>
  <r>
    <s v="E1005"/>
    <s v="Employee_5"/>
    <x v="1"/>
    <d v="2024-02-28T00:00:00"/>
    <x v="5"/>
    <n v="2024"/>
    <n v="1"/>
    <n v="1"/>
    <d v="1899-12-30T11:52:00"/>
    <d v="1899-12-30T16:13:00"/>
    <s v="Late"/>
    <s v="Morning"/>
    <s v="Office"/>
    <n v="0"/>
  </r>
  <r>
    <s v="E1050"/>
    <s v="Employee_50"/>
    <x v="1"/>
    <d v="2024-02-14T00:00:00"/>
    <x v="5"/>
    <n v="2024"/>
    <n v="1"/>
    <n v="1"/>
    <d v="1899-12-30T08:46:00"/>
    <d v="1899-12-30T20:03:00"/>
    <s v="Late"/>
    <s v="Evening"/>
    <s v="Office"/>
    <n v="0"/>
  </r>
  <r>
    <s v="E1056"/>
    <s v="Employee_56"/>
    <x v="4"/>
    <d v="2024-02-15T00:00:00"/>
    <x v="5"/>
    <n v="2024"/>
    <n v="0"/>
    <n v="0"/>
    <m/>
    <m/>
    <s v="Absent"/>
    <s v="Evening"/>
    <s v="Office"/>
    <n v="0"/>
  </r>
  <r>
    <s v="E1031"/>
    <s v="Employee_31"/>
    <x v="1"/>
    <d v="2024-01-29T00:00:00"/>
    <x v="2"/>
    <n v="2024"/>
    <n v="1"/>
    <n v="0"/>
    <d v="1899-12-30T11:47:00"/>
    <d v="1899-12-30T20:33:00"/>
    <s v="Present"/>
    <s v="Evening"/>
    <s v="Office"/>
    <n v="0"/>
  </r>
  <r>
    <s v="E1008"/>
    <s v="Employee_8"/>
    <x v="4"/>
    <d v="2024-09-02T00:00:00"/>
    <x v="3"/>
    <n v="2024"/>
    <n v="0"/>
    <n v="0"/>
    <m/>
    <m/>
    <s v="Absent"/>
    <s v="Evening"/>
    <s v="Office"/>
    <n v="0"/>
  </r>
  <r>
    <s v="E1059"/>
    <s v="Employee_59"/>
    <x v="1"/>
    <d v="2024-01-23T00:00:00"/>
    <x v="2"/>
    <n v="2024"/>
    <n v="1"/>
    <n v="0"/>
    <d v="1899-12-30T08:19:00"/>
    <d v="1899-12-30T20:18:00"/>
    <s v="Work From Home"/>
    <s v="Evening"/>
    <s v="Remote"/>
    <n v="0"/>
  </r>
  <r>
    <s v="E1053"/>
    <s v="Employee_53"/>
    <x v="2"/>
    <d v="2024-02-20T00:00:00"/>
    <x v="5"/>
    <n v="2024"/>
    <n v="1"/>
    <n v="0"/>
    <d v="1899-12-30T10:03:00"/>
    <d v="1899-12-30T16:56:00"/>
    <s v="Present"/>
    <s v="Morning"/>
    <s v="Office"/>
    <n v="0"/>
  </r>
  <r>
    <s v="E1026"/>
    <s v="Employee_26"/>
    <x v="4"/>
    <d v="2024-01-23T00:00:00"/>
    <x v="2"/>
    <n v="2024"/>
    <n v="1"/>
    <n v="1"/>
    <d v="1899-12-30T08:44:00"/>
    <d v="1899-12-30T17:49:00"/>
    <s v="Late"/>
    <s v="Morning"/>
    <s v="Office"/>
    <n v="0"/>
  </r>
  <r>
    <s v="E1031"/>
    <s v="Employee_31"/>
    <x v="1"/>
    <d v="2024-03-14T00:00:00"/>
    <x v="0"/>
    <n v="2024"/>
    <n v="1"/>
    <n v="0"/>
    <d v="1899-12-30T08:36:00"/>
    <d v="1899-12-30T18:58:00"/>
    <s v="Work From Home"/>
    <s v="Evening"/>
    <s v="Remote"/>
    <n v="0"/>
  </r>
  <r>
    <s v="E1004"/>
    <s v="Employee_4"/>
    <x v="4"/>
    <d v="2024-03-03T00:00:00"/>
    <x v="0"/>
    <n v="2024"/>
    <n v="1"/>
    <n v="0"/>
    <d v="1899-12-30T09:00:00"/>
    <d v="1899-12-30T20:15:00"/>
    <s v="Present"/>
    <s v="Morning"/>
    <s v="Office"/>
    <n v="0"/>
  </r>
  <r>
    <s v="E1037"/>
    <s v="Employee_37"/>
    <x v="0"/>
    <d v="2024-01-16T00:00:00"/>
    <x v="2"/>
    <n v="2024"/>
    <n v="1"/>
    <n v="0"/>
    <d v="1899-12-30T09:03:00"/>
    <d v="1899-12-30T17:13:00"/>
    <s v="Work From Home"/>
    <s v="Evening"/>
    <s v="Remote"/>
    <n v="0"/>
  </r>
  <r>
    <s v="E1001"/>
    <s v="Employee_1"/>
    <x v="4"/>
    <d v="2024-01-01T00:00:00"/>
    <x v="2"/>
    <n v="2024"/>
    <n v="1"/>
    <n v="0"/>
    <d v="1899-12-30T09:08:00"/>
    <d v="1899-12-30T16:47:00"/>
    <s v="Work From Home"/>
    <s v="Evening"/>
    <s v="Remote"/>
    <n v="0"/>
  </r>
  <r>
    <s v="E1026"/>
    <s v="Employee_26"/>
    <x v="0"/>
    <d v="2024-02-14T00:00:00"/>
    <x v="5"/>
    <n v="2024"/>
    <n v="0"/>
    <n v="0"/>
    <m/>
    <m/>
    <s v="Absent"/>
    <s v="Evening"/>
    <s v="Office"/>
    <n v="0"/>
  </r>
  <r>
    <s v="E1052"/>
    <s v="Employee_52"/>
    <x v="1"/>
    <d v="2024-11-03T00:00:00"/>
    <x v="1"/>
    <n v="2024"/>
    <n v="1"/>
    <n v="0"/>
    <d v="1899-12-30T11:09:00"/>
    <d v="1899-12-30T20:02:00"/>
    <s v="Present"/>
    <s v="Morning"/>
    <s v="Remote"/>
    <n v="0"/>
  </r>
  <r>
    <s v="E1030"/>
    <s v="Employee_30"/>
    <x v="1"/>
    <d v="2024-03-19T00:00:00"/>
    <x v="0"/>
    <n v="2024"/>
    <n v="1"/>
    <n v="0"/>
    <d v="1899-12-30T09:38:00"/>
    <d v="1899-12-30T19:21:00"/>
    <s v="Present"/>
    <s v="Morning"/>
    <s v="Office"/>
    <n v="0"/>
  </r>
  <r>
    <s v="E1051"/>
    <s v="Employee_51"/>
    <x v="2"/>
    <d v="2024-03-20T00:00:00"/>
    <x v="0"/>
    <n v="2024"/>
    <n v="1"/>
    <n v="1"/>
    <d v="1899-12-30T09:11:00"/>
    <d v="1899-12-30T16:27:00"/>
    <s v="Late"/>
    <s v="Morning"/>
    <s v="Remote"/>
    <n v="0"/>
  </r>
  <r>
    <s v="E1026"/>
    <s v="Employee_26"/>
    <x v="0"/>
    <d v="2024-03-19T00:00:00"/>
    <x v="0"/>
    <n v="2024"/>
    <n v="1"/>
    <n v="0"/>
    <d v="1899-12-30T09:31:00"/>
    <d v="1899-12-30T16:36:00"/>
    <s v="Work From Home"/>
    <s v="Morning"/>
    <s v="Office"/>
    <n v="0"/>
  </r>
  <r>
    <s v="E1024"/>
    <s v="Employee_24"/>
    <x v="0"/>
    <d v="2024-02-19T00:00:00"/>
    <x v="5"/>
    <n v="2024"/>
    <n v="1"/>
    <n v="0"/>
    <d v="1899-12-30T08:50:00"/>
    <d v="1899-12-30T17:12:00"/>
    <s v="Present"/>
    <s v="Morning"/>
    <s v="Office"/>
    <n v="0"/>
  </r>
  <r>
    <s v="E1014"/>
    <s v="Employee_14"/>
    <x v="2"/>
    <d v="2024-01-18T00:00:00"/>
    <x v="2"/>
    <n v="2024"/>
    <n v="1"/>
    <n v="0"/>
    <d v="1899-12-30T11:36:00"/>
    <d v="1899-12-30T16:34:00"/>
    <s v="Work From Home"/>
    <s v="Evening"/>
    <s v="Office"/>
    <n v="0"/>
  </r>
  <r>
    <s v="E1017"/>
    <s v="Employee_17"/>
    <x v="0"/>
    <d v="2024-02-03T00:00:00"/>
    <x v="5"/>
    <n v="2024"/>
    <n v="1"/>
    <n v="0"/>
    <d v="1899-12-30T09:36:00"/>
    <d v="1899-12-30T17:20:00"/>
    <s v="Work From Home"/>
    <s v="Morning"/>
    <s v="Remote"/>
    <n v="0"/>
  </r>
  <r>
    <s v="E1018"/>
    <s v="Employee_18"/>
    <x v="1"/>
    <d v="2024-03-23T00:00:00"/>
    <x v="0"/>
    <n v="2024"/>
    <n v="1"/>
    <n v="1"/>
    <d v="1899-12-30T09:29:00"/>
    <d v="1899-12-30T19:56:00"/>
    <s v="Late"/>
    <s v="Morning"/>
    <s v="Remote"/>
    <n v="0"/>
  </r>
  <r>
    <s v="E1024"/>
    <s v="Employee_24"/>
    <x v="2"/>
    <d v="2024-03-01T00:00:00"/>
    <x v="0"/>
    <n v="2024"/>
    <n v="0"/>
    <n v="0"/>
    <m/>
    <m/>
    <s v="Absent"/>
    <s v="Evening"/>
    <s v="Office"/>
    <n v="0"/>
  </r>
  <r>
    <s v="E1007"/>
    <s v="Employee_7"/>
    <x v="2"/>
    <d v="2024-03-26T00:00:00"/>
    <x v="0"/>
    <n v="2024"/>
    <n v="1"/>
    <n v="1"/>
    <d v="1899-12-30T11:13:00"/>
    <d v="1899-12-30T19:46:00"/>
    <s v="Late"/>
    <s v="Evening"/>
    <s v="Remote"/>
    <n v="0"/>
  </r>
  <r>
    <s v="E1019"/>
    <s v="Employee_19"/>
    <x v="3"/>
    <d v="2024-01-03T00:00:00"/>
    <x v="2"/>
    <n v="2024"/>
    <n v="1"/>
    <n v="0"/>
    <d v="1899-12-30T10:01:00"/>
    <d v="1899-12-30T17:08:00"/>
    <s v="Present"/>
    <s v="Evening"/>
    <s v="Office"/>
    <n v="0"/>
  </r>
  <r>
    <s v="E1054"/>
    <s v="Employee_54"/>
    <x v="2"/>
    <d v="2024-02-14T00:00:00"/>
    <x v="5"/>
    <n v="2024"/>
    <n v="1"/>
    <n v="0"/>
    <d v="1899-12-30T10:30:00"/>
    <d v="1899-12-30T17:19:00"/>
    <s v="Present"/>
    <s v="Evening"/>
    <s v="Office"/>
    <n v="0"/>
  </r>
  <r>
    <s v="E1002"/>
    <s v="Employee_2"/>
    <x v="4"/>
    <d v="2024-02-24T00:00:00"/>
    <x v="5"/>
    <n v="2024"/>
    <n v="1"/>
    <n v="0"/>
    <d v="1899-12-30T10:51:00"/>
    <d v="1899-12-30T20:42:00"/>
    <s v="Work From Home"/>
    <s v="Morning"/>
    <s v="Office"/>
    <n v="0"/>
  </r>
  <r>
    <s v="E1007"/>
    <s v="Employee_7"/>
    <x v="2"/>
    <d v="2024-02-24T00:00:00"/>
    <x v="5"/>
    <n v="2024"/>
    <n v="0"/>
    <n v="0"/>
    <m/>
    <m/>
    <s v="Absent"/>
    <s v="Morning"/>
    <s v="Office"/>
    <n v="0"/>
  </r>
  <r>
    <s v="E1025"/>
    <s v="Employee_25"/>
    <x v="2"/>
    <d v="2024-02-11T00:00:00"/>
    <x v="5"/>
    <n v="2024"/>
    <n v="1"/>
    <n v="1"/>
    <d v="1899-12-30T08:03:00"/>
    <d v="1899-12-30T19:46:00"/>
    <s v="Late"/>
    <s v="Morning"/>
    <s v="Remote"/>
    <n v="0"/>
  </r>
  <r>
    <s v="E1044"/>
    <s v="Employee_44"/>
    <x v="4"/>
    <d v="2024-03-15T00:00:00"/>
    <x v="0"/>
    <n v="2024"/>
    <n v="1"/>
    <n v="1"/>
    <d v="1899-12-30T08:10:00"/>
    <d v="1899-12-30T16:53:00"/>
    <s v="Late"/>
    <s v="Evening"/>
    <s v="Remote"/>
    <n v="0"/>
  </r>
  <r>
    <s v="E1027"/>
    <s v="Employee_27"/>
    <x v="1"/>
    <d v="2024-01-15T00:00:00"/>
    <x v="2"/>
    <n v="2024"/>
    <n v="1"/>
    <n v="0"/>
    <d v="1899-12-30T10:05:00"/>
    <d v="1899-12-30T18:14:00"/>
    <s v="Present"/>
    <s v="Evening"/>
    <s v="Office"/>
    <n v="0"/>
  </r>
  <r>
    <s v="E1035"/>
    <s v="Employee_35"/>
    <x v="3"/>
    <d v="2024-01-19T00:00:00"/>
    <x v="2"/>
    <n v="2024"/>
    <n v="1"/>
    <n v="0"/>
    <d v="1899-12-30T10:08:00"/>
    <d v="1899-12-30T19:42:00"/>
    <s v="Present"/>
    <s v="Evening"/>
    <s v="Remote"/>
    <n v="0"/>
  </r>
  <r>
    <s v="E1015"/>
    <s v="Employee_15"/>
    <x v="3"/>
    <d v="2024-02-22T00:00:00"/>
    <x v="5"/>
    <n v="2024"/>
    <n v="1"/>
    <n v="0"/>
    <d v="1899-12-30T09:09:00"/>
    <d v="1899-12-30T18:46:00"/>
    <s v="Present"/>
    <s v="Morning"/>
    <s v="Remote"/>
    <n v="0"/>
  </r>
  <r>
    <s v="E1044"/>
    <s v="Employee_44"/>
    <x v="1"/>
    <d v="2024-03-17T00:00:00"/>
    <x v="0"/>
    <n v="2024"/>
    <n v="1"/>
    <n v="1"/>
    <d v="1899-12-30T09:08:00"/>
    <d v="1899-12-30T20:15:00"/>
    <s v="Late"/>
    <s v="Evening"/>
    <s v="Remote"/>
    <n v="0"/>
  </r>
  <r>
    <s v="E1007"/>
    <s v="Employee_7"/>
    <x v="2"/>
    <d v="2024-08-02T00:00:00"/>
    <x v="9"/>
    <n v="2024"/>
    <n v="1"/>
    <n v="0"/>
    <d v="1899-12-30T11:52:00"/>
    <d v="1899-12-30T20:23:00"/>
    <s v="Present"/>
    <s v="Evening"/>
    <s v="Remote"/>
    <n v="0"/>
  </r>
  <r>
    <s v="E1048"/>
    <s v="Employee_48"/>
    <x v="3"/>
    <d v="2024-04-02T00:00:00"/>
    <x v="10"/>
    <n v="2024"/>
    <n v="1"/>
    <n v="0"/>
    <d v="1899-12-30T09:27:00"/>
    <d v="1899-12-30T16:55:00"/>
    <s v="Present"/>
    <s v="Evening"/>
    <s v="Remote"/>
    <n v="0"/>
  </r>
  <r>
    <s v="E1039"/>
    <s v="Employee_39"/>
    <x v="3"/>
    <d v="2024-02-04T00:00:00"/>
    <x v="5"/>
    <n v="2024"/>
    <n v="0"/>
    <n v="0"/>
    <m/>
    <m/>
    <s v="Absent"/>
    <s v="Evening"/>
    <s v="Remote"/>
    <n v="0"/>
  </r>
  <r>
    <s v="E1031"/>
    <s v="Employee_31"/>
    <x v="0"/>
    <d v="2024-02-02T00:00:00"/>
    <x v="5"/>
    <n v="2024"/>
    <n v="0"/>
    <n v="0"/>
    <m/>
    <m/>
    <s v="Absent"/>
    <s v="Evening"/>
    <s v="Remote"/>
    <n v="0"/>
  </r>
  <r>
    <s v="E1039"/>
    <s v="Employee_39"/>
    <x v="0"/>
    <d v="2024-10-03T00:00:00"/>
    <x v="7"/>
    <n v="2024"/>
    <n v="1"/>
    <n v="0"/>
    <d v="1899-12-30T11:42:00"/>
    <d v="1899-12-30T20:32:00"/>
    <s v="Present"/>
    <s v="Evening"/>
    <s v="Remote"/>
    <n v="0"/>
  </r>
  <r>
    <s v="E1024"/>
    <s v="Employee_24"/>
    <x v="1"/>
    <d v="2024-10-03T00:00:00"/>
    <x v="7"/>
    <n v="2024"/>
    <n v="0"/>
    <n v="0"/>
    <m/>
    <m/>
    <s v="Absent"/>
    <s v="Morning"/>
    <s v="Remote"/>
    <n v="0"/>
  </r>
  <r>
    <s v="E1005"/>
    <s v="Employee_5"/>
    <x v="2"/>
    <d v="2024-03-01T00:00:00"/>
    <x v="0"/>
    <n v="2024"/>
    <n v="0"/>
    <n v="0"/>
    <m/>
    <m/>
    <s v="Absent"/>
    <s v="Morning"/>
    <s v="Remote"/>
    <n v="0"/>
  </r>
  <r>
    <s v="E1009"/>
    <s v="Employee_9"/>
    <x v="0"/>
    <d v="2024-02-22T00:00:00"/>
    <x v="5"/>
    <n v="2024"/>
    <n v="1"/>
    <n v="1"/>
    <d v="1899-12-30T09:55:00"/>
    <d v="1899-12-30T16:35:00"/>
    <s v="Late"/>
    <s v="Evening"/>
    <s v="Office"/>
    <n v="0"/>
  </r>
  <r>
    <s v="E1052"/>
    <s v="Employee_52"/>
    <x v="3"/>
    <d v="2024-10-03T00:00:00"/>
    <x v="7"/>
    <n v="2024"/>
    <n v="0"/>
    <n v="0"/>
    <m/>
    <m/>
    <s v="Absent"/>
    <s v="Morning"/>
    <s v="Remote"/>
    <n v="0"/>
  </r>
  <r>
    <s v="E1012"/>
    <s v="Employee_12"/>
    <x v="2"/>
    <d v="2024-06-03T00:00:00"/>
    <x v="11"/>
    <n v="2024"/>
    <n v="0"/>
    <n v="0"/>
    <m/>
    <m/>
    <s v="Absent"/>
    <s v="Morning"/>
    <s v="Remote"/>
    <n v="0"/>
  </r>
  <r>
    <s v="E1040"/>
    <s v="Employee_40"/>
    <x v="3"/>
    <d v="2024-01-14T00:00:00"/>
    <x v="2"/>
    <n v="2024"/>
    <n v="1"/>
    <n v="0"/>
    <d v="1899-12-30T09:02:00"/>
    <d v="1899-12-30T19:40:00"/>
    <s v="Present"/>
    <s v="Evening"/>
    <s v="Remote"/>
    <n v="0"/>
  </r>
  <r>
    <s v="E1014"/>
    <s v="Employee_14"/>
    <x v="0"/>
    <d v="2024-01-09T00:00:00"/>
    <x v="2"/>
    <n v="2024"/>
    <n v="1"/>
    <n v="1"/>
    <d v="1899-12-30T08:14:00"/>
    <d v="1899-12-30T17:34:00"/>
    <s v="Late"/>
    <s v="Evening"/>
    <s v="Remote"/>
    <n v="0"/>
  </r>
  <r>
    <s v="E1042"/>
    <s v="Employee_42"/>
    <x v="2"/>
    <d v="2024-03-13T00:00:00"/>
    <x v="0"/>
    <n v="2024"/>
    <n v="0"/>
    <n v="0"/>
    <m/>
    <m/>
    <s v="Absent"/>
    <s v="Evening"/>
    <s v="Remote"/>
    <n v="0"/>
  </r>
  <r>
    <s v="E1029"/>
    <s v="Employee_29"/>
    <x v="0"/>
    <d v="2024-03-28T00:00:00"/>
    <x v="0"/>
    <n v="2024"/>
    <n v="1"/>
    <n v="0"/>
    <d v="1899-12-30T10:27:00"/>
    <d v="1899-12-30T19:48:00"/>
    <s v="Present"/>
    <s v="Morning"/>
    <s v="Remote"/>
    <n v="0"/>
  </r>
  <r>
    <s v="E1020"/>
    <s v="Employee_20"/>
    <x v="2"/>
    <d v="2024-02-17T00:00:00"/>
    <x v="5"/>
    <n v="2024"/>
    <n v="1"/>
    <n v="0"/>
    <d v="1899-12-30T10:22:00"/>
    <d v="1899-12-30T17:33:00"/>
    <s v="Present"/>
    <s v="Morning"/>
    <s v="Office"/>
    <n v="0"/>
  </r>
  <r>
    <s v="E1013"/>
    <s v="Employee_13"/>
    <x v="4"/>
    <d v="2024-03-28T00:00:00"/>
    <x v="0"/>
    <n v="2024"/>
    <n v="1"/>
    <n v="0"/>
    <d v="1899-12-30T09:40:00"/>
    <d v="1899-12-30T19:32:00"/>
    <s v="Work From Home"/>
    <s v="Evening"/>
    <s v="Office"/>
    <n v="0"/>
  </r>
  <r>
    <s v="E1044"/>
    <s v="Employee_44"/>
    <x v="0"/>
    <d v="2024-01-24T00:00:00"/>
    <x v="2"/>
    <n v="2024"/>
    <n v="1"/>
    <n v="1"/>
    <d v="1899-12-30T09:59:00"/>
    <d v="1899-12-30T20:37:00"/>
    <s v="Late"/>
    <s v="Evening"/>
    <s v="Office"/>
    <n v="0"/>
  </r>
  <r>
    <s v="E1021"/>
    <s v="Employee_21"/>
    <x v="2"/>
    <d v="2024-02-16T00:00:00"/>
    <x v="5"/>
    <n v="2024"/>
    <n v="1"/>
    <n v="1"/>
    <d v="1899-12-30T09:51:00"/>
    <d v="1899-12-30T16:54:00"/>
    <s v="Late"/>
    <s v="Morning"/>
    <s v="Office"/>
    <n v="0"/>
  </r>
  <r>
    <s v="E1022"/>
    <s v="Employee_22"/>
    <x v="0"/>
    <d v="2024-01-13T00:00:00"/>
    <x v="2"/>
    <n v="2024"/>
    <n v="1"/>
    <n v="0"/>
    <d v="1899-12-30T11:41:00"/>
    <d v="1899-12-30T17:17:00"/>
    <s v="Present"/>
    <s v="Evening"/>
    <s v="Remote"/>
    <n v="0"/>
  </r>
  <r>
    <s v="E1021"/>
    <s v="Employee_21"/>
    <x v="4"/>
    <d v="2024-01-23T00:00:00"/>
    <x v="2"/>
    <n v="2024"/>
    <n v="1"/>
    <n v="1"/>
    <d v="1899-12-30T11:45:00"/>
    <d v="1899-12-30T19:38:00"/>
    <s v="Late"/>
    <s v="Evening"/>
    <s v="Remote"/>
    <n v="0"/>
  </r>
  <r>
    <s v="E1054"/>
    <s v="Employee_54"/>
    <x v="4"/>
    <d v="2024-03-24T00:00:00"/>
    <x v="0"/>
    <n v="2024"/>
    <n v="1"/>
    <n v="0"/>
    <d v="1899-12-30T09:06:00"/>
    <d v="1899-12-30T18:22:00"/>
    <s v="Work From Home"/>
    <s v="Evening"/>
    <s v="Office"/>
    <n v="0"/>
  </r>
  <r>
    <s v="E1036"/>
    <s v="Employee_36"/>
    <x v="3"/>
    <d v="2024-03-15T00:00:00"/>
    <x v="0"/>
    <n v="2024"/>
    <n v="1"/>
    <n v="1"/>
    <d v="1899-12-30T11:28:00"/>
    <d v="1899-12-30T16:16:00"/>
    <s v="Late"/>
    <s v="Morning"/>
    <s v="Office"/>
    <n v="0"/>
  </r>
  <r>
    <s v="E1009"/>
    <s v="Employee_9"/>
    <x v="0"/>
    <d v="2024-02-19T00:00:00"/>
    <x v="5"/>
    <n v="2024"/>
    <n v="0"/>
    <n v="0"/>
    <m/>
    <m/>
    <s v="Absent"/>
    <s v="Morning"/>
    <s v="Office"/>
    <n v="0"/>
  </r>
  <r>
    <s v="E1025"/>
    <s v="Employee_25"/>
    <x v="3"/>
    <d v="2024-02-24T00:00:00"/>
    <x v="5"/>
    <n v="2024"/>
    <n v="0"/>
    <n v="0"/>
    <m/>
    <m/>
    <s v="Absent"/>
    <s v="Morning"/>
    <s v="Remote"/>
    <n v="0"/>
  </r>
  <r>
    <s v="E1023"/>
    <s v="Employee_23"/>
    <x v="1"/>
    <d v="2024-08-03T00:00:00"/>
    <x v="9"/>
    <n v="2024"/>
    <n v="0"/>
    <n v="0"/>
    <m/>
    <m/>
    <s v="Absent"/>
    <s v="Evening"/>
    <s v="Office"/>
    <n v="0"/>
  </r>
  <r>
    <s v="E1058"/>
    <s v="Employee_58"/>
    <x v="2"/>
    <d v="2024-01-17T00:00:00"/>
    <x v="2"/>
    <n v="2024"/>
    <n v="0"/>
    <n v="0"/>
    <m/>
    <m/>
    <s v="Absent"/>
    <s v="Evening"/>
    <s v="Remote"/>
    <n v="0"/>
  </r>
  <r>
    <s v="E1057"/>
    <s v="Employee_57"/>
    <x v="4"/>
    <d v="2024-10-03T00:00:00"/>
    <x v="7"/>
    <n v="2024"/>
    <n v="0"/>
    <n v="0"/>
    <m/>
    <m/>
    <s v="Absent"/>
    <s v="Morning"/>
    <s v="Office"/>
    <n v="0"/>
  </r>
  <r>
    <s v="E1023"/>
    <s v="Employee_23"/>
    <x v="4"/>
    <d v="2024-03-08T00:00:00"/>
    <x v="0"/>
    <n v="2024"/>
    <n v="0"/>
    <n v="0"/>
    <m/>
    <m/>
    <s v="Absent"/>
    <s v="Morning"/>
    <s v="Office"/>
    <n v="0"/>
  </r>
  <r>
    <s v="E1007"/>
    <s v="Employee_7"/>
    <x v="2"/>
    <d v="2024-02-07T00:00:00"/>
    <x v="5"/>
    <n v="2024"/>
    <n v="1"/>
    <n v="0"/>
    <d v="1899-12-30T10:36:00"/>
    <d v="1899-12-30T19:29:00"/>
    <s v="Work From Home"/>
    <s v="Evening"/>
    <s v="Office"/>
    <n v="0"/>
  </r>
  <r>
    <s v="E1046"/>
    <s v="Employee_46"/>
    <x v="0"/>
    <d v="2024-02-05T00:00:00"/>
    <x v="5"/>
    <n v="2024"/>
    <n v="1"/>
    <n v="0"/>
    <d v="1899-12-30T08:34:00"/>
    <d v="1899-12-30T20:48:00"/>
    <s v="Work From Home"/>
    <s v="Morning"/>
    <s v="Remote"/>
    <n v="0"/>
  </r>
  <r>
    <s v="E1010"/>
    <s v="Employee_10"/>
    <x v="2"/>
    <d v="2024-03-27T00:00:00"/>
    <x v="0"/>
    <n v="2024"/>
    <n v="1"/>
    <n v="0"/>
    <d v="1899-12-30T09:12:00"/>
    <d v="1899-12-30T19:41:00"/>
    <s v="Present"/>
    <s v="Morning"/>
    <s v="Office"/>
    <n v="0"/>
  </r>
  <r>
    <s v="E1025"/>
    <s v="Employee_25"/>
    <x v="3"/>
    <d v="2024-01-15T00:00:00"/>
    <x v="2"/>
    <n v="2024"/>
    <n v="1"/>
    <n v="0"/>
    <d v="1899-12-30T10:54:00"/>
    <d v="1899-12-30T17:46:00"/>
    <s v="Work From Home"/>
    <s v="Morning"/>
    <s v="Remote"/>
    <n v="0"/>
  </r>
  <r>
    <s v="E1003"/>
    <s v="Employee_3"/>
    <x v="2"/>
    <d v="2024-01-22T00:00:00"/>
    <x v="2"/>
    <n v="2024"/>
    <n v="0"/>
    <n v="0"/>
    <m/>
    <m/>
    <s v="Absent"/>
    <s v="Morning"/>
    <s v="Remote"/>
    <n v="0"/>
  </r>
  <r>
    <s v="E1053"/>
    <s v="Employee_53"/>
    <x v="0"/>
    <d v="2024-02-02T00:00:00"/>
    <x v="5"/>
    <n v="2024"/>
    <n v="1"/>
    <n v="0"/>
    <d v="1899-12-30T08:45:00"/>
    <d v="1899-12-30T18:56:00"/>
    <s v="Work From Home"/>
    <s v="Evening"/>
    <s v="Office"/>
    <n v="0"/>
  </r>
  <r>
    <s v="E1052"/>
    <s v="Employee_52"/>
    <x v="0"/>
    <d v="2024-03-18T00:00:00"/>
    <x v="0"/>
    <n v="2024"/>
    <n v="0"/>
    <n v="0"/>
    <m/>
    <m/>
    <s v="Absent"/>
    <s v="Morning"/>
    <s v="Office"/>
    <n v="0"/>
  </r>
  <r>
    <s v="E1014"/>
    <s v="Employee_14"/>
    <x v="4"/>
    <d v="2024-02-27T00:00:00"/>
    <x v="5"/>
    <n v="2024"/>
    <n v="1"/>
    <n v="0"/>
    <d v="1899-12-30T09:12:00"/>
    <d v="1899-12-30T16:12:00"/>
    <s v="Present"/>
    <s v="Evening"/>
    <s v="Remote"/>
    <n v="0"/>
  </r>
  <r>
    <s v="E1028"/>
    <s v="Employee_28"/>
    <x v="2"/>
    <d v="2024-01-03T00:00:00"/>
    <x v="2"/>
    <n v="2024"/>
    <n v="1"/>
    <n v="0"/>
    <d v="1899-12-30T10:20:00"/>
    <d v="1899-12-30T16:23:00"/>
    <s v="Work From Home"/>
    <s v="Morning"/>
    <s v="Office"/>
    <n v="0"/>
  </r>
  <r>
    <s v="E1020"/>
    <s v="Employee_20"/>
    <x v="2"/>
    <d v="2024-08-01T00:00:00"/>
    <x v="9"/>
    <n v="2024"/>
    <n v="0"/>
    <n v="0"/>
    <m/>
    <m/>
    <s v="Absent"/>
    <s v="Evening"/>
    <s v="Office"/>
    <n v="0"/>
  </r>
  <r>
    <s v="E1045"/>
    <s v="Employee_45"/>
    <x v="0"/>
    <d v="2024-01-05T00:00:00"/>
    <x v="2"/>
    <n v="2024"/>
    <n v="0"/>
    <n v="0"/>
    <m/>
    <m/>
    <s v="Absent"/>
    <s v="Morning"/>
    <s v="Office"/>
    <n v="0"/>
  </r>
  <r>
    <s v="E1017"/>
    <s v="Employee_17"/>
    <x v="0"/>
    <d v="2024-02-08T00:00:00"/>
    <x v="5"/>
    <n v="2024"/>
    <n v="1"/>
    <n v="1"/>
    <d v="1899-12-30T09:46:00"/>
    <d v="1899-12-30T18:17:00"/>
    <s v="Late"/>
    <s v="Evening"/>
    <s v="Office"/>
    <n v="0"/>
  </r>
  <r>
    <s v="E1020"/>
    <s v="Employee_20"/>
    <x v="3"/>
    <d v="2024-01-19T00:00:00"/>
    <x v="2"/>
    <n v="2024"/>
    <n v="1"/>
    <n v="0"/>
    <d v="1899-12-30T11:57:00"/>
    <d v="1899-12-30T19:36:00"/>
    <s v="Work From Home"/>
    <s v="Evening"/>
    <s v="Remote"/>
    <n v="0"/>
  </r>
  <r>
    <s v="E1035"/>
    <s v="Employee_35"/>
    <x v="3"/>
    <d v="2024-02-03T00:00:00"/>
    <x v="5"/>
    <n v="2024"/>
    <n v="0"/>
    <n v="0"/>
    <m/>
    <m/>
    <s v="Absent"/>
    <s v="Morning"/>
    <s v="Office"/>
    <n v="0"/>
  </r>
  <r>
    <s v="E1032"/>
    <s v="Employee_32"/>
    <x v="3"/>
    <d v="2024-02-27T00:00:00"/>
    <x v="5"/>
    <n v="2024"/>
    <n v="1"/>
    <n v="0"/>
    <d v="1899-12-30T10:46:00"/>
    <d v="1899-12-30T16:36:00"/>
    <s v="Work From Home"/>
    <s v="Morning"/>
    <s v="Remote"/>
    <n v="0"/>
  </r>
  <r>
    <s v="E1023"/>
    <s v="Employee_23"/>
    <x v="1"/>
    <d v="2024-02-24T00:00:00"/>
    <x v="5"/>
    <n v="2024"/>
    <n v="1"/>
    <n v="0"/>
    <d v="1899-12-30T08:44:00"/>
    <d v="1899-12-30T17:22:00"/>
    <s v="Work From Home"/>
    <s v="Morning"/>
    <s v="Office"/>
    <n v="0"/>
  </r>
  <r>
    <s v="E1046"/>
    <s v="Employee_46"/>
    <x v="4"/>
    <d v="2024-03-22T00:00:00"/>
    <x v="0"/>
    <n v="2024"/>
    <n v="0"/>
    <n v="0"/>
    <m/>
    <m/>
    <s v="Absent"/>
    <s v="Evening"/>
    <s v="Remote"/>
    <n v="0"/>
  </r>
  <r>
    <s v="E1046"/>
    <s v="Employee_46"/>
    <x v="2"/>
    <d v="2024-02-21T00:00:00"/>
    <x v="5"/>
    <n v="2024"/>
    <n v="1"/>
    <n v="0"/>
    <d v="1899-12-30T08:26:00"/>
    <d v="1899-12-30T18:30:00"/>
    <s v="Work From Home"/>
    <s v="Morning"/>
    <s v="Office"/>
    <n v="0"/>
  </r>
  <r>
    <s v="E1056"/>
    <s v="Employee_56"/>
    <x v="3"/>
    <d v="2024-12-03T00:00:00"/>
    <x v="8"/>
    <n v="2024"/>
    <n v="1"/>
    <n v="1"/>
    <d v="1899-12-30T11:15:00"/>
    <d v="1899-12-30T16:20:00"/>
    <s v="Late"/>
    <s v="Morning"/>
    <s v="Remote"/>
    <n v="0"/>
  </r>
  <r>
    <s v="E1044"/>
    <s v="Employee_44"/>
    <x v="0"/>
    <d v="2024-08-01T00:00:00"/>
    <x v="9"/>
    <n v="2024"/>
    <n v="0"/>
    <n v="0"/>
    <m/>
    <m/>
    <s v="Absent"/>
    <s v="Evening"/>
    <s v="Remote"/>
    <n v="0"/>
  </r>
  <r>
    <s v="E1006"/>
    <s v="Employee_6"/>
    <x v="4"/>
    <d v="2024-01-29T00:00:00"/>
    <x v="2"/>
    <n v="2024"/>
    <n v="1"/>
    <n v="0"/>
    <d v="1899-12-30T09:54:00"/>
    <d v="1899-12-30T19:53:00"/>
    <s v="Present"/>
    <s v="Evening"/>
    <s v="Remote"/>
    <n v="0"/>
  </r>
  <r>
    <s v="E1027"/>
    <s v="Employee_27"/>
    <x v="4"/>
    <d v="2024-03-26T00:00:00"/>
    <x v="0"/>
    <n v="2024"/>
    <n v="1"/>
    <n v="0"/>
    <d v="1899-12-30T08:09:00"/>
    <d v="1899-12-30T17:27:00"/>
    <s v="Present"/>
    <s v="Morning"/>
    <s v="Remote"/>
    <n v="0"/>
  </r>
  <r>
    <s v="E1025"/>
    <s v="Employee_25"/>
    <x v="0"/>
    <d v="2024-03-23T00:00:00"/>
    <x v="0"/>
    <n v="2024"/>
    <n v="1"/>
    <n v="1"/>
    <d v="1899-12-30T10:23:00"/>
    <d v="1899-12-30T18:50:00"/>
    <s v="Late"/>
    <s v="Evening"/>
    <s v="Remote"/>
    <n v="0"/>
  </r>
  <r>
    <s v="E1025"/>
    <s v="Employee_25"/>
    <x v="0"/>
    <d v="2024-03-02T00:00:00"/>
    <x v="0"/>
    <n v="2024"/>
    <n v="1"/>
    <n v="0"/>
    <d v="1899-12-30T08:25:00"/>
    <d v="1899-12-30T20:27:00"/>
    <s v="Work From Home"/>
    <s v="Morning"/>
    <s v="Office"/>
    <n v="0"/>
  </r>
  <r>
    <s v="E1026"/>
    <s v="Employee_26"/>
    <x v="0"/>
    <d v="2024-07-01T00:00:00"/>
    <x v="4"/>
    <n v="2024"/>
    <n v="1"/>
    <n v="0"/>
    <d v="1899-12-30T11:14:00"/>
    <d v="1899-12-30T19:23:00"/>
    <s v="Work From Home"/>
    <s v="Evening"/>
    <s v="Remote"/>
    <n v="0"/>
  </r>
  <r>
    <s v="E1039"/>
    <s v="Employee_39"/>
    <x v="0"/>
    <d v="2024-02-10T00:00:00"/>
    <x v="5"/>
    <n v="2024"/>
    <n v="1"/>
    <n v="0"/>
    <d v="1899-12-30T08:29:00"/>
    <d v="1899-12-30T20:11:00"/>
    <s v="Present"/>
    <s v="Morning"/>
    <s v="Remote"/>
    <n v="0"/>
  </r>
  <r>
    <s v="E1016"/>
    <s v="Employee_16"/>
    <x v="4"/>
    <d v="2024-04-01T00:00:00"/>
    <x v="10"/>
    <n v="2024"/>
    <n v="1"/>
    <n v="1"/>
    <d v="1899-12-30T08:17:00"/>
    <d v="1899-12-30T19:24:00"/>
    <s v="Late"/>
    <s v="Evening"/>
    <s v="Office"/>
    <n v="0"/>
  </r>
  <r>
    <s v="E1023"/>
    <s v="Employee_23"/>
    <x v="0"/>
    <d v="2024-02-14T00:00:00"/>
    <x v="5"/>
    <n v="2024"/>
    <n v="1"/>
    <n v="0"/>
    <d v="1899-12-30T09:43:00"/>
    <d v="1899-12-30T17:45:00"/>
    <s v="Work From Home"/>
    <s v="Evening"/>
    <s v="Office"/>
    <n v="0"/>
  </r>
  <r>
    <s v="E1025"/>
    <s v="Employee_25"/>
    <x v="2"/>
    <d v="2024-02-05T00:00:00"/>
    <x v="5"/>
    <n v="2024"/>
    <n v="0"/>
    <n v="0"/>
    <m/>
    <m/>
    <s v="Absent"/>
    <s v="Morning"/>
    <s v="Remote"/>
    <n v="0"/>
  </r>
  <r>
    <s v="E1020"/>
    <s v="Employee_20"/>
    <x v="4"/>
    <d v="2024-01-03T00:00:00"/>
    <x v="2"/>
    <n v="2024"/>
    <n v="0"/>
    <n v="0"/>
    <m/>
    <m/>
    <s v="Absent"/>
    <s v="Evening"/>
    <s v="Office"/>
    <n v="0"/>
  </r>
  <r>
    <s v="E1001"/>
    <s v="Employee_1"/>
    <x v="0"/>
    <d v="2024-02-27T00:00:00"/>
    <x v="5"/>
    <n v="2024"/>
    <n v="1"/>
    <n v="0"/>
    <d v="1899-12-30T10:39:00"/>
    <d v="1899-12-30T18:33:00"/>
    <s v="Work From Home"/>
    <s v="Evening"/>
    <s v="Remote"/>
    <n v="0"/>
  </r>
  <r>
    <s v="E1051"/>
    <s v="Employee_51"/>
    <x v="1"/>
    <d v="2024-03-29T00:00:00"/>
    <x v="0"/>
    <n v="2024"/>
    <n v="0"/>
    <n v="0"/>
    <m/>
    <m/>
    <s v="Absent"/>
    <s v="Morning"/>
    <s v="Office"/>
    <n v="0"/>
  </r>
  <r>
    <s v="E1002"/>
    <s v="Employee_2"/>
    <x v="0"/>
    <d v="2024-03-28T00:00:00"/>
    <x v="0"/>
    <n v="2024"/>
    <n v="1"/>
    <n v="0"/>
    <d v="1899-12-30T09:10:00"/>
    <d v="1899-12-30T18:38:00"/>
    <s v="Work From Home"/>
    <s v="Morning"/>
    <s v="Remote"/>
    <n v="0"/>
  </r>
  <r>
    <s v="E1038"/>
    <s v="Employee_38"/>
    <x v="3"/>
    <d v="2024-01-18T00:00:00"/>
    <x v="2"/>
    <n v="2024"/>
    <n v="1"/>
    <n v="0"/>
    <d v="1899-12-30T08:05:00"/>
    <d v="1899-12-30T20:57:00"/>
    <s v="Present"/>
    <s v="Evening"/>
    <s v="Office"/>
    <n v="0"/>
  </r>
  <r>
    <s v="E1005"/>
    <s v="Employee_5"/>
    <x v="3"/>
    <d v="2024-01-09T00:00:00"/>
    <x v="2"/>
    <n v="2024"/>
    <n v="1"/>
    <n v="0"/>
    <d v="1899-12-30T09:20:00"/>
    <d v="1899-12-30T17:07:00"/>
    <s v="Present"/>
    <s v="Morning"/>
    <s v="Office"/>
    <n v="0"/>
  </r>
  <r>
    <s v="E1038"/>
    <s v="Employee_38"/>
    <x v="1"/>
    <d v="2024-01-31T00:00:00"/>
    <x v="2"/>
    <n v="2024"/>
    <n v="1"/>
    <n v="0"/>
    <d v="1899-12-30T08:20:00"/>
    <d v="1899-12-30T18:20:00"/>
    <s v="Present"/>
    <s v="Evening"/>
    <s v="Remote"/>
    <n v="0"/>
  </r>
  <r>
    <s v="E1008"/>
    <s v="Employee_8"/>
    <x v="0"/>
    <d v="2024-11-01T00:00:00"/>
    <x v="1"/>
    <n v="2024"/>
    <n v="1"/>
    <n v="0"/>
    <d v="1899-12-30T08:10:00"/>
    <d v="1899-12-30T19:22:00"/>
    <s v="Present"/>
    <s v="Evening"/>
    <s v="Office"/>
    <n v="0"/>
  </r>
  <r>
    <s v="E1050"/>
    <s v="Employee_50"/>
    <x v="2"/>
    <d v="2024-03-25T00:00:00"/>
    <x v="0"/>
    <n v="2024"/>
    <n v="1"/>
    <n v="1"/>
    <d v="1899-12-30T10:17:00"/>
    <d v="1899-12-30T20:28:00"/>
    <s v="Late"/>
    <s v="Morning"/>
    <s v="Office"/>
    <n v="0"/>
  </r>
  <r>
    <s v="E1018"/>
    <s v="Employee_18"/>
    <x v="0"/>
    <d v="2024-02-07T00:00:00"/>
    <x v="5"/>
    <n v="2024"/>
    <n v="1"/>
    <n v="0"/>
    <d v="1899-12-30T11:24:00"/>
    <d v="1899-12-30T20:35:00"/>
    <s v="Work From Home"/>
    <s v="Morning"/>
    <s v="Remote"/>
    <n v="0"/>
  </r>
  <r>
    <s v="E1031"/>
    <s v="Employee_31"/>
    <x v="2"/>
    <d v="2024-01-26T00:00:00"/>
    <x v="2"/>
    <n v="2024"/>
    <n v="1"/>
    <n v="1"/>
    <d v="1899-12-30T10:18:00"/>
    <d v="1899-12-30T20:19:00"/>
    <s v="Late"/>
    <s v="Morning"/>
    <s v="Office"/>
    <n v="0"/>
  </r>
  <r>
    <s v="E1022"/>
    <s v="Employee_22"/>
    <x v="3"/>
    <d v="2024-04-03T00:00:00"/>
    <x v="10"/>
    <n v="2024"/>
    <n v="1"/>
    <n v="0"/>
    <d v="1899-12-30T08:03:00"/>
    <d v="1899-12-30T20:43:00"/>
    <s v="Work From Home"/>
    <s v="Morning"/>
    <s v="Remote"/>
    <n v="0"/>
  </r>
  <r>
    <s v="E1041"/>
    <s v="Employee_41"/>
    <x v="3"/>
    <d v="2024-01-11T00:00:00"/>
    <x v="2"/>
    <n v="2024"/>
    <n v="1"/>
    <n v="0"/>
    <d v="1899-12-30T08:44:00"/>
    <d v="1899-12-30T19:25:00"/>
    <s v="Work From Home"/>
    <s v="Evening"/>
    <s v="Office"/>
    <n v="0"/>
  </r>
  <r>
    <s v="E1025"/>
    <s v="Employee_25"/>
    <x v="2"/>
    <d v="2024-01-17T00:00:00"/>
    <x v="2"/>
    <n v="2024"/>
    <n v="1"/>
    <n v="0"/>
    <d v="1899-12-30T09:29:00"/>
    <d v="1899-12-30T17:35:00"/>
    <s v="Work From Home"/>
    <s v="Morning"/>
    <s v="Office"/>
    <n v="0"/>
  </r>
  <r>
    <s v="E1021"/>
    <s v="Employee_21"/>
    <x v="3"/>
    <d v="2024-03-26T00:00:00"/>
    <x v="0"/>
    <n v="2024"/>
    <n v="0"/>
    <n v="0"/>
    <m/>
    <m/>
    <s v="Absent"/>
    <s v="Evening"/>
    <s v="Office"/>
    <n v="0"/>
  </r>
  <r>
    <s v="E1017"/>
    <s v="Employee_17"/>
    <x v="2"/>
    <d v="2024-01-23T00:00:00"/>
    <x v="2"/>
    <n v="2024"/>
    <n v="0"/>
    <n v="0"/>
    <m/>
    <m/>
    <s v="Absent"/>
    <s v="Morning"/>
    <s v="Remote"/>
    <n v="0"/>
  </r>
  <r>
    <s v="E1008"/>
    <s v="Employee_8"/>
    <x v="4"/>
    <d v="2024-12-02T00:00:00"/>
    <x v="8"/>
    <n v="2024"/>
    <n v="1"/>
    <n v="0"/>
    <d v="1899-12-30T10:15:00"/>
    <d v="1899-12-30T16:11:00"/>
    <s v="Work From Home"/>
    <s v="Evening"/>
    <s v="Remote"/>
    <n v="0"/>
  </r>
  <r>
    <s v="E1039"/>
    <s v="Employee_39"/>
    <x v="1"/>
    <d v="2024-02-23T00:00:00"/>
    <x v="5"/>
    <n v="2024"/>
    <n v="1"/>
    <n v="0"/>
    <d v="1899-12-30T08:57:00"/>
    <d v="1899-12-30T19:50:00"/>
    <s v="Present"/>
    <s v="Morning"/>
    <s v="Remote"/>
    <n v="0"/>
  </r>
  <r>
    <s v="E1043"/>
    <s v="Employee_43"/>
    <x v="4"/>
    <d v="2024-12-01T00:00:00"/>
    <x v="8"/>
    <n v="2024"/>
    <n v="1"/>
    <n v="1"/>
    <d v="1899-12-30T08:02:00"/>
    <d v="1899-12-30T19:11:00"/>
    <s v="Late"/>
    <s v="Morning"/>
    <s v="Remote"/>
    <n v="0"/>
  </r>
  <r>
    <s v="E1054"/>
    <s v="Employee_54"/>
    <x v="4"/>
    <d v="2024-03-19T00:00:00"/>
    <x v="0"/>
    <n v="2024"/>
    <n v="1"/>
    <n v="1"/>
    <d v="1899-12-30T08:04:00"/>
    <d v="1899-12-30T20:40:00"/>
    <s v="Late"/>
    <s v="Morning"/>
    <s v="Office"/>
    <n v="0"/>
  </r>
  <r>
    <s v="E1026"/>
    <s v="Employee_26"/>
    <x v="4"/>
    <d v="2024-02-09T00:00:00"/>
    <x v="5"/>
    <n v="2024"/>
    <n v="0"/>
    <n v="0"/>
    <m/>
    <m/>
    <s v="Absent"/>
    <s v="Evening"/>
    <s v="Office"/>
    <n v="0"/>
  </r>
  <r>
    <s v="E1002"/>
    <s v="Employee_2"/>
    <x v="1"/>
    <d v="2024-01-02T00:00:00"/>
    <x v="2"/>
    <n v="2024"/>
    <n v="1"/>
    <n v="0"/>
    <d v="1899-12-30T08:03:00"/>
    <d v="1899-12-30T17:02:00"/>
    <s v="Present"/>
    <s v="Evening"/>
    <s v="Remote"/>
    <n v="0"/>
  </r>
  <r>
    <s v="E1028"/>
    <s v="Employee_28"/>
    <x v="2"/>
    <d v="2024-01-29T00:00:00"/>
    <x v="2"/>
    <n v="2024"/>
    <n v="1"/>
    <n v="0"/>
    <d v="1899-12-30T10:21:00"/>
    <d v="1899-12-30T19:05:00"/>
    <s v="Present"/>
    <s v="Evening"/>
    <s v="Office"/>
    <n v="0"/>
  </r>
  <r>
    <s v="E1022"/>
    <s v="Employee_22"/>
    <x v="1"/>
    <d v="2024-02-17T00:00:00"/>
    <x v="5"/>
    <n v="2024"/>
    <n v="1"/>
    <n v="0"/>
    <d v="1899-12-30T11:39:00"/>
    <d v="1899-12-30T17:13:00"/>
    <s v="Present"/>
    <s v="Morning"/>
    <s v="Office"/>
    <n v="0"/>
  </r>
  <r>
    <s v="E1005"/>
    <s v="Employee_5"/>
    <x v="3"/>
    <d v="2024-03-03T00:00:00"/>
    <x v="0"/>
    <n v="2024"/>
    <n v="0"/>
    <n v="0"/>
    <m/>
    <m/>
    <s v="Absent"/>
    <s v="Morning"/>
    <s v="Office"/>
    <n v="0"/>
  </r>
  <r>
    <s v="E1034"/>
    <s v="Employee_34"/>
    <x v="2"/>
    <d v="2024-02-25T00:00:00"/>
    <x v="5"/>
    <n v="2024"/>
    <n v="1"/>
    <n v="1"/>
    <d v="1899-12-30T10:17:00"/>
    <d v="1899-12-30T19:53:00"/>
    <s v="Late"/>
    <s v="Morning"/>
    <s v="Remote"/>
    <n v="0"/>
  </r>
  <r>
    <s v="E1039"/>
    <s v="Employee_39"/>
    <x v="1"/>
    <d v="2024-02-21T00:00:00"/>
    <x v="5"/>
    <n v="2024"/>
    <n v="1"/>
    <n v="1"/>
    <d v="1899-12-30T08:23:00"/>
    <d v="1899-12-30T20:51:00"/>
    <s v="Late"/>
    <s v="Evening"/>
    <s v="Office"/>
    <n v="0"/>
  </r>
  <r>
    <s v="E1038"/>
    <s v="Employee_38"/>
    <x v="3"/>
    <d v="2024-02-25T00:00:00"/>
    <x v="5"/>
    <n v="2024"/>
    <n v="1"/>
    <n v="0"/>
    <d v="1899-12-30T08:31:00"/>
    <d v="1899-12-30T16:49:00"/>
    <s v="Work From Home"/>
    <s v="Morning"/>
    <s v="Remote"/>
    <n v="0"/>
  </r>
  <r>
    <s v="E1012"/>
    <s v="Employee_12"/>
    <x v="2"/>
    <d v="2024-03-28T00:00:00"/>
    <x v="0"/>
    <n v="2024"/>
    <n v="0"/>
    <n v="0"/>
    <m/>
    <m/>
    <s v="Absent"/>
    <s v="Evening"/>
    <s v="Remote"/>
    <n v="0"/>
  </r>
  <r>
    <s v="E1046"/>
    <s v="Employee_46"/>
    <x v="4"/>
    <d v="2024-03-21T00:00:00"/>
    <x v="0"/>
    <n v="2024"/>
    <n v="0"/>
    <n v="0"/>
    <m/>
    <m/>
    <s v="Absent"/>
    <s v="Morning"/>
    <s v="Office"/>
    <n v="0"/>
  </r>
  <r>
    <s v="E1011"/>
    <s v="Employee_11"/>
    <x v="4"/>
    <d v="2024-01-01T00:00:00"/>
    <x v="2"/>
    <n v="2024"/>
    <n v="1"/>
    <n v="0"/>
    <d v="1899-12-30T09:12:00"/>
    <d v="1899-12-30T20:20:00"/>
    <s v="Present"/>
    <s v="Evening"/>
    <s v="Office"/>
    <n v="0"/>
  </r>
  <r>
    <s v="E1051"/>
    <s v="Employee_51"/>
    <x v="4"/>
    <d v="2024-02-17T00:00:00"/>
    <x v="5"/>
    <n v="2024"/>
    <n v="1"/>
    <n v="0"/>
    <d v="1899-12-30T08:42:00"/>
    <d v="1899-12-30T16:36:00"/>
    <s v="Present"/>
    <s v="Evening"/>
    <s v="Office"/>
    <n v="0"/>
  </r>
  <r>
    <s v="E1000"/>
    <s v="Employee_0"/>
    <x v="1"/>
    <d v="2024-04-01T00:00:00"/>
    <x v="10"/>
    <n v="2024"/>
    <n v="1"/>
    <n v="1"/>
    <d v="1899-12-30T09:20:00"/>
    <d v="1899-12-30T20:18:00"/>
    <s v="Late"/>
    <s v="Evening"/>
    <s v="Office"/>
    <n v="0"/>
  </r>
  <r>
    <s v="E1026"/>
    <s v="Employee_26"/>
    <x v="1"/>
    <d v="2024-01-20T00:00:00"/>
    <x v="2"/>
    <n v="2024"/>
    <n v="0"/>
    <n v="0"/>
    <m/>
    <m/>
    <s v="Absent"/>
    <s v="Morning"/>
    <s v="Remote"/>
    <n v="0"/>
  </r>
  <r>
    <s v="E1020"/>
    <s v="Employee_20"/>
    <x v="4"/>
    <d v="2024-03-30T00:00:00"/>
    <x v="0"/>
    <n v="2024"/>
    <n v="1"/>
    <n v="0"/>
    <d v="1899-12-30T08:06:00"/>
    <d v="1899-12-30T20:45:00"/>
    <s v="Work From Home"/>
    <s v="Morning"/>
    <s v="Office"/>
    <n v="0"/>
  </r>
  <r>
    <s v="E1019"/>
    <s v="Employee_19"/>
    <x v="4"/>
    <d v="2024-10-01T00:00:00"/>
    <x v="7"/>
    <n v="2024"/>
    <n v="1"/>
    <n v="0"/>
    <d v="1899-12-30T10:44:00"/>
    <d v="1899-12-30T16:13:00"/>
    <s v="Present"/>
    <s v="Morning"/>
    <s v="Remote"/>
    <n v="0"/>
  </r>
  <r>
    <s v="E1018"/>
    <s v="Employee_18"/>
    <x v="1"/>
    <d v="2024-01-15T00:00:00"/>
    <x v="2"/>
    <n v="2024"/>
    <n v="1"/>
    <n v="0"/>
    <d v="1899-12-30T09:51:00"/>
    <d v="1899-12-30T19:26:00"/>
    <s v="Work From Home"/>
    <s v="Morning"/>
    <s v="Office"/>
    <n v="0"/>
  </r>
  <r>
    <s v="E1027"/>
    <s v="Employee_27"/>
    <x v="4"/>
    <d v="2024-02-03T00:00:00"/>
    <x v="5"/>
    <n v="2024"/>
    <n v="0"/>
    <n v="0"/>
    <m/>
    <m/>
    <s v="Absent"/>
    <s v="Evening"/>
    <s v="Remote"/>
    <n v="0"/>
  </r>
  <r>
    <s v="E1000"/>
    <s v="Employee_0"/>
    <x v="0"/>
    <d v="2024-03-17T00:00:00"/>
    <x v="0"/>
    <n v="2024"/>
    <n v="1"/>
    <n v="1"/>
    <d v="1899-12-30T11:02:00"/>
    <d v="1899-12-30T17:22:00"/>
    <s v="Late"/>
    <s v="Evening"/>
    <s v="Remote"/>
    <n v="0"/>
  </r>
  <r>
    <s v="E1046"/>
    <s v="Employee_46"/>
    <x v="2"/>
    <d v="2024-10-01T00:00:00"/>
    <x v="7"/>
    <n v="2024"/>
    <n v="1"/>
    <n v="1"/>
    <d v="1899-12-30T11:34:00"/>
    <d v="1899-12-30T16:33:00"/>
    <s v="Late"/>
    <s v="Evening"/>
    <s v="Office"/>
    <n v="0"/>
  </r>
  <r>
    <s v="E1023"/>
    <s v="Employee_23"/>
    <x v="3"/>
    <d v="2024-09-03T00:00:00"/>
    <x v="3"/>
    <n v="2024"/>
    <n v="1"/>
    <n v="1"/>
    <d v="1899-12-30T10:48:00"/>
    <d v="1899-12-30T16:11:00"/>
    <s v="Late"/>
    <s v="Morning"/>
    <s v="Remote"/>
    <n v="0"/>
  </r>
  <r>
    <s v="E1045"/>
    <s v="Employee_45"/>
    <x v="0"/>
    <d v="2024-01-09T00:00:00"/>
    <x v="2"/>
    <n v="2024"/>
    <n v="1"/>
    <n v="1"/>
    <d v="1899-12-30T09:54:00"/>
    <d v="1899-12-30T19:08:00"/>
    <s v="Late"/>
    <s v="Evening"/>
    <s v="Office"/>
    <n v="0"/>
  </r>
  <r>
    <s v="E1006"/>
    <s v="Employee_6"/>
    <x v="0"/>
    <d v="2024-03-13T00:00:00"/>
    <x v="0"/>
    <n v="2024"/>
    <n v="1"/>
    <n v="0"/>
    <d v="1899-12-30T10:09:00"/>
    <d v="1899-12-30T17:54:00"/>
    <s v="Work From Home"/>
    <s v="Evening"/>
    <s v="Office"/>
    <n v="0"/>
  </r>
  <r>
    <s v="E1005"/>
    <s v="Employee_5"/>
    <x v="4"/>
    <d v="2024-02-21T00:00:00"/>
    <x v="5"/>
    <n v="2024"/>
    <n v="0"/>
    <n v="0"/>
    <m/>
    <m/>
    <s v="Absent"/>
    <s v="Morning"/>
    <s v="Office"/>
    <n v="0"/>
  </r>
  <r>
    <s v="E1034"/>
    <s v="Employee_34"/>
    <x v="1"/>
    <d v="2024-01-28T00:00:00"/>
    <x v="2"/>
    <n v="2024"/>
    <n v="1"/>
    <n v="1"/>
    <d v="1899-12-30T11:46:00"/>
    <d v="1899-12-30T19:30:00"/>
    <s v="Late"/>
    <s v="Morning"/>
    <s v="Office"/>
    <n v="0"/>
  </r>
  <r>
    <s v="E1035"/>
    <s v="Employee_35"/>
    <x v="3"/>
    <d v="2024-01-11T00:00:00"/>
    <x v="2"/>
    <n v="2024"/>
    <n v="1"/>
    <n v="1"/>
    <d v="1899-12-30T09:18:00"/>
    <d v="1899-12-30T20:54:00"/>
    <s v="Late"/>
    <s v="Evening"/>
    <s v="Office"/>
    <n v="0"/>
  </r>
  <r>
    <s v="E1038"/>
    <s v="Employee_38"/>
    <x v="4"/>
    <d v="2024-02-19T00:00:00"/>
    <x v="5"/>
    <n v="2024"/>
    <n v="1"/>
    <n v="1"/>
    <d v="1899-12-30T11:48:00"/>
    <d v="1899-12-30T19:10:00"/>
    <s v="Late"/>
    <s v="Evening"/>
    <s v="Remote"/>
    <n v="0"/>
  </r>
  <r>
    <s v="E1046"/>
    <s v="Employee_46"/>
    <x v="0"/>
    <d v="2024-06-03T00:00:00"/>
    <x v="11"/>
    <n v="2024"/>
    <n v="1"/>
    <n v="0"/>
    <d v="1899-12-30T10:28:00"/>
    <d v="1899-12-30T19:50:00"/>
    <s v="Work From Home"/>
    <s v="Evening"/>
    <s v="Office"/>
    <n v="0"/>
  </r>
  <r>
    <s v="E1041"/>
    <s v="Employee_41"/>
    <x v="1"/>
    <d v="2024-01-10T00:00:00"/>
    <x v="2"/>
    <n v="2024"/>
    <n v="0"/>
    <n v="0"/>
    <m/>
    <m/>
    <s v="Absent"/>
    <s v="Evening"/>
    <s v="Remote"/>
    <n v="0"/>
  </r>
  <r>
    <s v="E1055"/>
    <s v="Employee_55"/>
    <x v="0"/>
    <d v="2024-03-27T00:00:00"/>
    <x v="0"/>
    <n v="2024"/>
    <n v="0"/>
    <n v="0"/>
    <m/>
    <m/>
    <s v="Absent"/>
    <s v="Morning"/>
    <s v="Office"/>
    <n v="0"/>
  </r>
  <r>
    <s v="E1032"/>
    <s v="Employee_32"/>
    <x v="2"/>
    <d v="2024-01-31T00:00:00"/>
    <x v="2"/>
    <n v="2024"/>
    <n v="1"/>
    <n v="1"/>
    <d v="1899-12-30T10:38:00"/>
    <d v="1899-12-30T19:28:00"/>
    <s v="Late"/>
    <s v="Evening"/>
    <s v="Office"/>
    <n v="0"/>
  </r>
  <r>
    <s v="E1057"/>
    <s v="Employee_57"/>
    <x v="2"/>
    <d v="2024-02-22T00:00:00"/>
    <x v="5"/>
    <n v="2024"/>
    <n v="1"/>
    <n v="0"/>
    <d v="1899-12-30T10:09:00"/>
    <d v="1899-12-30T19:50:00"/>
    <s v="Work From Home"/>
    <s v="Morning"/>
    <s v="Office"/>
    <n v="0"/>
  </r>
  <r>
    <s v="E1013"/>
    <s v="Employee_13"/>
    <x v="3"/>
    <d v="2024-05-03T00:00:00"/>
    <x v="6"/>
    <n v="2024"/>
    <n v="1"/>
    <n v="0"/>
    <d v="1899-12-30T10:48:00"/>
    <d v="1899-12-30T19:17:00"/>
    <s v="Work From Home"/>
    <s v="Evening"/>
    <s v="Office"/>
    <n v="0"/>
  </r>
  <r>
    <s v="E1051"/>
    <s v="Employee_51"/>
    <x v="3"/>
    <d v="2024-03-16T00:00:00"/>
    <x v="0"/>
    <n v="2024"/>
    <n v="0"/>
    <n v="0"/>
    <m/>
    <m/>
    <s v="Absent"/>
    <s v="Evening"/>
    <s v="Office"/>
    <n v="0"/>
  </r>
  <r>
    <s v="E1018"/>
    <s v="Employee_18"/>
    <x v="0"/>
    <d v="2024-03-24T00:00:00"/>
    <x v="0"/>
    <n v="2024"/>
    <n v="0"/>
    <n v="0"/>
    <m/>
    <m/>
    <s v="Absent"/>
    <s v="Evening"/>
    <s v="Office"/>
    <n v="0"/>
  </r>
  <r>
    <s v="E1034"/>
    <s v="Employee_34"/>
    <x v="4"/>
    <d v="2024-02-25T00:00:00"/>
    <x v="5"/>
    <n v="2024"/>
    <n v="1"/>
    <n v="0"/>
    <d v="1899-12-30T08:02:00"/>
    <d v="1899-12-30T16:54:00"/>
    <s v="Present"/>
    <s v="Evening"/>
    <s v="Office"/>
    <n v="0"/>
  </r>
  <r>
    <s v="E1013"/>
    <s v="Employee_13"/>
    <x v="0"/>
    <d v="2024-02-01T00:00:00"/>
    <x v="5"/>
    <n v="2024"/>
    <n v="0"/>
    <n v="0"/>
    <m/>
    <m/>
    <s v="Absent"/>
    <s v="Evening"/>
    <s v="Office"/>
    <n v="0"/>
  </r>
  <r>
    <s v="E1043"/>
    <s v="Employee_43"/>
    <x v="2"/>
    <d v="2024-01-27T00:00:00"/>
    <x v="2"/>
    <n v="2024"/>
    <n v="1"/>
    <n v="0"/>
    <d v="1899-12-30T11:09:00"/>
    <d v="1899-12-30T18:11:00"/>
    <s v="Work From Home"/>
    <s v="Evening"/>
    <s v="Remote"/>
    <n v="0"/>
  </r>
  <r>
    <s v="E1026"/>
    <s v="Employee_26"/>
    <x v="2"/>
    <d v="2024-02-18T00:00:00"/>
    <x v="5"/>
    <n v="2024"/>
    <n v="0"/>
    <n v="0"/>
    <m/>
    <m/>
    <s v="Absent"/>
    <s v="Morning"/>
    <s v="Office"/>
    <n v="0"/>
  </r>
  <r>
    <s v="E1052"/>
    <s v="Employee_52"/>
    <x v="2"/>
    <d v="2024-02-01T00:00:00"/>
    <x v="5"/>
    <n v="2024"/>
    <n v="1"/>
    <n v="1"/>
    <d v="1899-12-30T10:04:00"/>
    <d v="1899-12-30T18:23:00"/>
    <s v="Late"/>
    <s v="Morning"/>
    <s v="Remote"/>
    <n v="0"/>
  </r>
  <r>
    <s v="E1052"/>
    <s v="Employee_52"/>
    <x v="0"/>
    <d v="2024-01-18T00:00:00"/>
    <x v="2"/>
    <n v="2024"/>
    <n v="1"/>
    <n v="0"/>
    <d v="1899-12-30T11:31:00"/>
    <d v="1899-12-30T18:23:00"/>
    <s v="Work From Home"/>
    <s v="Morning"/>
    <s v="Office"/>
    <n v="0"/>
  </r>
  <r>
    <s v="E1012"/>
    <s v="Employee_12"/>
    <x v="3"/>
    <d v="2024-02-27T00:00:00"/>
    <x v="5"/>
    <n v="2024"/>
    <n v="1"/>
    <n v="1"/>
    <d v="1899-12-30T08:46:00"/>
    <d v="1899-12-30T18:58:00"/>
    <s v="Late"/>
    <s v="Evening"/>
    <s v="Office"/>
    <n v="0"/>
  </r>
  <r>
    <s v="E1011"/>
    <s v="Employee_11"/>
    <x v="2"/>
    <d v="2024-12-02T00:00:00"/>
    <x v="8"/>
    <n v="2024"/>
    <n v="1"/>
    <n v="0"/>
    <d v="1899-12-30T11:53:00"/>
    <d v="1899-12-30T19:36:00"/>
    <s v="Present"/>
    <s v="Evening"/>
    <s v="Remote"/>
    <n v="0"/>
  </r>
  <r>
    <s v="E1047"/>
    <s v="Employee_47"/>
    <x v="2"/>
    <d v="2024-04-01T00:00:00"/>
    <x v="10"/>
    <n v="2024"/>
    <n v="1"/>
    <n v="1"/>
    <d v="1899-12-30T10:49:00"/>
    <d v="1899-12-30T19:39:00"/>
    <s v="Late"/>
    <s v="Morning"/>
    <s v="Office"/>
    <n v="0"/>
  </r>
  <r>
    <s v="E1048"/>
    <s v="Employee_48"/>
    <x v="3"/>
    <d v="2024-11-03T00:00:00"/>
    <x v="1"/>
    <n v="2024"/>
    <n v="1"/>
    <n v="1"/>
    <d v="1899-12-30T10:53:00"/>
    <d v="1899-12-30T17:52:00"/>
    <s v="Late"/>
    <s v="Morning"/>
    <s v="Remote"/>
    <n v="0"/>
  </r>
  <r>
    <s v="E1014"/>
    <s v="Employee_14"/>
    <x v="4"/>
    <d v="2024-03-18T00:00:00"/>
    <x v="0"/>
    <n v="2024"/>
    <n v="1"/>
    <n v="0"/>
    <d v="1899-12-30T10:51:00"/>
    <d v="1899-12-30T18:04:00"/>
    <s v="Work From Home"/>
    <s v="Evening"/>
    <s v="Office"/>
    <n v="0"/>
  </r>
  <r>
    <s v="E1047"/>
    <s v="Employee_47"/>
    <x v="1"/>
    <d v="2024-01-16T00:00:00"/>
    <x v="2"/>
    <n v="2024"/>
    <n v="1"/>
    <n v="0"/>
    <d v="1899-12-30T11:54:00"/>
    <d v="1899-12-30T20:23:00"/>
    <s v="Work From Home"/>
    <s v="Evening"/>
    <s v="Office"/>
    <n v="0"/>
  </r>
  <r>
    <s v="E1054"/>
    <s v="Employee_54"/>
    <x v="3"/>
    <d v="2024-02-17T00:00:00"/>
    <x v="5"/>
    <n v="2024"/>
    <n v="1"/>
    <n v="0"/>
    <d v="1899-12-30T08:03:00"/>
    <d v="1899-12-30T17:41:00"/>
    <s v="Work From Home"/>
    <s v="Evening"/>
    <s v="Remote"/>
    <n v="0"/>
  </r>
  <r>
    <s v="E1004"/>
    <s v="Employee_4"/>
    <x v="0"/>
    <d v="2024-12-03T00:00:00"/>
    <x v="8"/>
    <n v="2024"/>
    <n v="1"/>
    <n v="0"/>
    <d v="1899-12-30T08:14:00"/>
    <d v="1899-12-30T19:47:00"/>
    <s v="Work From Home"/>
    <s v="Evening"/>
    <s v="Office"/>
    <n v="0"/>
  </r>
  <r>
    <s v="E1055"/>
    <s v="Employee_55"/>
    <x v="2"/>
    <d v="2024-03-30T00:00:00"/>
    <x v="0"/>
    <n v="2024"/>
    <n v="1"/>
    <n v="0"/>
    <d v="1899-12-30T11:25:00"/>
    <d v="1899-12-30T17:13:00"/>
    <s v="Present"/>
    <s v="Evening"/>
    <s v="Office"/>
    <n v="0"/>
  </r>
  <r>
    <s v="E1031"/>
    <s v="Employee_31"/>
    <x v="2"/>
    <d v="2024-10-03T00:00:00"/>
    <x v="7"/>
    <n v="2024"/>
    <n v="1"/>
    <n v="0"/>
    <d v="1899-12-30T11:40:00"/>
    <d v="1899-12-30T20:40:00"/>
    <s v="Present"/>
    <s v="Evening"/>
    <s v="Office"/>
    <n v="0"/>
  </r>
  <r>
    <s v="E1019"/>
    <s v="Employee_19"/>
    <x v="1"/>
    <d v="2024-12-03T00:00:00"/>
    <x v="8"/>
    <n v="2024"/>
    <n v="1"/>
    <n v="0"/>
    <d v="1899-12-30T11:10:00"/>
    <d v="1899-12-30T16:28:00"/>
    <s v="Present"/>
    <s v="Evening"/>
    <s v="Remote"/>
    <n v="0"/>
  </r>
  <r>
    <s v="E1014"/>
    <s v="Employee_14"/>
    <x v="0"/>
    <d v="2024-02-27T00:00:00"/>
    <x v="5"/>
    <n v="2024"/>
    <n v="1"/>
    <n v="0"/>
    <d v="1899-12-30T09:27:00"/>
    <d v="1899-12-30T18:13:00"/>
    <s v="Present"/>
    <s v="Morning"/>
    <s v="Office"/>
    <n v="0"/>
  </r>
  <r>
    <s v="E1021"/>
    <s v="Employee_21"/>
    <x v="2"/>
    <d v="2024-02-01T00:00:00"/>
    <x v="5"/>
    <n v="2024"/>
    <n v="1"/>
    <n v="1"/>
    <d v="1899-12-30T11:06:00"/>
    <d v="1899-12-30T17:11:00"/>
    <s v="Late"/>
    <s v="Morning"/>
    <s v="Remote"/>
    <n v="0"/>
  </r>
  <r>
    <s v="E1017"/>
    <s v="Employee_17"/>
    <x v="1"/>
    <d v="2024-03-17T00:00:00"/>
    <x v="0"/>
    <n v="2024"/>
    <n v="1"/>
    <n v="1"/>
    <d v="1899-12-30T10:33:00"/>
    <d v="1899-12-30T16:44:00"/>
    <s v="Late"/>
    <s v="Morning"/>
    <s v="Remote"/>
    <n v="0"/>
  </r>
  <r>
    <s v="E1015"/>
    <s v="Employee_15"/>
    <x v="1"/>
    <d v="2024-02-20T00:00:00"/>
    <x v="5"/>
    <n v="2024"/>
    <n v="1"/>
    <n v="1"/>
    <d v="1899-12-30T11:36:00"/>
    <d v="1899-12-30T19:05:00"/>
    <s v="Late"/>
    <s v="Morning"/>
    <s v="Office"/>
    <n v="0"/>
  </r>
  <r>
    <s v="E1022"/>
    <s v="Employee_22"/>
    <x v="1"/>
    <d v="2024-03-13T00:00:00"/>
    <x v="0"/>
    <n v="2024"/>
    <n v="1"/>
    <n v="0"/>
    <d v="1899-12-30T09:18:00"/>
    <d v="1899-12-30T17:50:00"/>
    <s v="Work From Home"/>
    <s v="Morning"/>
    <s v="Office"/>
    <n v="0"/>
  </r>
  <r>
    <s v="E1012"/>
    <s v="Employee_12"/>
    <x v="3"/>
    <d v="2024-03-28T00:00:00"/>
    <x v="0"/>
    <n v="2024"/>
    <n v="0"/>
    <n v="0"/>
    <m/>
    <m/>
    <s v="Absent"/>
    <s v="Evening"/>
    <s v="Remote"/>
    <n v="0"/>
  </r>
  <r>
    <s v="E1006"/>
    <s v="Employee_6"/>
    <x v="4"/>
    <d v="2024-10-03T00:00:00"/>
    <x v="7"/>
    <n v="2024"/>
    <n v="1"/>
    <n v="0"/>
    <d v="1899-12-30T11:22:00"/>
    <d v="1899-12-30T19:30:00"/>
    <s v="Work From Home"/>
    <s v="Evening"/>
    <s v="Remote"/>
    <n v="0"/>
  </r>
  <r>
    <s v="E1032"/>
    <s v="Employee_32"/>
    <x v="1"/>
    <d v="2024-03-09T00:00:00"/>
    <x v="0"/>
    <n v="2024"/>
    <n v="0"/>
    <n v="0"/>
    <m/>
    <m/>
    <s v="Absent"/>
    <s v="Morning"/>
    <s v="Office"/>
    <n v="0"/>
  </r>
  <r>
    <s v="E1024"/>
    <s v="Employee_24"/>
    <x v="4"/>
    <d v="2024-01-27T00:00:00"/>
    <x v="2"/>
    <n v="2024"/>
    <n v="1"/>
    <n v="1"/>
    <d v="1899-12-30T11:15:00"/>
    <d v="1899-12-30T16:58:00"/>
    <s v="Late"/>
    <s v="Morning"/>
    <s v="Remote"/>
    <n v="0"/>
  </r>
  <r>
    <s v="E1038"/>
    <s v="Employee_38"/>
    <x v="3"/>
    <d v="2024-10-03T00:00:00"/>
    <x v="7"/>
    <n v="2024"/>
    <n v="1"/>
    <n v="0"/>
    <d v="1899-12-30T10:08:00"/>
    <d v="1899-12-30T19:11:00"/>
    <s v="Work From Home"/>
    <s v="Morning"/>
    <s v="Remote"/>
    <n v="0"/>
  </r>
  <r>
    <s v="E1054"/>
    <s v="Employee_54"/>
    <x v="3"/>
    <d v="2024-01-17T00:00:00"/>
    <x v="2"/>
    <n v="2024"/>
    <n v="1"/>
    <n v="1"/>
    <d v="1899-12-30T10:35:00"/>
    <d v="1899-12-30T18:22:00"/>
    <s v="Late"/>
    <s v="Morning"/>
    <s v="Office"/>
    <n v="0"/>
  </r>
  <r>
    <s v="E1052"/>
    <s v="Employee_52"/>
    <x v="3"/>
    <d v="2024-03-14T00:00:00"/>
    <x v="0"/>
    <n v="2024"/>
    <n v="1"/>
    <n v="0"/>
    <d v="1899-12-30T10:49:00"/>
    <d v="1899-12-30T19:36:00"/>
    <s v="Present"/>
    <s v="Morning"/>
    <s v="Remote"/>
    <n v="0"/>
  </r>
  <r>
    <s v="E1042"/>
    <s v="Employee_42"/>
    <x v="1"/>
    <d v="2024-02-16T00:00:00"/>
    <x v="5"/>
    <n v="2024"/>
    <n v="1"/>
    <n v="0"/>
    <d v="1899-12-30T09:44:00"/>
    <d v="1899-12-30T20:16:00"/>
    <s v="Work From Home"/>
    <s v="Morning"/>
    <s v="Office"/>
    <n v="0"/>
  </r>
  <r>
    <s v="E1040"/>
    <s v="Employee_40"/>
    <x v="3"/>
    <d v="2024-03-08T00:00:00"/>
    <x v="0"/>
    <n v="2024"/>
    <n v="1"/>
    <n v="0"/>
    <d v="1899-12-30T10:40:00"/>
    <d v="1899-12-30T19:37:00"/>
    <s v="Work From Home"/>
    <s v="Evening"/>
    <s v="Remote"/>
    <n v="0"/>
  </r>
  <r>
    <s v="E1045"/>
    <s v="Employee_45"/>
    <x v="3"/>
    <d v="2024-02-02T00:00:00"/>
    <x v="5"/>
    <n v="2024"/>
    <n v="1"/>
    <n v="0"/>
    <d v="1899-12-30T09:39:00"/>
    <d v="1899-12-30T18:13:00"/>
    <s v="Work From Home"/>
    <s v="Evening"/>
    <s v="Remote"/>
    <n v="0"/>
  </r>
  <r>
    <s v="E1011"/>
    <s v="Employee_11"/>
    <x v="2"/>
    <d v="2024-10-02T00:00:00"/>
    <x v="7"/>
    <n v="2024"/>
    <n v="1"/>
    <n v="0"/>
    <d v="1899-12-30T10:24:00"/>
    <d v="1899-12-30T16:02:00"/>
    <s v="Work From Home"/>
    <s v="Evening"/>
    <s v="Office"/>
    <n v="0"/>
  </r>
  <r>
    <s v="E1017"/>
    <s v="Employee_17"/>
    <x v="3"/>
    <d v="2024-02-13T00:00:00"/>
    <x v="5"/>
    <n v="2024"/>
    <n v="1"/>
    <n v="1"/>
    <d v="1899-12-30T11:14:00"/>
    <d v="1899-12-30T19:39:00"/>
    <s v="Late"/>
    <s v="Morning"/>
    <s v="Office"/>
    <n v="0"/>
  </r>
  <r>
    <s v="E1025"/>
    <s v="Employee_25"/>
    <x v="4"/>
    <d v="2024-03-26T00:00:00"/>
    <x v="0"/>
    <n v="2024"/>
    <n v="0"/>
    <n v="0"/>
    <m/>
    <m/>
    <s v="Absent"/>
    <s v="Morning"/>
    <s v="Remote"/>
    <n v="0"/>
  </r>
  <r>
    <s v="E1010"/>
    <s v="Employee_10"/>
    <x v="2"/>
    <d v="2024-08-01T00:00:00"/>
    <x v="9"/>
    <n v="2024"/>
    <n v="1"/>
    <n v="0"/>
    <d v="1899-12-30T08:40:00"/>
    <d v="1899-12-30T18:58:00"/>
    <s v="Present"/>
    <s v="Evening"/>
    <s v="Remote"/>
    <n v="0"/>
  </r>
  <r>
    <s v="E1058"/>
    <s v="Employee_58"/>
    <x v="0"/>
    <d v="2024-02-16T00:00:00"/>
    <x v="5"/>
    <n v="2024"/>
    <n v="1"/>
    <n v="0"/>
    <d v="1899-12-30T10:52:00"/>
    <d v="1899-12-30T20:42:00"/>
    <s v="Work From Home"/>
    <s v="Evening"/>
    <s v="Remote"/>
    <n v="0"/>
  </r>
  <r>
    <s v="E1057"/>
    <s v="Employee_57"/>
    <x v="3"/>
    <d v="2024-03-01T00:00:00"/>
    <x v="0"/>
    <n v="2024"/>
    <n v="0"/>
    <n v="0"/>
    <m/>
    <m/>
    <s v="Absent"/>
    <s v="Evening"/>
    <s v="Office"/>
    <n v="0"/>
  </r>
  <r>
    <s v="E1018"/>
    <s v="Employee_18"/>
    <x v="2"/>
    <d v="2024-01-01T00:00:00"/>
    <x v="2"/>
    <n v="2024"/>
    <n v="1"/>
    <n v="0"/>
    <d v="1899-12-30T10:03:00"/>
    <d v="1899-12-30T20:43:00"/>
    <s v="Present"/>
    <s v="Morning"/>
    <s v="Remote"/>
    <n v="0"/>
  </r>
  <r>
    <s v="E1036"/>
    <s v="Employee_36"/>
    <x v="2"/>
    <d v="2024-03-01T00:00:00"/>
    <x v="0"/>
    <n v="2024"/>
    <n v="1"/>
    <n v="0"/>
    <d v="1899-12-30T09:47:00"/>
    <d v="1899-12-30T17:10:00"/>
    <s v="Work From Home"/>
    <s v="Morning"/>
    <s v="Remote"/>
    <n v="0"/>
  </r>
  <r>
    <s v="E1015"/>
    <s v="Employee_15"/>
    <x v="4"/>
    <d v="2024-02-02T00:00:00"/>
    <x v="5"/>
    <n v="2024"/>
    <n v="1"/>
    <n v="1"/>
    <d v="1899-12-30T08:29:00"/>
    <d v="1899-12-30T19:32:00"/>
    <s v="Late"/>
    <s v="Morning"/>
    <s v="Remote"/>
    <n v="0"/>
  </r>
  <r>
    <s v="E1018"/>
    <s v="Employee_18"/>
    <x v="2"/>
    <d v="2024-02-05T00:00:00"/>
    <x v="5"/>
    <n v="2024"/>
    <n v="1"/>
    <n v="1"/>
    <d v="1899-12-30T09:39:00"/>
    <d v="1899-12-30T19:20:00"/>
    <s v="Late"/>
    <s v="Morning"/>
    <s v="Office"/>
    <n v="0"/>
  </r>
  <r>
    <s v="E1059"/>
    <s v="Employee_59"/>
    <x v="4"/>
    <d v="2024-03-28T00:00:00"/>
    <x v="0"/>
    <n v="2024"/>
    <n v="1"/>
    <n v="1"/>
    <d v="1899-12-30T10:53:00"/>
    <d v="1899-12-30T19:49:00"/>
    <s v="Late"/>
    <s v="Morning"/>
    <s v="Office"/>
    <n v="0"/>
  </r>
  <r>
    <s v="E1011"/>
    <s v="Employee_11"/>
    <x v="1"/>
    <d v="2024-01-13T00:00:00"/>
    <x v="2"/>
    <n v="2024"/>
    <n v="1"/>
    <n v="0"/>
    <d v="1899-12-30T10:05:00"/>
    <d v="1899-12-30T20:36:00"/>
    <s v="Present"/>
    <s v="Evening"/>
    <s v="Remote"/>
    <n v="0"/>
  </r>
  <r>
    <s v="E1006"/>
    <s v="Employee_6"/>
    <x v="0"/>
    <d v="2024-02-17T00:00:00"/>
    <x v="5"/>
    <n v="2024"/>
    <n v="1"/>
    <n v="1"/>
    <d v="1899-12-30T09:16:00"/>
    <d v="1899-12-30T20:00:00"/>
    <s v="Late"/>
    <s v="Evening"/>
    <s v="Remote"/>
    <n v="0"/>
  </r>
  <r>
    <s v="E1029"/>
    <s v="Employee_29"/>
    <x v="1"/>
    <d v="2024-03-18T00:00:00"/>
    <x v="0"/>
    <n v="2024"/>
    <n v="1"/>
    <n v="0"/>
    <d v="1899-12-30T10:24:00"/>
    <d v="1899-12-30T17:41:00"/>
    <s v="Work From Home"/>
    <s v="Evening"/>
    <s v="Remote"/>
    <n v="0"/>
  </r>
  <r>
    <s v="E1014"/>
    <s v="Employee_14"/>
    <x v="2"/>
    <d v="2024-01-21T00:00:00"/>
    <x v="2"/>
    <n v="2024"/>
    <n v="1"/>
    <n v="0"/>
    <d v="1899-12-30T08:28:00"/>
    <d v="1899-12-30T16:53:00"/>
    <s v="Present"/>
    <s v="Evening"/>
    <s v="Office"/>
    <n v="0"/>
  </r>
  <r>
    <s v="E1055"/>
    <s v="Employee_55"/>
    <x v="0"/>
    <d v="2024-02-19T00:00:00"/>
    <x v="5"/>
    <n v="2024"/>
    <n v="0"/>
    <n v="0"/>
    <m/>
    <m/>
    <s v="Absent"/>
    <s v="Evening"/>
    <s v="Office"/>
    <n v="0"/>
  </r>
  <r>
    <s v="E1050"/>
    <s v="Employee_50"/>
    <x v="0"/>
    <d v="2024-11-03T00:00:00"/>
    <x v="1"/>
    <n v="2024"/>
    <n v="0"/>
    <n v="0"/>
    <m/>
    <m/>
    <s v="Absent"/>
    <s v="Evening"/>
    <s v="Remote"/>
    <n v="0"/>
  </r>
  <r>
    <s v="E1053"/>
    <s v="Employee_53"/>
    <x v="2"/>
    <d v="2024-01-28T00:00:00"/>
    <x v="2"/>
    <n v="2024"/>
    <n v="1"/>
    <n v="0"/>
    <d v="1899-12-30T09:04:00"/>
    <d v="1899-12-30T17:27:00"/>
    <s v="Present"/>
    <s v="Evening"/>
    <s v="Remote"/>
    <n v="0"/>
  </r>
  <r>
    <s v="E1031"/>
    <s v="Employee_31"/>
    <x v="3"/>
    <d v="2024-02-13T00:00:00"/>
    <x v="5"/>
    <n v="2024"/>
    <n v="1"/>
    <n v="1"/>
    <d v="1899-12-30T09:00:00"/>
    <d v="1899-12-30T16:26:00"/>
    <s v="Late"/>
    <s v="Morning"/>
    <s v="Remote"/>
    <n v="0"/>
  </r>
  <r>
    <s v="E1045"/>
    <s v="Employee_45"/>
    <x v="1"/>
    <d v="2024-01-22T00:00:00"/>
    <x v="2"/>
    <n v="2024"/>
    <n v="1"/>
    <n v="1"/>
    <d v="1899-12-30T10:20:00"/>
    <d v="1899-12-30T19:40:00"/>
    <s v="Late"/>
    <s v="Evening"/>
    <s v="Remote"/>
    <n v="0"/>
  </r>
  <r>
    <s v="E1007"/>
    <s v="Employee_7"/>
    <x v="3"/>
    <d v="2024-03-29T00:00:00"/>
    <x v="0"/>
    <n v="2024"/>
    <n v="1"/>
    <n v="0"/>
    <d v="1899-12-30T10:43:00"/>
    <d v="1899-12-30T19:46:00"/>
    <s v="Work From Home"/>
    <s v="Evening"/>
    <s v="Office"/>
    <n v="0"/>
  </r>
  <r>
    <s v="E1030"/>
    <s v="Employee_30"/>
    <x v="2"/>
    <d v="2024-03-27T00:00:00"/>
    <x v="0"/>
    <n v="2024"/>
    <n v="1"/>
    <n v="0"/>
    <d v="1899-12-30T08:45:00"/>
    <d v="1899-12-30T18:07:00"/>
    <s v="Present"/>
    <s v="Evening"/>
    <s v="Office"/>
    <n v="0"/>
  </r>
  <r>
    <s v="E1042"/>
    <s v="Employee_42"/>
    <x v="4"/>
    <d v="2024-02-12T00:00:00"/>
    <x v="5"/>
    <n v="2024"/>
    <n v="0"/>
    <n v="0"/>
    <m/>
    <m/>
    <s v="Absent"/>
    <s v="Morning"/>
    <s v="Remote"/>
    <n v="0"/>
  </r>
  <r>
    <s v="E1020"/>
    <s v="Employee_20"/>
    <x v="4"/>
    <d v="2024-06-03T00:00:00"/>
    <x v="11"/>
    <n v="2024"/>
    <n v="1"/>
    <n v="0"/>
    <d v="1899-12-30T10:35:00"/>
    <d v="1899-12-30T20:21:00"/>
    <s v="Present"/>
    <s v="Evening"/>
    <s v="Remote"/>
    <n v="0"/>
  </r>
  <r>
    <s v="E1011"/>
    <s v="Employee_11"/>
    <x v="2"/>
    <d v="2024-02-14T00:00:00"/>
    <x v="5"/>
    <n v="2024"/>
    <n v="0"/>
    <n v="0"/>
    <m/>
    <m/>
    <s v="Absent"/>
    <s v="Morning"/>
    <s v="Office"/>
    <n v="0"/>
  </r>
  <r>
    <s v="E1003"/>
    <s v="Employee_3"/>
    <x v="2"/>
    <d v="2024-01-30T00:00:00"/>
    <x v="2"/>
    <n v="2024"/>
    <n v="0"/>
    <n v="0"/>
    <m/>
    <m/>
    <s v="Absent"/>
    <s v="Evening"/>
    <s v="Office"/>
    <n v="0"/>
  </r>
  <r>
    <s v="E1015"/>
    <s v="Employee_15"/>
    <x v="3"/>
    <d v="2024-03-01T00:00:00"/>
    <x v="0"/>
    <n v="2024"/>
    <n v="1"/>
    <n v="1"/>
    <d v="1899-12-30T08:16:00"/>
    <d v="1899-12-30T18:25:00"/>
    <s v="Late"/>
    <s v="Evening"/>
    <s v="Remote"/>
    <n v="0"/>
  </r>
  <r>
    <s v="E1006"/>
    <s v="Employee_6"/>
    <x v="3"/>
    <d v="2024-01-25T00:00:00"/>
    <x v="2"/>
    <n v="2024"/>
    <n v="0"/>
    <n v="0"/>
    <m/>
    <m/>
    <s v="Absent"/>
    <s v="Evening"/>
    <s v="Office"/>
    <n v="0"/>
  </r>
  <r>
    <s v="E1032"/>
    <s v="Employee_32"/>
    <x v="2"/>
    <d v="2024-02-21T00:00:00"/>
    <x v="5"/>
    <n v="2024"/>
    <n v="0"/>
    <n v="0"/>
    <m/>
    <m/>
    <s v="Absent"/>
    <s v="Evening"/>
    <s v="Office"/>
    <n v="0"/>
  </r>
  <r>
    <s v="E1010"/>
    <s v="Employee_10"/>
    <x v="2"/>
    <d v="2024-12-03T00:00:00"/>
    <x v="8"/>
    <n v="2024"/>
    <n v="1"/>
    <n v="0"/>
    <d v="1899-12-30T11:43:00"/>
    <d v="1899-12-30T17:29:00"/>
    <s v="Present"/>
    <s v="Morning"/>
    <s v="Remote"/>
    <n v="0"/>
  </r>
  <r>
    <s v="E1002"/>
    <s v="Employee_2"/>
    <x v="0"/>
    <d v="2024-03-16T00:00:00"/>
    <x v="0"/>
    <n v="2024"/>
    <n v="1"/>
    <n v="0"/>
    <d v="1899-12-30T11:27:00"/>
    <d v="1899-12-30T18:31:00"/>
    <s v="Present"/>
    <s v="Morning"/>
    <s v="Office"/>
    <n v="0"/>
  </r>
  <r>
    <s v="E1019"/>
    <s v="Employee_19"/>
    <x v="1"/>
    <d v="2024-01-24T00:00:00"/>
    <x v="2"/>
    <n v="2024"/>
    <n v="1"/>
    <n v="0"/>
    <d v="1899-12-30T08:31:00"/>
    <d v="1899-12-30T18:41:00"/>
    <s v="Present"/>
    <s v="Morning"/>
    <s v="Office"/>
    <n v="0"/>
  </r>
  <r>
    <s v="E1007"/>
    <s v="Employee_7"/>
    <x v="0"/>
    <d v="2024-03-27T00:00:00"/>
    <x v="0"/>
    <n v="2024"/>
    <n v="1"/>
    <n v="0"/>
    <d v="1899-12-30T08:03:00"/>
    <d v="1899-12-30T17:26:00"/>
    <s v="Work From Home"/>
    <s v="Evening"/>
    <s v="Remote"/>
    <n v="0"/>
  </r>
  <r>
    <s v="E1003"/>
    <s v="Employee_3"/>
    <x v="1"/>
    <d v="2024-12-02T00:00:00"/>
    <x v="8"/>
    <n v="2024"/>
    <n v="1"/>
    <n v="0"/>
    <d v="1899-12-30T11:56:00"/>
    <d v="1899-12-30T17:02:00"/>
    <s v="Work From Home"/>
    <s v="Evening"/>
    <s v="Remote"/>
    <n v="0"/>
  </r>
  <r>
    <s v="E1019"/>
    <s v="Employee_19"/>
    <x v="3"/>
    <d v="2024-02-21T00:00:00"/>
    <x v="5"/>
    <n v="2024"/>
    <n v="0"/>
    <n v="0"/>
    <m/>
    <m/>
    <s v="Absent"/>
    <s v="Evening"/>
    <s v="Remote"/>
    <n v="0"/>
  </r>
  <r>
    <s v="E1021"/>
    <s v="Employee_21"/>
    <x v="3"/>
    <d v="2024-03-14T00:00:00"/>
    <x v="0"/>
    <n v="2024"/>
    <n v="1"/>
    <n v="1"/>
    <d v="1899-12-30T11:48:00"/>
    <d v="1899-12-30T16:20:00"/>
    <s v="Late"/>
    <s v="Morning"/>
    <s v="Remote"/>
    <n v="0"/>
  </r>
  <r>
    <s v="E1049"/>
    <s v="Employee_49"/>
    <x v="4"/>
    <d v="2024-03-25T00:00:00"/>
    <x v="0"/>
    <n v="2024"/>
    <n v="0"/>
    <n v="0"/>
    <m/>
    <m/>
    <s v="Absent"/>
    <s v="Evening"/>
    <s v="Office"/>
    <n v="0"/>
  </r>
  <r>
    <s v="E1036"/>
    <s v="Employee_36"/>
    <x v="0"/>
    <d v="2024-04-03T00:00:00"/>
    <x v="10"/>
    <n v="2024"/>
    <n v="1"/>
    <n v="1"/>
    <d v="1899-12-30T08:49:00"/>
    <d v="1899-12-30T18:00:00"/>
    <s v="Late"/>
    <s v="Evening"/>
    <s v="Remote"/>
    <n v="0"/>
  </r>
  <r>
    <s v="E1013"/>
    <s v="Employee_13"/>
    <x v="2"/>
    <d v="2024-03-15T00:00:00"/>
    <x v="0"/>
    <n v="2024"/>
    <n v="1"/>
    <n v="0"/>
    <d v="1899-12-30T10:29:00"/>
    <d v="1899-12-30T18:20:00"/>
    <s v="Work From Home"/>
    <s v="Evening"/>
    <s v="Office"/>
    <n v="0"/>
  </r>
  <r>
    <s v="E1059"/>
    <s v="Employee_59"/>
    <x v="0"/>
    <d v="2024-01-24T00:00:00"/>
    <x v="2"/>
    <n v="2024"/>
    <n v="1"/>
    <n v="0"/>
    <d v="1899-12-30T09:55:00"/>
    <d v="1899-12-30T17:18:00"/>
    <s v="Work From Home"/>
    <s v="Evening"/>
    <s v="Remote"/>
    <n v="0"/>
  </r>
  <r>
    <s v="E1001"/>
    <s v="Employee_1"/>
    <x v="3"/>
    <d v="2024-01-29T00:00:00"/>
    <x v="2"/>
    <n v="2024"/>
    <n v="1"/>
    <n v="1"/>
    <d v="1899-12-30T09:02:00"/>
    <d v="1899-12-30T19:41:00"/>
    <s v="Late"/>
    <s v="Morning"/>
    <s v="Remote"/>
    <n v="0"/>
  </r>
  <r>
    <s v="E1035"/>
    <s v="Employee_35"/>
    <x v="0"/>
    <d v="2024-02-03T00:00:00"/>
    <x v="5"/>
    <n v="2024"/>
    <n v="1"/>
    <n v="0"/>
    <d v="1899-12-30T11:20:00"/>
    <d v="1899-12-30T16:37:00"/>
    <s v="Work From Home"/>
    <s v="Morning"/>
    <s v="Remote"/>
    <n v="0"/>
  </r>
  <r>
    <s v="E1045"/>
    <s v="Employee_45"/>
    <x v="0"/>
    <d v="2024-02-13T00:00:00"/>
    <x v="5"/>
    <n v="2024"/>
    <n v="1"/>
    <n v="0"/>
    <d v="1899-12-30T11:42:00"/>
    <d v="1899-12-30T17:08:00"/>
    <s v="Present"/>
    <s v="Evening"/>
    <s v="Office"/>
    <n v="0"/>
  </r>
  <r>
    <s v="E1052"/>
    <s v="Employee_52"/>
    <x v="1"/>
    <d v="2024-01-19T00:00:00"/>
    <x v="2"/>
    <n v="2024"/>
    <n v="1"/>
    <n v="1"/>
    <d v="1899-12-30T10:04:00"/>
    <d v="1899-12-30T19:23:00"/>
    <s v="Late"/>
    <s v="Morning"/>
    <s v="Office"/>
    <n v="0"/>
  </r>
  <r>
    <s v="E1025"/>
    <s v="Employee_25"/>
    <x v="3"/>
    <d v="2024-02-03T00:00:00"/>
    <x v="5"/>
    <n v="2024"/>
    <n v="0"/>
    <n v="0"/>
    <m/>
    <m/>
    <s v="Absent"/>
    <s v="Evening"/>
    <s v="Office"/>
    <n v="0"/>
  </r>
  <r>
    <s v="E1059"/>
    <s v="Employee_59"/>
    <x v="4"/>
    <d v="2024-01-20T00:00:00"/>
    <x v="2"/>
    <n v="2024"/>
    <n v="1"/>
    <n v="0"/>
    <d v="1899-12-30T10:14:00"/>
    <d v="1899-12-30T19:51:00"/>
    <s v="Present"/>
    <s v="Morning"/>
    <s v="Office"/>
    <n v="0"/>
  </r>
  <r>
    <s v="E1045"/>
    <s v="Employee_45"/>
    <x v="1"/>
    <d v="2024-02-20T00:00:00"/>
    <x v="5"/>
    <n v="2024"/>
    <n v="1"/>
    <n v="0"/>
    <d v="1899-12-30T11:10:00"/>
    <d v="1899-12-30T17:43:00"/>
    <s v="Work From Home"/>
    <s v="Evening"/>
    <s v="Remote"/>
    <n v="0"/>
  </r>
  <r>
    <s v="E1033"/>
    <s v="Employee_33"/>
    <x v="1"/>
    <d v="2024-01-30T00:00:00"/>
    <x v="2"/>
    <n v="2024"/>
    <n v="1"/>
    <n v="0"/>
    <d v="1899-12-30T10:22:00"/>
    <d v="1899-12-30T17:44:00"/>
    <s v="Present"/>
    <s v="Evening"/>
    <s v="Remote"/>
    <n v="0"/>
  </r>
  <r>
    <s v="E1007"/>
    <s v="Employee_7"/>
    <x v="2"/>
    <d v="2024-09-02T00:00:00"/>
    <x v="3"/>
    <n v="2024"/>
    <n v="1"/>
    <n v="1"/>
    <d v="1899-12-30T11:02:00"/>
    <d v="1899-12-30T18:48:00"/>
    <s v="Late"/>
    <s v="Evening"/>
    <s v="Remote"/>
    <n v="0"/>
  </r>
  <r>
    <s v="E1021"/>
    <s v="Employee_21"/>
    <x v="3"/>
    <d v="2024-01-28T00:00:00"/>
    <x v="2"/>
    <n v="2024"/>
    <n v="1"/>
    <n v="0"/>
    <d v="1899-12-30T09:05:00"/>
    <d v="1899-12-30T16:16:00"/>
    <s v="Work From Home"/>
    <s v="Evening"/>
    <s v="Remote"/>
    <n v="0"/>
  </r>
  <r>
    <s v="E1034"/>
    <s v="Employee_34"/>
    <x v="0"/>
    <d v="2024-01-14T00:00:00"/>
    <x v="2"/>
    <n v="2024"/>
    <n v="1"/>
    <n v="1"/>
    <d v="1899-12-30T09:43:00"/>
    <d v="1899-12-30T17:00:00"/>
    <s v="Late"/>
    <s v="Evening"/>
    <s v="Office"/>
    <n v="0"/>
  </r>
  <r>
    <s v="E1059"/>
    <s v="Employee_59"/>
    <x v="3"/>
    <d v="2024-02-04T00:00:00"/>
    <x v="5"/>
    <n v="2024"/>
    <n v="0"/>
    <n v="0"/>
    <m/>
    <m/>
    <s v="Absent"/>
    <s v="Morning"/>
    <s v="Remote"/>
    <n v="0"/>
  </r>
  <r>
    <s v="E1044"/>
    <s v="Employee_44"/>
    <x v="0"/>
    <d v="2024-01-01T00:00:00"/>
    <x v="2"/>
    <n v="2024"/>
    <n v="1"/>
    <n v="1"/>
    <d v="1899-12-30T10:59:00"/>
    <d v="1899-12-30T16:54:00"/>
    <s v="Late"/>
    <s v="Morning"/>
    <s v="Remote"/>
    <n v="0"/>
  </r>
  <r>
    <s v="E1018"/>
    <s v="Employee_18"/>
    <x v="0"/>
    <d v="2024-10-02T00:00:00"/>
    <x v="7"/>
    <n v="2024"/>
    <n v="1"/>
    <n v="0"/>
    <d v="1899-12-30T10:20:00"/>
    <d v="1899-12-30T20:43:00"/>
    <s v="Present"/>
    <s v="Evening"/>
    <s v="Remote"/>
    <n v="0"/>
  </r>
  <r>
    <s v="E1031"/>
    <s v="Employee_31"/>
    <x v="3"/>
    <d v="2024-01-11T00:00:00"/>
    <x v="2"/>
    <n v="2024"/>
    <n v="0"/>
    <n v="0"/>
    <m/>
    <m/>
    <s v="Absent"/>
    <s v="Morning"/>
    <s v="Office"/>
    <n v="0"/>
  </r>
  <r>
    <s v="E1031"/>
    <s v="Employee_31"/>
    <x v="0"/>
    <d v="2024-03-10T00:00:00"/>
    <x v="0"/>
    <n v="2024"/>
    <n v="1"/>
    <n v="1"/>
    <d v="1899-12-30T08:23:00"/>
    <d v="1899-12-30T19:50:00"/>
    <s v="Late"/>
    <s v="Evening"/>
    <s v="Remote"/>
    <n v="0"/>
  </r>
  <r>
    <s v="E1059"/>
    <s v="Employee_59"/>
    <x v="0"/>
    <d v="2024-02-13T00:00:00"/>
    <x v="5"/>
    <n v="2024"/>
    <n v="0"/>
    <n v="0"/>
    <m/>
    <m/>
    <s v="Absent"/>
    <s v="Evening"/>
    <s v="Remote"/>
    <n v="0"/>
  </r>
  <r>
    <s v="E1018"/>
    <s v="Employee_18"/>
    <x v="4"/>
    <d v="2024-04-01T00:00:00"/>
    <x v="10"/>
    <n v="2024"/>
    <n v="0"/>
    <n v="0"/>
    <m/>
    <m/>
    <s v="Absent"/>
    <s v="Evening"/>
    <s v="Office"/>
    <n v="0"/>
  </r>
  <r>
    <s v="E1011"/>
    <s v="Employee_11"/>
    <x v="1"/>
    <d v="2024-01-18T00:00:00"/>
    <x v="2"/>
    <n v="2024"/>
    <n v="1"/>
    <n v="1"/>
    <d v="1899-12-30T11:19:00"/>
    <d v="1899-12-30T20:40:00"/>
    <s v="Late"/>
    <s v="Evening"/>
    <s v="Office"/>
    <n v="0"/>
  </r>
  <r>
    <s v="E1049"/>
    <s v="Employee_49"/>
    <x v="2"/>
    <d v="2024-05-01T00:00:00"/>
    <x v="6"/>
    <n v="2024"/>
    <n v="0"/>
    <n v="0"/>
    <m/>
    <m/>
    <s v="Absent"/>
    <s v="Morning"/>
    <s v="Remote"/>
    <n v="0"/>
  </r>
  <r>
    <s v="E1042"/>
    <s v="Employee_42"/>
    <x v="3"/>
    <d v="2024-02-23T00:00:00"/>
    <x v="5"/>
    <n v="2024"/>
    <n v="0"/>
    <n v="0"/>
    <m/>
    <m/>
    <s v="Absent"/>
    <s v="Morning"/>
    <s v="Office"/>
    <n v="0"/>
  </r>
  <r>
    <s v="E1021"/>
    <s v="Employee_21"/>
    <x v="3"/>
    <d v="2024-02-01T00:00:00"/>
    <x v="5"/>
    <n v="2024"/>
    <n v="0"/>
    <n v="0"/>
    <m/>
    <m/>
    <s v="Absent"/>
    <s v="Evening"/>
    <s v="Office"/>
    <n v="0"/>
  </r>
  <r>
    <s v="E1027"/>
    <s v="Employee_27"/>
    <x v="4"/>
    <d v="2024-02-19T00:00:00"/>
    <x v="5"/>
    <n v="2024"/>
    <n v="0"/>
    <n v="0"/>
    <m/>
    <m/>
    <s v="Absent"/>
    <s v="Evening"/>
    <s v="Remote"/>
    <n v="0"/>
  </r>
  <r>
    <s v="E1012"/>
    <s v="Employee_12"/>
    <x v="4"/>
    <d v="2024-02-20T00:00:00"/>
    <x v="5"/>
    <n v="2024"/>
    <n v="1"/>
    <n v="1"/>
    <d v="1899-12-30T10:07:00"/>
    <d v="1899-12-30T19:03:00"/>
    <s v="Late"/>
    <s v="Morning"/>
    <s v="Remote"/>
    <n v="0"/>
  </r>
  <r>
    <s v="E1041"/>
    <s v="Employee_41"/>
    <x v="0"/>
    <d v="2024-03-26T00:00:00"/>
    <x v="0"/>
    <n v="2024"/>
    <n v="1"/>
    <n v="0"/>
    <d v="1899-12-30T10:07:00"/>
    <d v="1899-12-30T19:11:00"/>
    <s v="Present"/>
    <s v="Morning"/>
    <s v="Remote"/>
    <n v="0"/>
  </r>
  <r>
    <s v="E1045"/>
    <s v="Employee_45"/>
    <x v="1"/>
    <d v="2024-01-10T00:00:00"/>
    <x v="2"/>
    <n v="2024"/>
    <n v="1"/>
    <n v="0"/>
    <d v="1899-12-30T11:10:00"/>
    <d v="1899-12-30T20:00:00"/>
    <s v="Work From Home"/>
    <s v="Evening"/>
    <s v="Remote"/>
    <n v="0"/>
  </r>
  <r>
    <s v="E1006"/>
    <s v="Employee_6"/>
    <x v="4"/>
    <d v="2024-02-01T00:00:00"/>
    <x v="5"/>
    <n v="2024"/>
    <n v="1"/>
    <n v="0"/>
    <d v="1899-12-30T09:57:00"/>
    <d v="1899-12-30T16:56:00"/>
    <s v="Work From Home"/>
    <s v="Evening"/>
    <s v="Office"/>
    <n v="0"/>
  </r>
  <r>
    <s v="E1029"/>
    <s v="Employee_29"/>
    <x v="0"/>
    <d v="2024-01-14T00:00:00"/>
    <x v="2"/>
    <n v="2024"/>
    <n v="1"/>
    <n v="0"/>
    <d v="1899-12-30T10:04:00"/>
    <d v="1899-12-30T16:55:00"/>
    <s v="Work From Home"/>
    <s v="Evening"/>
    <s v="Remote"/>
    <n v="0"/>
  </r>
  <r>
    <s v="E1041"/>
    <s v="Employee_41"/>
    <x v="4"/>
    <d v="2024-01-30T00:00:00"/>
    <x v="2"/>
    <n v="2024"/>
    <n v="1"/>
    <n v="0"/>
    <d v="1899-12-30T10:18:00"/>
    <d v="1899-12-30T18:52:00"/>
    <s v="Present"/>
    <s v="Evening"/>
    <s v="Office"/>
    <n v="0"/>
  </r>
  <r>
    <s v="E1002"/>
    <s v="Employee_2"/>
    <x v="1"/>
    <d v="2024-02-17T00:00:00"/>
    <x v="5"/>
    <n v="2024"/>
    <n v="0"/>
    <n v="0"/>
    <m/>
    <m/>
    <s v="Absent"/>
    <s v="Evening"/>
    <s v="Office"/>
    <n v="0"/>
  </r>
  <r>
    <s v="E1023"/>
    <s v="Employee_23"/>
    <x v="3"/>
    <d v="2024-01-07T00:00:00"/>
    <x v="2"/>
    <n v="2024"/>
    <n v="1"/>
    <n v="0"/>
    <d v="1899-12-30T10:29:00"/>
    <d v="1899-12-30T19:51:00"/>
    <s v="Present"/>
    <s v="Morning"/>
    <s v="Office"/>
    <n v="0"/>
  </r>
  <r>
    <s v="E1001"/>
    <s v="Employee_1"/>
    <x v="1"/>
    <d v="2024-01-30T00:00:00"/>
    <x v="2"/>
    <n v="2024"/>
    <n v="0"/>
    <n v="0"/>
    <m/>
    <m/>
    <s v="Absent"/>
    <s v="Morning"/>
    <s v="Remote"/>
    <n v="0"/>
  </r>
  <r>
    <s v="E1029"/>
    <s v="Employee_29"/>
    <x v="1"/>
    <d v="2024-03-15T00:00:00"/>
    <x v="0"/>
    <n v="2024"/>
    <n v="0"/>
    <n v="0"/>
    <m/>
    <m/>
    <s v="Absent"/>
    <s v="Evening"/>
    <s v="Remote"/>
    <n v="0"/>
  </r>
  <r>
    <s v="E1030"/>
    <s v="Employee_30"/>
    <x v="0"/>
    <d v="2024-02-10T00:00:00"/>
    <x v="5"/>
    <n v="2024"/>
    <n v="1"/>
    <n v="0"/>
    <d v="1899-12-30T10:40:00"/>
    <d v="1899-12-30T16:35:00"/>
    <s v="Present"/>
    <s v="Evening"/>
    <s v="Remote"/>
    <n v="0"/>
  </r>
  <r>
    <s v="E1021"/>
    <s v="Employee_21"/>
    <x v="1"/>
    <d v="2024-02-04T00:00:00"/>
    <x v="5"/>
    <n v="2024"/>
    <n v="1"/>
    <n v="0"/>
    <d v="1899-12-30T10:30:00"/>
    <d v="1899-12-30T20:35:00"/>
    <s v="Present"/>
    <s v="Morning"/>
    <s v="Remote"/>
    <n v="0"/>
  </r>
  <r>
    <s v="E1028"/>
    <s v="Employee_28"/>
    <x v="3"/>
    <d v="2024-03-09T00:00:00"/>
    <x v="0"/>
    <n v="2024"/>
    <n v="1"/>
    <n v="0"/>
    <d v="1899-12-30T10:13:00"/>
    <d v="1899-12-30T16:46:00"/>
    <s v="Work From Home"/>
    <s v="Evening"/>
    <s v="Remote"/>
    <n v="0"/>
  </r>
  <r>
    <s v="E1033"/>
    <s v="Employee_33"/>
    <x v="0"/>
    <d v="2024-01-23T00:00:00"/>
    <x v="2"/>
    <n v="2024"/>
    <n v="1"/>
    <n v="0"/>
    <d v="1899-12-30T08:17:00"/>
    <d v="1899-12-30T17:45:00"/>
    <s v="Present"/>
    <s v="Evening"/>
    <s v="Office"/>
    <n v="0"/>
  </r>
  <r>
    <s v="E1016"/>
    <s v="Employee_16"/>
    <x v="1"/>
    <d v="2024-01-12T00:00:00"/>
    <x v="2"/>
    <n v="2024"/>
    <n v="1"/>
    <n v="0"/>
    <d v="1899-12-30T10:50:00"/>
    <d v="1899-12-30T19:26:00"/>
    <s v="Work From Home"/>
    <s v="Morning"/>
    <s v="Office"/>
    <n v="0"/>
  </r>
  <r>
    <s v="E1044"/>
    <s v="Employee_44"/>
    <x v="2"/>
    <d v="2024-03-28T00:00:00"/>
    <x v="0"/>
    <n v="2024"/>
    <n v="1"/>
    <n v="0"/>
    <d v="1899-12-30T11:21:00"/>
    <d v="1899-12-30T16:21:00"/>
    <s v="Present"/>
    <s v="Morning"/>
    <s v="Remote"/>
    <n v="0"/>
  </r>
  <r>
    <s v="E1045"/>
    <s v="Employee_45"/>
    <x v="4"/>
    <d v="2024-01-17T00:00:00"/>
    <x v="2"/>
    <n v="2024"/>
    <n v="0"/>
    <n v="0"/>
    <m/>
    <m/>
    <s v="Absent"/>
    <s v="Evening"/>
    <s v="Office"/>
    <n v="0"/>
  </r>
  <r>
    <s v="E1035"/>
    <s v="Employee_35"/>
    <x v="3"/>
    <d v="2024-01-29T00:00:00"/>
    <x v="2"/>
    <n v="2024"/>
    <n v="1"/>
    <n v="0"/>
    <d v="1899-12-30T11:55:00"/>
    <d v="1899-12-30T17:51:00"/>
    <s v="Present"/>
    <s v="Morning"/>
    <s v="Office"/>
    <n v="0"/>
  </r>
  <r>
    <s v="E1042"/>
    <s v="Employee_42"/>
    <x v="2"/>
    <d v="2024-07-02T00:00:00"/>
    <x v="4"/>
    <n v="2024"/>
    <n v="1"/>
    <n v="1"/>
    <d v="1899-12-30T10:25:00"/>
    <d v="1899-12-30T18:13:00"/>
    <s v="Late"/>
    <s v="Morning"/>
    <s v="Remote"/>
    <n v="0"/>
  </r>
  <r>
    <s v="E1023"/>
    <s v="Employee_23"/>
    <x v="2"/>
    <d v="2024-02-18T00:00:00"/>
    <x v="5"/>
    <n v="2024"/>
    <n v="1"/>
    <n v="0"/>
    <d v="1899-12-30T10:36:00"/>
    <d v="1899-12-30T19:22:00"/>
    <s v="Work From Home"/>
    <s v="Morning"/>
    <s v="Office"/>
    <n v="0"/>
  </r>
  <r>
    <s v="E1006"/>
    <s v="Employee_6"/>
    <x v="4"/>
    <d v="2024-01-26T00:00:00"/>
    <x v="2"/>
    <n v="2024"/>
    <n v="1"/>
    <n v="0"/>
    <d v="1899-12-30T10:29:00"/>
    <d v="1899-12-30T19:56:00"/>
    <s v="Work From Home"/>
    <s v="Evening"/>
    <s v="Remote"/>
    <n v="0"/>
  </r>
  <r>
    <s v="E1035"/>
    <s v="Employee_35"/>
    <x v="2"/>
    <d v="2024-01-20T00:00:00"/>
    <x v="2"/>
    <n v="2024"/>
    <n v="1"/>
    <n v="0"/>
    <d v="1899-12-30T11:42:00"/>
    <d v="1899-12-30T17:53:00"/>
    <s v="Work From Home"/>
    <s v="Morning"/>
    <s v="Office"/>
    <n v="0"/>
  </r>
  <r>
    <s v="E1056"/>
    <s v="Employee_56"/>
    <x v="4"/>
    <d v="2024-03-30T00:00:00"/>
    <x v="0"/>
    <n v="2024"/>
    <n v="1"/>
    <n v="1"/>
    <d v="1899-12-30T10:12:00"/>
    <d v="1899-12-30T17:31:00"/>
    <s v="Late"/>
    <s v="Evening"/>
    <s v="Office"/>
    <n v="0"/>
  </r>
  <r>
    <s v="E1053"/>
    <s v="Employee_53"/>
    <x v="2"/>
    <d v="2024-05-01T00:00:00"/>
    <x v="6"/>
    <n v="2024"/>
    <n v="1"/>
    <n v="0"/>
    <d v="1899-12-30T08:34:00"/>
    <d v="1899-12-30T18:27:00"/>
    <s v="Present"/>
    <s v="Evening"/>
    <s v="Remote"/>
    <n v="0"/>
  </r>
  <r>
    <s v="E1036"/>
    <s v="Employee_36"/>
    <x v="0"/>
    <d v="2024-03-21T00:00:00"/>
    <x v="0"/>
    <n v="2024"/>
    <n v="1"/>
    <n v="0"/>
    <d v="1899-12-30T08:26:00"/>
    <d v="1899-12-30T16:17:00"/>
    <s v="Present"/>
    <s v="Morning"/>
    <s v="Remote"/>
    <n v="0"/>
  </r>
  <r>
    <s v="E1031"/>
    <s v="Employee_31"/>
    <x v="3"/>
    <d v="2024-02-13T00:00:00"/>
    <x v="5"/>
    <n v="2024"/>
    <n v="1"/>
    <n v="0"/>
    <d v="1899-12-30T11:53:00"/>
    <d v="1899-12-30T19:40:00"/>
    <s v="Work From Home"/>
    <s v="Morning"/>
    <s v="Remote"/>
    <n v="0"/>
  </r>
  <r>
    <s v="E1017"/>
    <s v="Employee_17"/>
    <x v="2"/>
    <d v="2024-03-13T00:00:00"/>
    <x v="0"/>
    <n v="2024"/>
    <n v="0"/>
    <n v="0"/>
    <m/>
    <m/>
    <s v="Absent"/>
    <s v="Evening"/>
    <s v="Office"/>
    <n v="0"/>
  </r>
  <r>
    <s v="E1023"/>
    <s v="Employee_23"/>
    <x v="3"/>
    <d v="2024-03-03T00:00:00"/>
    <x v="0"/>
    <n v="2024"/>
    <n v="1"/>
    <n v="0"/>
    <d v="1899-12-30T09:26:00"/>
    <d v="1899-12-30T19:27:00"/>
    <s v="Work From Home"/>
    <s v="Evening"/>
    <s v="Remote"/>
    <n v="0"/>
  </r>
  <r>
    <s v="E1049"/>
    <s v="Employee_49"/>
    <x v="2"/>
    <d v="2024-01-12T00:00:00"/>
    <x v="2"/>
    <n v="2024"/>
    <n v="1"/>
    <n v="0"/>
    <d v="1899-12-30T08:27:00"/>
    <d v="1899-12-30T16:49:00"/>
    <s v="Present"/>
    <s v="Evening"/>
    <s v="Office"/>
    <n v="0"/>
  </r>
  <r>
    <s v="E1002"/>
    <s v="Employee_2"/>
    <x v="4"/>
    <d v="2024-02-14T00:00:00"/>
    <x v="5"/>
    <n v="2024"/>
    <n v="1"/>
    <n v="0"/>
    <d v="1899-12-30T08:23:00"/>
    <d v="1899-12-30T16:52:00"/>
    <s v="Present"/>
    <s v="Morning"/>
    <s v="Remote"/>
    <n v="0"/>
  </r>
  <r>
    <s v="E1041"/>
    <s v="Employee_41"/>
    <x v="2"/>
    <d v="2024-02-22T00:00:00"/>
    <x v="5"/>
    <n v="2024"/>
    <n v="1"/>
    <n v="0"/>
    <d v="1899-12-30T11:32:00"/>
    <d v="1899-12-30T19:54:00"/>
    <s v="Present"/>
    <s v="Morning"/>
    <s v="Remote"/>
    <n v="0"/>
  </r>
  <r>
    <s v="E1022"/>
    <s v="Employee_22"/>
    <x v="1"/>
    <d v="2024-09-03T00:00:00"/>
    <x v="3"/>
    <n v="2024"/>
    <n v="0"/>
    <n v="0"/>
    <m/>
    <m/>
    <s v="Absent"/>
    <s v="Morning"/>
    <s v="Remote"/>
    <n v="0"/>
  </r>
  <r>
    <s v="E1017"/>
    <s v="Employee_17"/>
    <x v="3"/>
    <d v="2024-02-28T00:00:00"/>
    <x v="5"/>
    <n v="2024"/>
    <n v="1"/>
    <n v="0"/>
    <d v="1899-12-30T08:11:00"/>
    <d v="1899-12-30T17:20:00"/>
    <s v="Present"/>
    <s v="Evening"/>
    <s v="Office"/>
    <n v="0"/>
  </r>
  <r>
    <s v="E1019"/>
    <s v="Employee_19"/>
    <x v="1"/>
    <d v="2024-03-20T00:00:00"/>
    <x v="0"/>
    <n v="2024"/>
    <n v="0"/>
    <n v="0"/>
    <m/>
    <m/>
    <s v="Absent"/>
    <s v="Morning"/>
    <s v="Remote"/>
    <n v="0"/>
  </r>
  <r>
    <s v="E1009"/>
    <s v="Employee_9"/>
    <x v="4"/>
    <d v="2024-03-09T00:00:00"/>
    <x v="0"/>
    <n v="2024"/>
    <n v="1"/>
    <n v="1"/>
    <d v="1899-12-30T10:34:00"/>
    <d v="1899-12-30T16:40:00"/>
    <s v="Late"/>
    <s v="Morning"/>
    <s v="Remote"/>
    <n v="0"/>
  </r>
  <r>
    <s v="E1025"/>
    <s v="Employee_25"/>
    <x v="3"/>
    <d v="2024-02-02T00:00:00"/>
    <x v="5"/>
    <n v="2024"/>
    <n v="1"/>
    <n v="0"/>
    <d v="1899-12-30T08:17:00"/>
    <d v="1899-12-30T16:00:00"/>
    <s v="Present"/>
    <s v="Morning"/>
    <s v="Remote"/>
    <n v="0"/>
  </r>
  <r>
    <s v="E1050"/>
    <s v="Employee_50"/>
    <x v="4"/>
    <d v="2024-02-09T00:00:00"/>
    <x v="5"/>
    <n v="2024"/>
    <n v="1"/>
    <n v="0"/>
    <d v="1899-12-30T10:08:00"/>
    <d v="1899-12-30T17:25:00"/>
    <s v="Work From Home"/>
    <s v="Morning"/>
    <s v="Remote"/>
    <n v="0"/>
  </r>
  <r>
    <s v="E1041"/>
    <s v="Employee_41"/>
    <x v="2"/>
    <d v="2024-03-17T00:00:00"/>
    <x v="0"/>
    <n v="2024"/>
    <n v="1"/>
    <n v="0"/>
    <d v="1899-12-30T10:34:00"/>
    <d v="1899-12-30T17:53:00"/>
    <s v="Work From Home"/>
    <s v="Morning"/>
    <s v="Office"/>
    <n v="0"/>
  </r>
  <r>
    <s v="E1036"/>
    <s v="Employee_36"/>
    <x v="3"/>
    <d v="2024-03-15T00:00:00"/>
    <x v="0"/>
    <n v="2024"/>
    <n v="0"/>
    <n v="0"/>
    <m/>
    <m/>
    <s v="Absent"/>
    <s v="Evening"/>
    <s v="Office"/>
    <n v="0"/>
  </r>
  <r>
    <s v="E1048"/>
    <s v="Employee_48"/>
    <x v="4"/>
    <d v="2024-01-29T00:00:00"/>
    <x v="2"/>
    <n v="2024"/>
    <n v="1"/>
    <n v="1"/>
    <d v="1899-12-30T08:26:00"/>
    <d v="1899-12-30T16:39:00"/>
    <s v="Late"/>
    <s v="Morning"/>
    <s v="Remote"/>
    <n v="0"/>
  </r>
  <r>
    <s v="E1028"/>
    <s v="Employee_28"/>
    <x v="2"/>
    <d v="2024-06-03T00:00:00"/>
    <x v="11"/>
    <n v="2024"/>
    <n v="1"/>
    <n v="0"/>
    <d v="1899-12-30T11:21:00"/>
    <d v="1899-12-30T18:32:00"/>
    <s v="Present"/>
    <s v="Evening"/>
    <s v="Remote"/>
    <n v="0"/>
  </r>
  <r>
    <s v="E1021"/>
    <s v="Employee_21"/>
    <x v="4"/>
    <d v="2024-07-03T00:00:00"/>
    <x v="4"/>
    <n v="2024"/>
    <n v="1"/>
    <n v="0"/>
    <d v="1899-12-30T10:23:00"/>
    <d v="1899-12-30T19:24:00"/>
    <s v="Work From Home"/>
    <s v="Evening"/>
    <s v="Office"/>
    <n v="0"/>
  </r>
  <r>
    <s v="E1056"/>
    <s v="Employee_56"/>
    <x v="4"/>
    <d v="2024-02-01T00:00:00"/>
    <x v="5"/>
    <n v="2024"/>
    <n v="1"/>
    <n v="0"/>
    <d v="1899-12-30T08:03:00"/>
    <d v="1899-12-30T18:15:00"/>
    <s v="Present"/>
    <s v="Evening"/>
    <s v="Remote"/>
    <n v="0"/>
  </r>
  <r>
    <s v="E1035"/>
    <s v="Employee_35"/>
    <x v="2"/>
    <d v="2024-01-01T00:00:00"/>
    <x v="2"/>
    <n v="2024"/>
    <n v="1"/>
    <n v="0"/>
    <d v="1899-12-30T09:34:00"/>
    <d v="1899-12-30T19:41:00"/>
    <s v="Work From Home"/>
    <s v="Morning"/>
    <s v="Remote"/>
    <n v="0"/>
  </r>
  <r>
    <s v="E1048"/>
    <s v="Employee_48"/>
    <x v="4"/>
    <d v="2024-01-20T00:00:00"/>
    <x v="2"/>
    <n v="2024"/>
    <n v="0"/>
    <n v="0"/>
    <m/>
    <m/>
    <s v="Absent"/>
    <s v="Evening"/>
    <s v="Office"/>
    <n v="0"/>
  </r>
  <r>
    <s v="E1039"/>
    <s v="Employee_39"/>
    <x v="0"/>
    <d v="2024-08-02T00:00:00"/>
    <x v="9"/>
    <n v="2024"/>
    <n v="0"/>
    <n v="0"/>
    <m/>
    <m/>
    <s v="Absent"/>
    <s v="Evening"/>
    <s v="Office"/>
    <n v="0"/>
  </r>
  <r>
    <s v="E1030"/>
    <s v="Employee_30"/>
    <x v="0"/>
    <d v="2024-01-30T00:00:00"/>
    <x v="2"/>
    <n v="2024"/>
    <n v="1"/>
    <n v="1"/>
    <d v="1899-12-30T10:58:00"/>
    <d v="1899-12-30T20:13:00"/>
    <s v="Late"/>
    <s v="Morning"/>
    <s v="Office"/>
    <n v="0"/>
  </r>
  <r>
    <s v="E1013"/>
    <s v="Employee_13"/>
    <x v="4"/>
    <d v="2024-03-06T00:00:00"/>
    <x v="0"/>
    <n v="2024"/>
    <n v="1"/>
    <n v="1"/>
    <d v="1899-12-30T11:00:00"/>
    <d v="1899-12-30T17:41:00"/>
    <s v="Late"/>
    <s v="Morning"/>
    <s v="Remote"/>
    <n v="0"/>
  </r>
  <r>
    <s v="E1000"/>
    <s v="Employee_0"/>
    <x v="0"/>
    <d v="2024-01-09T00:00:00"/>
    <x v="2"/>
    <n v="2024"/>
    <n v="1"/>
    <n v="0"/>
    <d v="1899-12-30T11:06:00"/>
    <d v="1899-12-30T20:02:00"/>
    <s v="Present"/>
    <s v="Morning"/>
    <s v="Remote"/>
    <n v="0"/>
  </r>
  <r>
    <s v="E1016"/>
    <s v="Employee_16"/>
    <x v="1"/>
    <d v="2024-01-14T00:00:00"/>
    <x v="2"/>
    <n v="2024"/>
    <n v="1"/>
    <n v="0"/>
    <d v="1899-12-30T10:46:00"/>
    <d v="1899-12-30T17:32:00"/>
    <s v="Present"/>
    <s v="Evening"/>
    <s v="Remote"/>
    <n v="0"/>
  </r>
  <r>
    <s v="E1038"/>
    <s v="Employee_38"/>
    <x v="1"/>
    <d v="2024-02-26T00:00:00"/>
    <x v="5"/>
    <n v="2024"/>
    <n v="0"/>
    <n v="0"/>
    <m/>
    <m/>
    <s v="Absent"/>
    <s v="Morning"/>
    <s v="Office"/>
    <n v="0"/>
  </r>
  <r>
    <s v="E1042"/>
    <s v="Employee_42"/>
    <x v="4"/>
    <d v="2024-12-02T00:00:00"/>
    <x v="8"/>
    <n v="2024"/>
    <n v="0"/>
    <n v="0"/>
    <m/>
    <m/>
    <s v="Absent"/>
    <s v="Morning"/>
    <s v="Remote"/>
    <n v="0"/>
  </r>
  <r>
    <s v="E1002"/>
    <s v="Employee_2"/>
    <x v="4"/>
    <d v="2024-04-01T00:00:00"/>
    <x v="10"/>
    <n v="2024"/>
    <n v="1"/>
    <n v="1"/>
    <d v="1899-12-30T10:45:00"/>
    <d v="1899-12-30T19:30:00"/>
    <s v="Late"/>
    <s v="Evening"/>
    <s v="Remote"/>
    <n v="0"/>
  </r>
  <r>
    <s v="E1047"/>
    <s v="Employee_47"/>
    <x v="3"/>
    <d v="2024-01-02T00:00:00"/>
    <x v="2"/>
    <n v="2024"/>
    <n v="1"/>
    <n v="1"/>
    <d v="1899-12-30T11:43:00"/>
    <d v="1899-12-30T18:15:00"/>
    <s v="Late"/>
    <s v="Evening"/>
    <s v="Remote"/>
    <n v="0"/>
  </r>
  <r>
    <s v="E1041"/>
    <s v="Employee_41"/>
    <x v="3"/>
    <d v="2024-07-03T00:00:00"/>
    <x v="4"/>
    <n v="2024"/>
    <n v="1"/>
    <n v="0"/>
    <d v="1899-12-30T10:10:00"/>
    <d v="1899-12-30T20:26:00"/>
    <s v="Work From Home"/>
    <s v="Morning"/>
    <s v="Office"/>
    <n v="0"/>
  </r>
  <r>
    <s v="E1012"/>
    <s v="Employee_12"/>
    <x v="4"/>
    <d v="2024-02-08T00:00:00"/>
    <x v="5"/>
    <n v="2024"/>
    <n v="0"/>
    <n v="0"/>
    <m/>
    <m/>
    <s v="Absent"/>
    <s v="Morning"/>
    <s v="Remote"/>
    <n v="0"/>
  </r>
  <r>
    <s v="E1000"/>
    <s v="Employee_0"/>
    <x v="2"/>
    <d v="2024-01-19T00:00:00"/>
    <x v="2"/>
    <n v="2024"/>
    <n v="1"/>
    <n v="0"/>
    <d v="1899-12-30T11:50:00"/>
    <d v="1899-12-30T16:22:00"/>
    <s v="Work From Home"/>
    <s v="Morning"/>
    <s v="Office"/>
    <n v="0"/>
  </r>
  <r>
    <s v="E1051"/>
    <s v="Employee_51"/>
    <x v="2"/>
    <d v="2024-01-28T00:00:00"/>
    <x v="2"/>
    <n v="2024"/>
    <n v="1"/>
    <n v="0"/>
    <d v="1899-12-30T11:48:00"/>
    <d v="1899-12-30T19:09:00"/>
    <s v="Present"/>
    <s v="Evening"/>
    <s v="Office"/>
    <n v="0"/>
  </r>
  <r>
    <s v="E1036"/>
    <s v="Employee_36"/>
    <x v="0"/>
    <d v="2024-02-13T00:00:00"/>
    <x v="5"/>
    <n v="2024"/>
    <n v="1"/>
    <n v="0"/>
    <d v="1899-12-30T09:51:00"/>
    <d v="1899-12-30T17:23:00"/>
    <s v="Present"/>
    <s v="Evening"/>
    <s v="Office"/>
    <n v="0"/>
  </r>
  <r>
    <s v="E1020"/>
    <s v="Employee_20"/>
    <x v="3"/>
    <d v="2024-01-30T00:00:00"/>
    <x v="2"/>
    <n v="2024"/>
    <n v="1"/>
    <n v="0"/>
    <d v="1899-12-30T11:49:00"/>
    <d v="1899-12-30T18:04:00"/>
    <s v="Work From Home"/>
    <s v="Morning"/>
    <s v="Office"/>
    <n v="0"/>
  </r>
  <r>
    <s v="E1041"/>
    <s v="Employee_41"/>
    <x v="0"/>
    <d v="2024-02-11T00:00:00"/>
    <x v="5"/>
    <n v="2024"/>
    <n v="1"/>
    <n v="0"/>
    <d v="1899-12-30T09:05:00"/>
    <d v="1899-12-30T17:20:00"/>
    <s v="Work From Home"/>
    <s v="Morning"/>
    <s v="Office"/>
    <n v="0"/>
  </r>
  <r>
    <s v="E1020"/>
    <s v="Employee_20"/>
    <x v="0"/>
    <d v="2024-03-25T00:00:00"/>
    <x v="0"/>
    <n v="2024"/>
    <n v="1"/>
    <n v="0"/>
    <d v="1899-12-30T08:56:00"/>
    <d v="1899-12-30T20:13:00"/>
    <s v="Present"/>
    <s v="Morning"/>
    <s v="Office"/>
    <n v="0"/>
  </r>
  <r>
    <s v="E1004"/>
    <s v="Employee_4"/>
    <x v="2"/>
    <d v="2024-02-03T00:00:00"/>
    <x v="5"/>
    <n v="2024"/>
    <n v="1"/>
    <n v="0"/>
    <d v="1899-12-30T08:22:00"/>
    <d v="1899-12-30T20:27:00"/>
    <s v="Present"/>
    <s v="Evening"/>
    <s v="Remote"/>
    <n v="0"/>
  </r>
  <r>
    <s v="E1013"/>
    <s v="Employee_13"/>
    <x v="4"/>
    <d v="2024-04-01T00:00:00"/>
    <x v="10"/>
    <n v="2024"/>
    <n v="1"/>
    <n v="1"/>
    <d v="1899-12-30T11:21:00"/>
    <d v="1899-12-30T18:47:00"/>
    <s v="Late"/>
    <s v="Evening"/>
    <s v="Remote"/>
    <n v="0"/>
  </r>
  <r>
    <s v="E1015"/>
    <s v="Employee_15"/>
    <x v="1"/>
    <d v="2024-03-05T00:00:00"/>
    <x v="0"/>
    <n v="2024"/>
    <n v="1"/>
    <n v="0"/>
    <d v="1899-12-30T09:29:00"/>
    <d v="1899-12-30T18:59:00"/>
    <s v="Present"/>
    <s v="Evening"/>
    <s v="Remote"/>
    <n v="0"/>
  </r>
  <r>
    <s v="E1001"/>
    <s v="Employee_1"/>
    <x v="3"/>
    <d v="2024-01-09T00:00:00"/>
    <x v="2"/>
    <n v="2024"/>
    <n v="0"/>
    <n v="0"/>
    <m/>
    <m/>
    <s v="Absent"/>
    <s v="Morning"/>
    <s v="Remote"/>
    <n v="0"/>
  </r>
  <r>
    <s v="E1051"/>
    <s v="Employee_51"/>
    <x v="3"/>
    <d v="2024-03-10T00:00:00"/>
    <x v="0"/>
    <n v="2024"/>
    <n v="1"/>
    <n v="0"/>
    <d v="1899-12-30T11:55:00"/>
    <d v="1899-12-30T18:02:00"/>
    <s v="Present"/>
    <s v="Morning"/>
    <s v="Office"/>
    <n v="0"/>
  </r>
  <r>
    <s v="E1055"/>
    <s v="Employee_55"/>
    <x v="4"/>
    <d v="2024-02-04T00:00:00"/>
    <x v="5"/>
    <n v="2024"/>
    <n v="1"/>
    <n v="0"/>
    <d v="1899-12-30T11:16:00"/>
    <d v="1899-12-30T17:28:00"/>
    <s v="Work From Home"/>
    <s v="Morning"/>
    <s v="Office"/>
    <n v="0"/>
  </r>
  <r>
    <s v="E1048"/>
    <s v="Employee_48"/>
    <x v="1"/>
    <d v="2024-03-29T00:00:00"/>
    <x v="0"/>
    <n v="2024"/>
    <n v="1"/>
    <n v="0"/>
    <d v="1899-12-30T11:37:00"/>
    <d v="1899-12-30T16:05:00"/>
    <s v="Present"/>
    <s v="Morning"/>
    <s v="Office"/>
    <n v="0"/>
  </r>
  <r>
    <s v="E1029"/>
    <s v="Employee_29"/>
    <x v="4"/>
    <d v="2024-01-21T00:00:00"/>
    <x v="2"/>
    <n v="2024"/>
    <n v="1"/>
    <n v="0"/>
    <d v="1899-12-30T11:21:00"/>
    <d v="1899-12-30T17:25:00"/>
    <s v="Work From Home"/>
    <s v="Morning"/>
    <s v="Remote"/>
    <n v="0"/>
  </r>
  <r>
    <s v="E1045"/>
    <s v="Employee_45"/>
    <x v="2"/>
    <d v="2024-03-24T00:00:00"/>
    <x v="0"/>
    <n v="2024"/>
    <n v="1"/>
    <n v="1"/>
    <d v="1899-12-30T09:16:00"/>
    <d v="1899-12-30T18:12:00"/>
    <s v="Late"/>
    <s v="Morning"/>
    <s v="Office"/>
    <n v="0"/>
  </r>
  <r>
    <s v="E1053"/>
    <s v="Employee_53"/>
    <x v="4"/>
    <d v="2024-02-08T00:00:00"/>
    <x v="5"/>
    <n v="2024"/>
    <n v="1"/>
    <n v="1"/>
    <d v="1899-12-30T11:43:00"/>
    <d v="1899-12-30T18:47:00"/>
    <s v="Late"/>
    <s v="Evening"/>
    <s v="Office"/>
    <n v="0"/>
  </r>
  <r>
    <s v="E1018"/>
    <s v="Employee_18"/>
    <x v="0"/>
    <d v="2024-03-02T00:00:00"/>
    <x v="0"/>
    <n v="2024"/>
    <n v="0"/>
    <n v="0"/>
    <m/>
    <m/>
    <s v="Absent"/>
    <s v="Morning"/>
    <s v="Remote"/>
    <n v="0"/>
  </r>
  <r>
    <s v="E1045"/>
    <s v="Employee_45"/>
    <x v="3"/>
    <d v="2024-02-03T00:00:00"/>
    <x v="5"/>
    <n v="2024"/>
    <n v="1"/>
    <n v="1"/>
    <d v="1899-12-30T10:00:00"/>
    <d v="1899-12-30T20:36:00"/>
    <s v="Late"/>
    <s v="Morning"/>
    <s v="Office"/>
    <n v="0"/>
  </r>
  <r>
    <s v="E1010"/>
    <s v="Employee_10"/>
    <x v="1"/>
    <d v="2024-02-20T00:00:00"/>
    <x v="5"/>
    <n v="2024"/>
    <n v="1"/>
    <n v="0"/>
    <d v="1899-12-30T09:46:00"/>
    <d v="1899-12-30T16:41:00"/>
    <s v="Work From Home"/>
    <s v="Evening"/>
    <s v="Office"/>
    <n v="0"/>
  </r>
  <r>
    <s v="E1018"/>
    <s v="Employee_18"/>
    <x v="3"/>
    <d v="2024-08-03T00:00:00"/>
    <x v="9"/>
    <n v="2024"/>
    <n v="1"/>
    <n v="1"/>
    <d v="1899-12-30T08:05:00"/>
    <d v="1899-12-30T20:36:00"/>
    <s v="Late"/>
    <s v="Evening"/>
    <s v="Office"/>
    <n v="0"/>
  </r>
  <r>
    <s v="E1054"/>
    <s v="Employee_54"/>
    <x v="0"/>
    <d v="2024-01-03T00:00:00"/>
    <x v="2"/>
    <n v="2024"/>
    <n v="0"/>
    <n v="0"/>
    <m/>
    <m/>
    <s v="Absent"/>
    <s v="Morning"/>
    <s v="Remote"/>
    <n v="0"/>
  </r>
  <r>
    <s v="E1034"/>
    <s v="Employee_34"/>
    <x v="3"/>
    <d v="2024-11-02T00:00:00"/>
    <x v="1"/>
    <n v="2024"/>
    <n v="1"/>
    <n v="0"/>
    <d v="1899-12-30T10:30:00"/>
    <d v="1899-12-30T17:22:00"/>
    <s v="Work From Home"/>
    <s v="Morning"/>
    <s v="Remote"/>
    <n v="0"/>
  </r>
  <r>
    <s v="E1041"/>
    <s v="Employee_41"/>
    <x v="3"/>
    <d v="2024-01-16T00:00:00"/>
    <x v="2"/>
    <n v="2024"/>
    <n v="1"/>
    <n v="0"/>
    <d v="1899-12-30T11:53:00"/>
    <d v="1899-12-30T20:20:00"/>
    <s v="Work From Home"/>
    <s v="Evening"/>
    <s v="Office"/>
    <n v="0"/>
  </r>
  <r>
    <s v="E1030"/>
    <s v="Employee_30"/>
    <x v="4"/>
    <d v="2024-05-03T00:00:00"/>
    <x v="6"/>
    <n v="2024"/>
    <n v="1"/>
    <n v="1"/>
    <d v="1899-12-30T10:59:00"/>
    <d v="1899-12-30T17:20:00"/>
    <s v="Late"/>
    <s v="Evening"/>
    <s v="Remote"/>
    <n v="0"/>
  </r>
  <r>
    <s v="E1031"/>
    <s v="Employee_31"/>
    <x v="4"/>
    <d v="2024-02-23T00:00:00"/>
    <x v="5"/>
    <n v="2024"/>
    <n v="1"/>
    <n v="1"/>
    <d v="1899-12-30T09:24:00"/>
    <d v="1899-12-30T20:22:00"/>
    <s v="Late"/>
    <s v="Evening"/>
    <s v="Office"/>
    <n v="0"/>
  </r>
  <r>
    <s v="E1034"/>
    <s v="Employee_34"/>
    <x v="3"/>
    <d v="2024-03-14T00:00:00"/>
    <x v="0"/>
    <n v="2024"/>
    <n v="1"/>
    <n v="1"/>
    <d v="1899-12-30T11:32:00"/>
    <d v="1899-12-30T17:23:00"/>
    <s v="Late"/>
    <s v="Evening"/>
    <s v="Remote"/>
    <n v="0"/>
  </r>
  <r>
    <s v="E1004"/>
    <s v="Employee_4"/>
    <x v="0"/>
    <d v="2024-02-27T00:00:00"/>
    <x v="5"/>
    <n v="2024"/>
    <n v="1"/>
    <n v="0"/>
    <d v="1899-12-30T08:48:00"/>
    <d v="1899-12-30T18:01:00"/>
    <s v="Present"/>
    <s v="Evening"/>
    <s v="Remote"/>
    <n v="0"/>
  </r>
  <r>
    <s v="E1011"/>
    <s v="Employee_11"/>
    <x v="0"/>
    <d v="2024-05-03T00:00:00"/>
    <x v="6"/>
    <n v="2024"/>
    <n v="0"/>
    <n v="0"/>
    <m/>
    <m/>
    <s v="Absent"/>
    <s v="Evening"/>
    <s v="Office"/>
    <n v="0"/>
  </r>
  <r>
    <s v="E1029"/>
    <s v="Employee_29"/>
    <x v="0"/>
    <d v="2024-02-10T00:00:00"/>
    <x v="5"/>
    <n v="2024"/>
    <n v="1"/>
    <n v="0"/>
    <d v="1899-12-30T08:04:00"/>
    <d v="1899-12-30T17:31:00"/>
    <s v="Work From Home"/>
    <s v="Evening"/>
    <s v="Remote"/>
    <n v="0"/>
  </r>
  <r>
    <s v="E1025"/>
    <s v="Employee_25"/>
    <x v="3"/>
    <d v="2024-01-24T00:00:00"/>
    <x v="2"/>
    <n v="2024"/>
    <n v="1"/>
    <n v="0"/>
    <d v="1899-12-30T08:30:00"/>
    <d v="1899-12-30T18:38:00"/>
    <s v="Work From Home"/>
    <s v="Evening"/>
    <s v="Remote"/>
    <n v="0"/>
  </r>
  <r>
    <s v="E1027"/>
    <s v="Employee_27"/>
    <x v="4"/>
    <d v="2024-03-23T00:00:00"/>
    <x v="0"/>
    <n v="2024"/>
    <n v="1"/>
    <n v="0"/>
    <d v="1899-12-30T08:05:00"/>
    <d v="1899-12-30T18:23:00"/>
    <s v="Work From Home"/>
    <s v="Morning"/>
    <s v="Office"/>
    <n v="0"/>
  </r>
  <r>
    <s v="E1022"/>
    <s v="Employee_22"/>
    <x v="2"/>
    <d v="2024-03-18T00:00:00"/>
    <x v="0"/>
    <n v="2024"/>
    <n v="0"/>
    <n v="0"/>
    <m/>
    <m/>
    <s v="Absent"/>
    <s v="Morning"/>
    <s v="Office"/>
    <n v="0"/>
  </r>
  <r>
    <s v="E1007"/>
    <s v="Employee_7"/>
    <x v="0"/>
    <d v="2024-02-02T00:00:00"/>
    <x v="5"/>
    <n v="2024"/>
    <n v="1"/>
    <n v="0"/>
    <d v="1899-12-30T09:24:00"/>
    <d v="1899-12-30T18:33:00"/>
    <s v="Present"/>
    <s v="Evening"/>
    <s v="Office"/>
    <n v="0"/>
  </r>
  <r>
    <s v="E1028"/>
    <s v="Employee_28"/>
    <x v="3"/>
    <d v="2024-03-26T00:00:00"/>
    <x v="0"/>
    <n v="2024"/>
    <n v="0"/>
    <n v="0"/>
    <m/>
    <m/>
    <s v="Absent"/>
    <s v="Evening"/>
    <s v="Remote"/>
    <n v="0"/>
  </r>
  <r>
    <s v="E1042"/>
    <s v="Employee_42"/>
    <x v="2"/>
    <d v="2024-01-15T00:00:00"/>
    <x v="2"/>
    <n v="2024"/>
    <n v="1"/>
    <n v="0"/>
    <d v="1899-12-30T11:29:00"/>
    <d v="1899-12-30T19:14:00"/>
    <s v="Present"/>
    <s v="Evening"/>
    <s v="Office"/>
    <n v="0"/>
  </r>
  <r>
    <s v="E1022"/>
    <s v="Employee_22"/>
    <x v="3"/>
    <d v="2024-02-26T00:00:00"/>
    <x v="5"/>
    <n v="2024"/>
    <n v="1"/>
    <n v="0"/>
    <d v="1899-12-30T10:30:00"/>
    <d v="1899-12-30T17:25:00"/>
    <s v="Work From Home"/>
    <s v="Evening"/>
    <s v="Office"/>
    <n v="0"/>
  </r>
  <r>
    <s v="E1047"/>
    <s v="Employee_47"/>
    <x v="1"/>
    <d v="2024-03-22T00:00:00"/>
    <x v="0"/>
    <n v="2024"/>
    <n v="1"/>
    <n v="0"/>
    <d v="1899-12-30T09:59:00"/>
    <d v="1899-12-30T18:52:00"/>
    <s v="Present"/>
    <s v="Evening"/>
    <s v="Office"/>
    <n v="0"/>
  </r>
  <r>
    <s v="E1004"/>
    <s v="Employee_4"/>
    <x v="2"/>
    <d v="2024-03-20T00:00:00"/>
    <x v="0"/>
    <n v="2024"/>
    <n v="1"/>
    <n v="1"/>
    <d v="1899-12-30T10:59:00"/>
    <d v="1899-12-30T20:57:00"/>
    <s v="Late"/>
    <s v="Evening"/>
    <s v="Office"/>
    <n v="0"/>
  </r>
  <r>
    <s v="E1059"/>
    <s v="Employee_59"/>
    <x v="2"/>
    <d v="2024-06-02T00:00:00"/>
    <x v="11"/>
    <n v="2024"/>
    <n v="1"/>
    <n v="1"/>
    <d v="1899-12-30T10:32:00"/>
    <d v="1899-12-30T19:33:00"/>
    <s v="Late"/>
    <s v="Evening"/>
    <s v="Remote"/>
    <n v="0"/>
  </r>
  <r>
    <s v="E1029"/>
    <s v="Employee_29"/>
    <x v="3"/>
    <d v="2024-01-29T00:00:00"/>
    <x v="2"/>
    <n v="2024"/>
    <n v="1"/>
    <n v="1"/>
    <d v="1899-12-30T11:29:00"/>
    <d v="1899-12-30T20:56:00"/>
    <s v="Late"/>
    <s v="Evening"/>
    <s v="Office"/>
    <n v="0"/>
  </r>
  <r>
    <s v="E1009"/>
    <s v="Employee_9"/>
    <x v="2"/>
    <d v="2024-02-25T00:00:00"/>
    <x v="5"/>
    <n v="2024"/>
    <n v="1"/>
    <n v="1"/>
    <d v="1899-12-30T09:26:00"/>
    <d v="1899-12-30T16:13:00"/>
    <s v="Late"/>
    <s v="Morning"/>
    <s v="Remote"/>
    <n v="0"/>
  </r>
  <r>
    <s v="E1030"/>
    <s v="Employee_30"/>
    <x v="4"/>
    <d v="2024-03-25T00:00:00"/>
    <x v="0"/>
    <n v="2024"/>
    <n v="1"/>
    <n v="0"/>
    <d v="1899-12-30T08:12:00"/>
    <d v="1899-12-30T16:41:00"/>
    <s v="Present"/>
    <s v="Evening"/>
    <s v="Remote"/>
    <n v="0"/>
  </r>
  <r>
    <s v="E1044"/>
    <s v="Employee_44"/>
    <x v="0"/>
    <d v="2024-03-29T00:00:00"/>
    <x v="0"/>
    <n v="2024"/>
    <n v="1"/>
    <n v="1"/>
    <d v="1899-12-30T09:27:00"/>
    <d v="1899-12-30T20:45:00"/>
    <s v="Late"/>
    <s v="Evening"/>
    <s v="Remote"/>
    <n v="0"/>
  </r>
  <r>
    <s v="E1016"/>
    <s v="Employee_16"/>
    <x v="0"/>
    <d v="2024-02-16T00:00:00"/>
    <x v="5"/>
    <n v="2024"/>
    <n v="1"/>
    <n v="0"/>
    <d v="1899-12-30T10:22:00"/>
    <d v="1899-12-30T20:17:00"/>
    <s v="Present"/>
    <s v="Evening"/>
    <s v="Remote"/>
    <n v="0"/>
  </r>
  <r>
    <s v="E1021"/>
    <s v="Employee_21"/>
    <x v="3"/>
    <d v="2024-01-31T00:00:00"/>
    <x v="2"/>
    <n v="2024"/>
    <n v="1"/>
    <n v="0"/>
    <d v="1899-12-30T08:24:00"/>
    <d v="1899-12-30T20:13:00"/>
    <s v="Work From Home"/>
    <s v="Evening"/>
    <s v="Office"/>
    <n v="0"/>
  </r>
  <r>
    <s v="E1003"/>
    <s v="Employee_3"/>
    <x v="0"/>
    <d v="2024-03-15T00:00:00"/>
    <x v="0"/>
    <n v="2024"/>
    <n v="1"/>
    <n v="0"/>
    <d v="1899-12-30T08:52:00"/>
    <d v="1899-12-30T16:41:00"/>
    <s v="Present"/>
    <s v="Morning"/>
    <s v="Remote"/>
    <n v="0"/>
  </r>
  <r>
    <s v="E1029"/>
    <s v="Employee_29"/>
    <x v="0"/>
    <d v="2024-03-02T00:00:00"/>
    <x v="0"/>
    <n v="2024"/>
    <n v="0"/>
    <n v="0"/>
    <m/>
    <m/>
    <s v="Absent"/>
    <s v="Morning"/>
    <s v="Remote"/>
    <n v="0"/>
  </r>
  <r>
    <s v="E1023"/>
    <s v="Employee_23"/>
    <x v="1"/>
    <d v="2024-03-15T00:00:00"/>
    <x v="0"/>
    <n v="2024"/>
    <n v="1"/>
    <n v="0"/>
    <d v="1899-12-30T09:42:00"/>
    <d v="1899-12-30T18:30:00"/>
    <s v="Present"/>
    <s v="Morning"/>
    <s v="Remote"/>
    <n v="0"/>
  </r>
  <r>
    <s v="E1048"/>
    <s v="Employee_48"/>
    <x v="4"/>
    <d v="2024-03-18T00:00:00"/>
    <x v="0"/>
    <n v="2024"/>
    <n v="1"/>
    <n v="0"/>
    <d v="1899-12-30T11:29:00"/>
    <d v="1899-12-30T19:41:00"/>
    <s v="Present"/>
    <s v="Morning"/>
    <s v="Office"/>
    <n v="0"/>
  </r>
  <r>
    <s v="E1015"/>
    <s v="Employee_15"/>
    <x v="4"/>
    <d v="2024-01-21T00:00:00"/>
    <x v="2"/>
    <n v="2024"/>
    <n v="1"/>
    <n v="0"/>
    <d v="1899-12-30T11:05:00"/>
    <d v="1899-12-30T20:32:00"/>
    <s v="Present"/>
    <s v="Morning"/>
    <s v="Remote"/>
    <n v="0"/>
  </r>
  <r>
    <s v="E1017"/>
    <s v="Employee_17"/>
    <x v="2"/>
    <d v="2024-01-28T00:00:00"/>
    <x v="2"/>
    <n v="2024"/>
    <n v="1"/>
    <n v="1"/>
    <d v="1899-12-30T11:44:00"/>
    <d v="1899-12-30T19:00:00"/>
    <s v="Late"/>
    <s v="Morning"/>
    <s v="Remote"/>
    <n v="0"/>
  </r>
  <r>
    <s v="E1058"/>
    <s v="Employee_58"/>
    <x v="3"/>
    <d v="2024-08-02T00:00:00"/>
    <x v="9"/>
    <n v="2024"/>
    <n v="1"/>
    <n v="1"/>
    <d v="1899-12-30T10:39:00"/>
    <d v="1899-12-30T20:36:00"/>
    <s v="Late"/>
    <s v="Evening"/>
    <s v="Office"/>
    <n v="0"/>
  </r>
  <r>
    <s v="E1044"/>
    <s v="Employee_44"/>
    <x v="4"/>
    <d v="2024-02-29T00:00:00"/>
    <x v="5"/>
    <n v="2024"/>
    <n v="0"/>
    <n v="0"/>
    <m/>
    <m/>
    <s v="Absent"/>
    <s v="Morning"/>
    <s v="Remote"/>
    <n v="0"/>
  </r>
  <r>
    <s v="E1046"/>
    <s v="Employee_46"/>
    <x v="3"/>
    <d v="2024-03-26T00:00:00"/>
    <x v="0"/>
    <n v="2024"/>
    <n v="1"/>
    <n v="0"/>
    <d v="1899-12-30T10:21:00"/>
    <d v="1899-12-30T18:36:00"/>
    <s v="Work From Home"/>
    <s v="Morning"/>
    <s v="Remote"/>
    <n v="0"/>
  </r>
  <r>
    <s v="E1001"/>
    <s v="Employee_1"/>
    <x v="3"/>
    <d v="2024-03-19T00:00:00"/>
    <x v="0"/>
    <n v="2024"/>
    <n v="1"/>
    <n v="0"/>
    <d v="1899-12-30T10:16:00"/>
    <d v="1899-12-30T19:38:00"/>
    <s v="Present"/>
    <s v="Evening"/>
    <s v="Office"/>
    <n v="0"/>
  </r>
  <r>
    <s v="E1021"/>
    <s v="Employee_21"/>
    <x v="3"/>
    <d v="2024-01-31T00:00:00"/>
    <x v="2"/>
    <n v="2024"/>
    <n v="0"/>
    <n v="0"/>
    <m/>
    <m/>
    <s v="Absent"/>
    <s v="Morning"/>
    <s v="Office"/>
    <n v="0"/>
  </r>
  <r>
    <s v="E1041"/>
    <s v="Employee_41"/>
    <x v="1"/>
    <d v="2024-01-28T00:00:00"/>
    <x v="2"/>
    <n v="2024"/>
    <n v="0"/>
    <n v="0"/>
    <m/>
    <m/>
    <s v="Absent"/>
    <s v="Evening"/>
    <s v="Office"/>
    <n v="0"/>
  </r>
  <r>
    <s v="E1000"/>
    <s v="Employee_0"/>
    <x v="2"/>
    <d v="2024-03-25T00:00:00"/>
    <x v="0"/>
    <n v="2024"/>
    <n v="1"/>
    <n v="1"/>
    <d v="1899-12-30T08:34:00"/>
    <d v="1899-12-30T17:38:00"/>
    <s v="Late"/>
    <s v="Evening"/>
    <s v="Office"/>
    <n v="0"/>
  </r>
  <r>
    <s v="E1033"/>
    <s v="Employee_33"/>
    <x v="1"/>
    <d v="2024-03-15T00:00:00"/>
    <x v="0"/>
    <n v="2024"/>
    <n v="1"/>
    <n v="0"/>
    <d v="1899-12-30T10:04:00"/>
    <d v="1899-12-30T20:07:00"/>
    <s v="Present"/>
    <s v="Morning"/>
    <s v="Office"/>
    <n v="0"/>
  </r>
  <r>
    <s v="E1004"/>
    <s v="Employee_4"/>
    <x v="4"/>
    <d v="2024-03-15T00:00:00"/>
    <x v="0"/>
    <n v="2024"/>
    <n v="1"/>
    <n v="1"/>
    <d v="1899-12-30T10:52:00"/>
    <d v="1899-12-30T18:16:00"/>
    <s v="Late"/>
    <s v="Morning"/>
    <s v="Remote"/>
    <n v="0"/>
  </r>
  <r>
    <s v="E1034"/>
    <s v="Employee_34"/>
    <x v="3"/>
    <d v="2024-01-21T00:00:00"/>
    <x v="2"/>
    <n v="2024"/>
    <n v="1"/>
    <n v="1"/>
    <d v="1899-12-30T09:01:00"/>
    <d v="1899-12-30T18:02:00"/>
    <s v="Late"/>
    <s v="Morning"/>
    <s v="Office"/>
    <n v="0"/>
  </r>
  <r>
    <s v="E1042"/>
    <s v="Employee_42"/>
    <x v="4"/>
    <d v="2024-03-27T00:00:00"/>
    <x v="0"/>
    <n v="2024"/>
    <n v="0"/>
    <n v="0"/>
    <m/>
    <m/>
    <s v="Absent"/>
    <s v="Evening"/>
    <s v="Remote"/>
    <n v="0"/>
  </r>
  <r>
    <s v="E1000"/>
    <s v="Employee_0"/>
    <x v="0"/>
    <d v="2024-03-24T00:00:00"/>
    <x v="0"/>
    <n v="2024"/>
    <n v="1"/>
    <n v="0"/>
    <d v="1899-12-30T10:59:00"/>
    <d v="1899-12-30T20:51:00"/>
    <s v="Work From Home"/>
    <s v="Evening"/>
    <s v="Remote"/>
    <n v="0"/>
  </r>
  <r>
    <s v="E1027"/>
    <s v="Employee_27"/>
    <x v="3"/>
    <d v="2024-03-30T00:00:00"/>
    <x v="0"/>
    <n v="2024"/>
    <n v="1"/>
    <n v="0"/>
    <d v="1899-12-30T10:36:00"/>
    <d v="1899-12-30T17:24:00"/>
    <s v="Present"/>
    <s v="Evening"/>
    <s v="Office"/>
    <n v="0"/>
  </r>
  <r>
    <s v="E1034"/>
    <s v="Employee_34"/>
    <x v="3"/>
    <d v="2024-03-22T00:00:00"/>
    <x v="0"/>
    <n v="2024"/>
    <n v="1"/>
    <n v="1"/>
    <d v="1899-12-30T08:19:00"/>
    <d v="1899-12-30T17:15:00"/>
    <s v="Late"/>
    <s v="Morning"/>
    <s v="Office"/>
    <n v="0"/>
  </r>
  <r>
    <s v="E1006"/>
    <s v="Employee_6"/>
    <x v="2"/>
    <d v="2024-09-01T00:00:00"/>
    <x v="3"/>
    <n v="2024"/>
    <n v="1"/>
    <n v="0"/>
    <d v="1899-12-30T10:15:00"/>
    <d v="1899-12-30T18:46:00"/>
    <s v="Work From Home"/>
    <s v="Evening"/>
    <s v="Office"/>
    <n v="0"/>
  </r>
  <r>
    <s v="E1035"/>
    <s v="Employee_35"/>
    <x v="0"/>
    <d v="2024-01-24T00:00:00"/>
    <x v="2"/>
    <n v="2024"/>
    <n v="1"/>
    <n v="0"/>
    <d v="1899-12-30T10:45:00"/>
    <d v="1899-12-30T19:59:00"/>
    <s v="Present"/>
    <s v="Evening"/>
    <s v="Office"/>
    <n v="0"/>
  </r>
  <r>
    <s v="E1030"/>
    <s v="Employee_30"/>
    <x v="4"/>
    <d v="2024-03-25T00:00:00"/>
    <x v="0"/>
    <n v="2024"/>
    <n v="1"/>
    <n v="1"/>
    <d v="1899-12-30T08:38:00"/>
    <d v="1899-12-30T17:30:00"/>
    <s v="Late"/>
    <s v="Morning"/>
    <s v="Office"/>
    <n v="0"/>
  </r>
  <r>
    <s v="E1054"/>
    <s v="Employee_54"/>
    <x v="0"/>
    <d v="2024-07-03T00:00:00"/>
    <x v="4"/>
    <n v="2024"/>
    <n v="1"/>
    <n v="0"/>
    <d v="1899-12-30T11:05:00"/>
    <d v="1899-12-30T18:24:00"/>
    <s v="Present"/>
    <s v="Evening"/>
    <s v="Remote"/>
    <n v="0"/>
  </r>
  <r>
    <s v="E1027"/>
    <s v="Employee_27"/>
    <x v="3"/>
    <d v="2024-03-25T00:00:00"/>
    <x v="0"/>
    <n v="2024"/>
    <n v="0"/>
    <n v="0"/>
    <m/>
    <m/>
    <s v="Absent"/>
    <s v="Evening"/>
    <s v="Remote"/>
    <n v="0"/>
  </r>
  <r>
    <s v="E1041"/>
    <s v="Employee_41"/>
    <x v="1"/>
    <d v="2024-05-01T00:00:00"/>
    <x v="6"/>
    <n v="2024"/>
    <n v="0"/>
    <n v="0"/>
    <m/>
    <m/>
    <s v="Absent"/>
    <s v="Evening"/>
    <s v="Office"/>
    <n v="0"/>
  </r>
  <r>
    <s v="E1038"/>
    <s v="Employee_38"/>
    <x v="2"/>
    <d v="2024-01-29T00:00:00"/>
    <x v="2"/>
    <n v="2024"/>
    <n v="1"/>
    <n v="0"/>
    <d v="1899-12-30T10:45:00"/>
    <d v="1899-12-30T20:42:00"/>
    <s v="Present"/>
    <s v="Evening"/>
    <s v="Office"/>
    <n v="0"/>
  </r>
  <r>
    <s v="E1021"/>
    <s v="Employee_21"/>
    <x v="4"/>
    <d v="2024-02-02T00:00:00"/>
    <x v="5"/>
    <n v="2024"/>
    <n v="1"/>
    <n v="0"/>
    <d v="1899-12-30T10:22:00"/>
    <d v="1899-12-30T17:54:00"/>
    <s v="Work From Home"/>
    <s v="Evening"/>
    <s v="Remote"/>
    <n v="0"/>
  </r>
  <r>
    <s v="E1048"/>
    <s v="Employee_48"/>
    <x v="2"/>
    <d v="2024-09-01T00:00:00"/>
    <x v="3"/>
    <n v="2024"/>
    <n v="1"/>
    <n v="1"/>
    <d v="1899-12-30T10:36:00"/>
    <d v="1899-12-30T17:55:00"/>
    <s v="Late"/>
    <s v="Evening"/>
    <s v="Remote"/>
    <n v="0"/>
  </r>
  <r>
    <s v="E1006"/>
    <s v="Employee_6"/>
    <x v="0"/>
    <d v="2024-01-13T00:00:00"/>
    <x v="2"/>
    <n v="2024"/>
    <n v="1"/>
    <n v="0"/>
    <d v="1899-12-30T09:58:00"/>
    <d v="1899-12-30T19:37:00"/>
    <s v="Work From Home"/>
    <s v="Morning"/>
    <s v="Remote"/>
    <n v="0"/>
  </r>
  <r>
    <s v="E1039"/>
    <s v="Employee_39"/>
    <x v="1"/>
    <d v="2024-01-25T00:00:00"/>
    <x v="2"/>
    <n v="2024"/>
    <n v="1"/>
    <n v="1"/>
    <d v="1899-12-30T09:08:00"/>
    <d v="1899-12-30T18:15:00"/>
    <s v="Late"/>
    <s v="Morning"/>
    <s v="Office"/>
    <n v="0"/>
  </r>
  <r>
    <s v="E1002"/>
    <s v="Employee_2"/>
    <x v="1"/>
    <d v="2024-01-17T00:00:00"/>
    <x v="2"/>
    <n v="2024"/>
    <n v="1"/>
    <n v="1"/>
    <d v="1899-12-30T11:42:00"/>
    <d v="1899-12-30T18:51:00"/>
    <s v="Late"/>
    <s v="Evening"/>
    <s v="Remote"/>
    <n v="0"/>
  </r>
  <r>
    <s v="E1058"/>
    <s v="Employee_58"/>
    <x v="0"/>
    <d v="2024-03-14T00:00:00"/>
    <x v="0"/>
    <n v="2024"/>
    <n v="1"/>
    <n v="1"/>
    <d v="1899-12-30T10:54:00"/>
    <d v="1899-12-30T17:05:00"/>
    <s v="Late"/>
    <s v="Evening"/>
    <s v="Office"/>
    <n v="0"/>
  </r>
  <r>
    <s v="E1034"/>
    <s v="Employee_34"/>
    <x v="3"/>
    <d v="2024-01-25T00:00:00"/>
    <x v="2"/>
    <n v="2024"/>
    <n v="1"/>
    <n v="1"/>
    <d v="1899-12-30T08:01:00"/>
    <d v="1899-12-30T18:37:00"/>
    <s v="Late"/>
    <s v="Morning"/>
    <s v="Office"/>
    <n v="0"/>
  </r>
  <r>
    <s v="E1017"/>
    <s v="Employee_17"/>
    <x v="2"/>
    <d v="2024-02-26T00:00:00"/>
    <x v="5"/>
    <n v="2024"/>
    <n v="1"/>
    <n v="1"/>
    <d v="1899-12-30T11:51:00"/>
    <d v="1899-12-30T18:28:00"/>
    <s v="Late"/>
    <s v="Evening"/>
    <s v="Office"/>
    <n v="0"/>
  </r>
  <r>
    <s v="E1044"/>
    <s v="Employee_44"/>
    <x v="2"/>
    <d v="2024-02-14T00:00:00"/>
    <x v="5"/>
    <n v="2024"/>
    <n v="1"/>
    <n v="0"/>
    <d v="1899-12-30T11:29:00"/>
    <d v="1899-12-30T17:21:00"/>
    <s v="Present"/>
    <s v="Morning"/>
    <s v="Remote"/>
    <n v="0"/>
  </r>
  <r>
    <s v="E1044"/>
    <s v="Employee_44"/>
    <x v="1"/>
    <d v="2024-02-25T00:00:00"/>
    <x v="5"/>
    <n v="2024"/>
    <n v="0"/>
    <n v="0"/>
    <m/>
    <m/>
    <s v="Absent"/>
    <s v="Morning"/>
    <s v="Remote"/>
    <n v="0"/>
  </r>
  <r>
    <s v="E1026"/>
    <s v="Employee_26"/>
    <x v="0"/>
    <d v="2024-01-30T00:00:00"/>
    <x v="2"/>
    <n v="2024"/>
    <n v="1"/>
    <n v="1"/>
    <d v="1899-12-30T11:19:00"/>
    <d v="1899-12-30T17:18:00"/>
    <s v="Late"/>
    <s v="Evening"/>
    <s v="Remote"/>
    <n v="0"/>
  </r>
  <r>
    <s v="E1026"/>
    <s v="Employee_26"/>
    <x v="0"/>
    <d v="2024-02-21T00:00:00"/>
    <x v="5"/>
    <n v="2024"/>
    <n v="0"/>
    <n v="0"/>
    <m/>
    <m/>
    <s v="Absent"/>
    <s v="Morning"/>
    <s v="Office"/>
    <n v="0"/>
  </r>
  <r>
    <s v="E1008"/>
    <s v="Employee_8"/>
    <x v="1"/>
    <d v="2024-01-14T00:00:00"/>
    <x v="2"/>
    <n v="2024"/>
    <n v="1"/>
    <n v="0"/>
    <d v="1899-12-30T11:00:00"/>
    <d v="1899-12-30T16:00:00"/>
    <s v="Present"/>
    <s v="Morning"/>
    <s v="Remote"/>
    <n v="0"/>
  </r>
  <r>
    <s v="E1015"/>
    <s v="Employee_15"/>
    <x v="0"/>
    <d v="2024-02-23T00:00:00"/>
    <x v="5"/>
    <n v="2024"/>
    <n v="1"/>
    <n v="0"/>
    <d v="1899-12-30T10:00:00"/>
    <d v="1899-12-30T16:14:00"/>
    <s v="Present"/>
    <s v="Morning"/>
    <s v="Remote"/>
    <n v="0"/>
  </r>
  <r>
    <s v="E1019"/>
    <s v="Employee_19"/>
    <x v="0"/>
    <d v="2024-01-29T00:00:00"/>
    <x v="2"/>
    <n v="2024"/>
    <n v="0"/>
    <n v="0"/>
    <m/>
    <m/>
    <s v="Absent"/>
    <s v="Evening"/>
    <s v="Office"/>
    <n v="0"/>
  </r>
  <r>
    <s v="E1019"/>
    <s v="Employee_19"/>
    <x v="0"/>
    <d v="2024-03-23T00:00:00"/>
    <x v="0"/>
    <n v="2024"/>
    <n v="1"/>
    <n v="0"/>
    <d v="1899-12-30T11:59:00"/>
    <d v="1899-12-30T17:05:00"/>
    <s v="Present"/>
    <s v="Morning"/>
    <s v="Office"/>
    <n v="0"/>
  </r>
  <r>
    <s v="E1000"/>
    <s v="Employee_0"/>
    <x v="0"/>
    <d v="2024-02-22T00:00:00"/>
    <x v="5"/>
    <n v="2024"/>
    <n v="1"/>
    <n v="0"/>
    <d v="1899-12-30T09:01:00"/>
    <d v="1899-12-30T18:24:00"/>
    <s v="Present"/>
    <s v="Evening"/>
    <s v="Office"/>
    <n v="0"/>
  </r>
  <r>
    <s v="E1027"/>
    <s v="Employee_27"/>
    <x v="0"/>
    <d v="2024-03-20T00:00:00"/>
    <x v="0"/>
    <n v="2024"/>
    <n v="0"/>
    <n v="0"/>
    <m/>
    <m/>
    <s v="Absent"/>
    <s v="Evening"/>
    <s v="Office"/>
    <n v="0"/>
  </r>
  <r>
    <s v="E1051"/>
    <s v="Employee_51"/>
    <x v="0"/>
    <d v="2024-08-02T00:00:00"/>
    <x v="9"/>
    <n v="2024"/>
    <n v="1"/>
    <n v="0"/>
    <d v="1899-12-30T10:25:00"/>
    <d v="1899-12-30T19:57:00"/>
    <s v="Present"/>
    <s v="Evening"/>
    <s v="Remote"/>
    <n v="0"/>
  </r>
  <r>
    <s v="E1024"/>
    <s v="Employee_24"/>
    <x v="4"/>
    <d v="2024-02-15T00:00:00"/>
    <x v="5"/>
    <n v="2024"/>
    <n v="0"/>
    <n v="0"/>
    <m/>
    <m/>
    <s v="Absent"/>
    <s v="Morning"/>
    <s v="Office"/>
    <n v="0"/>
  </r>
  <r>
    <s v="E1041"/>
    <s v="Employee_41"/>
    <x v="4"/>
    <d v="2024-11-02T00:00:00"/>
    <x v="1"/>
    <n v="2024"/>
    <n v="1"/>
    <n v="0"/>
    <d v="1899-12-30T08:15:00"/>
    <d v="1899-12-30T16:19:00"/>
    <s v="Work From Home"/>
    <s v="Morning"/>
    <s v="Remote"/>
    <n v="0"/>
  </r>
  <r>
    <s v="E1022"/>
    <s v="Employee_22"/>
    <x v="2"/>
    <d v="2024-01-16T00:00:00"/>
    <x v="2"/>
    <n v="2024"/>
    <n v="1"/>
    <n v="0"/>
    <d v="1899-12-30T08:06:00"/>
    <d v="1899-12-30T16:05:00"/>
    <s v="Present"/>
    <s v="Evening"/>
    <s v="Remote"/>
    <n v="0"/>
  </r>
  <r>
    <s v="E1058"/>
    <s v="Employee_58"/>
    <x v="3"/>
    <d v="2024-03-19T00:00:00"/>
    <x v="0"/>
    <n v="2024"/>
    <n v="0"/>
    <n v="0"/>
    <m/>
    <m/>
    <s v="Absent"/>
    <s v="Evening"/>
    <s v="Office"/>
    <n v="0"/>
  </r>
  <r>
    <s v="E1031"/>
    <s v="Employee_31"/>
    <x v="1"/>
    <d v="2024-03-14T00:00:00"/>
    <x v="0"/>
    <n v="2024"/>
    <n v="1"/>
    <n v="1"/>
    <d v="1899-12-30T10:10:00"/>
    <d v="1899-12-30T18:22:00"/>
    <s v="Late"/>
    <s v="Evening"/>
    <s v="Office"/>
    <n v="0"/>
  </r>
  <r>
    <s v="E1051"/>
    <s v="Employee_51"/>
    <x v="3"/>
    <d v="2024-10-02T00:00:00"/>
    <x v="7"/>
    <n v="2024"/>
    <n v="1"/>
    <n v="0"/>
    <d v="1899-12-30T09:44:00"/>
    <d v="1899-12-30T17:33:00"/>
    <s v="Work From Home"/>
    <s v="Evening"/>
    <s v="Office"/>
    <n v="0"/>
  </r>
  <r>
    <s v="E1026"/>
    <s v="Employee_26"/>
    <x v="3"/>
    <d v="2024-01-24T00:00:00"/>
    <x v="2"/>
    <n v="2024"/>
    <n v="1"/>
    <n v="0"/>
    <d v="1899-12-30T10:13:00"/>
    <d v="1899-12-30T16:20:00"/>
    <s v="Work From Home"/>
    <s v="Morning"/>
    <s v="Office"/>
    <n v="0"/>
  </r>
  <r>
    <s v="E1001"/>
    <s v="Employee_1"/>
    <x v="3"/>
    <d v="2024-02-29T00:00:00"/>
    <x v="5"/>
    <n v="2024"/>
    <n v="1"/>
    <n v="1"/>
    <d v="1899-12-30T10:53:00"/>
    <d v="1899-12-30T18:34:00"/>
    <s v="Late"/>
    <s v="Morning"/>
    <s v="Remote"/>
    <n v="0"/>
  </r>
  <r>
    <s v="E1023"/>
    <s v="Employee_23"/>
    <x v="4"/>
    <d v="2024-02-17T00:00:00"/>
    <x v="5"/>
    <n v="2024"/>
    <n v="1"/>
    <n v="1"/>
    <d v="1899-12-30T09:02:00"/>
    <d v="1899-12-30T16:40:00"/>
    <s v="Late"/>
    <s v="Morning"/>
    <s v="Office"/>
    <n v="0"/>
  </r>
  <r>
    <s v="E1009"/>
    <s v="Employee_9"/>
    <x v="0"/>
    <d v="2024-02-27T00:00:00"/>
    <x v="5"/>
    <n v="2024"/>
    <n v="1"/>
    <n v="0"/>
    <d v="1899-12-30T09:39:00"/>
    <d v="1899-12-30T18:56:00"/>
    <s v="Present"/>
    <s v="Evening"/>
    <s v="Office"/>
    <n v="0"/>
  </r>
  <r>
    <s v="E1047"/>
    <s v="Employee_47"/>
    <x v="4"/>
    <d v="2024-03-19T00:00:00"/>
    <x v="0"/>
    <n v="2024"/>
    <n v="1"/>
    <n v="0"/>
    <d v="1899-12-30T10:04:00"/>
    <d v="1899-12-30T16:21:00"/>
    <s v="Work From Home"/>
    <s v="Evening"/>
    <s v="Office"/>
    <n v="0"/>
  </r>
  <r>
    <s v="E1053"/>
    <s v="Employee_53"/>
    <x v="1"/>
    <d v="2024-02-21T00:00:00"/>
    <x v="5"/>
    <n v="2024"/>
    <n v="1"/>
    <n v="0"/>
    <d v="1899-12-30T10:06:00"/>
    <d v="1899-12-30T16:15:00"/>
    <s v="Present"/>
    <s v="Evening"/>
    <s v="Remote"/>
    <n v="0"/>
  </r>
  <r>
    <s v="E1057"/>
    <s v="Employee_57"/>
    <x v="1"/>
    <d v="2024-01-20T00:00:00"/>
    <x v="2"/>
    <n v="2024"/>
    <n v="1"/>
    <n v="0"/>
    <d v="1899-12-30T08:51:00"/>
    <d v="1899-12-30T18:52:00"/>
    <s v="Present"/>
    <s v="Morning"/>
    <s v="Office"/>
    <n v="0"/>
  </r>
  <r>
    <s v="E1032"/>
    <s v="Employee_32"/>
    <x v="0"/>
    <d v="2024-01-13T00:00:00"/>
    <x v="2"/>
    <n v="2024"/>
    <n v="1"/>
    <n v="0"/>
    <d v="1899-12-30T09:14:00"/>
    <d v="1899-12-30T16:47:00"/>
    <s v="Work From Home"/>
    <s v="Evening"/>
    <s v="Remote"/>
    <n v="0"/>
  </r>
  <r>
    <s v="E1023"/>
    <s v="Employee_23"/>
    <x v="0"/>
    <d v="2024-03-15T00:00:00"/>
    <x v="0"/>
    <n v="2024"/>
    <n v="1"/>
    <n v="0"/>
    <d v="1899-12-30T11:24:00"/>
    <d v="1899-12-30T16:34:00"/>
    <s v="Work From Home"/>
    <s v="Evening"/>
    <s v="Office"/>
    <n v="0"/>
  </r>
  <r>
    <s v="E1037"/>
    <s v="Employee_37"/>
    <x v="2"/>
    <d v="2024-02-24T00:00:00"/>
    <x v="5"/>
    <n v="2024"/>
    <n v="1"/>
    <n v="0"/>
    <d v="1899-12-30T10:16:00"/>
    <d v="1899-12-30T19:23:00"/>
    <s v="Work From Home"/>
    <s v="Morning"/>
    <s v="Office"/>
    <n v="0"/>
  </r>
  <r>
    <s v="E1009"/>
    <s v="Employee_9"/>
    <x v="0"/>
    <d v="2024-02-14T00:00:00"/>
    <x v="5"/>
    <n v="2024"/>
    <n v="0"/>
    <n v="0"/>
    <m/>
    <m/>
    <s v="Absent"/>
    <s v="Evening"/>
    <s v="Office"/>
    <n v="0"/>
  </r>
  <r>
    <s v="E1010"/>
    <s v="Employee_10"/>
    <x v="1"/>
    <d v="2024-06-01T00:00:00"/>
    <x v="11"/>
    <n v="2024"/>
    <n v="1"/>
    <n v="1"/>
    <d v="1899-12-30T08:45:00"/>
    <d v="1899-12-30T18:02:00"/>
    <s v="Late"/>
    <s v="Evening"/>
    <s v="Office"/>
    <n v="0"/>
  </r>
  <r>
    <s v="E1024"/>
    <s v="Employee_24"/>
    <x v="4"/>
    <d v="2024-03-15T00:00:00"/>
    <x v="0"/>
    <n v="2024"/>
    <n v="1"/>
    <n v="1"/>
    <d v="1899-12-30T11:35:00"/>
    <d v="1899-12-30T20:08:00"/>
    <s v="Late"/>
    <s v="Morning"/>
    <s v="Remote"/>
    <n v="0"/>
  </r>
  <r>
    <s v="E1007"/>
    <s v="Employee_7"/>
    <x v="2"/>
    <d v="2024-07-02T00:00:00"/>
    <x v="4"/>
    <n v="2024"/>
    <n v="1"/>
    <n v="1"/>
    <d v="1899-12-30T09:16:00"/>
    <d v="1899-12-30T17:08:00"/>
    <s v="Late"/>
    <s v="Evening"/>
    <s v="Remote"/>
    <n v="0"/>
  </r>
  <r>
    <s v="E1002"/>
    <s v="Employee_2"/>
    <x v="0"/>
    <d v="2024-04-02T00:00:00"/>
    <x v="10"/>
    <n v="2024"/>
    <n v="1"/>
    <n v="0"/>
    <d v="1899-12-30T09:53:00"/>
    <d v="1899-12-30T20:22:00"/>
    <s v="Work From Home"/>
    <s v="Evening"/>
    <s v="Office"/>
    <n v="0"/>
  </r>
  <r>
    <s v="E1042"/>
    <s v="Employee_42"/>
    <x v="0"/>
    <d v="2024-03-19T00:00:00"/>
    <x v="0"/>
    <n v="2024"/>
    <n v="1"/>
    <n v="0"/>
    <d v="1899-12-30T10:11:00"/>
    <d v="1899-12-30T16:52:00"/>
    <s v="Present"/>
    <s v="Evening"/>
    <s v="Remote"/>
    <n v="0"/>
  </r>
  <r>
    <s v="E1053"/>
    <s v="Employee_53"/>
    <x v="0"/>
    <d v="2024-01-11T00:00:00"/>
    <x v="2"/>
    <n v="2024"/>
    <n v="1"/>
    <n v="0"/>
    <d v="1899-12-30T11:08:00"/>
    <d v="1899-12-30T16:59:00"/>
    <s v="Present"/>
    <s v="Morning"/>
    <s v="Office"/>
    <n v="0"/>
  </r>
  <r>
    <s v="E1043"/>
    <s v="Employee_43"/>
    <x v="1"/>
    <d v="2024-01-19T00:00:00"/>
    <x v="2"/>
    <n v="2024"/>
    <n v="1"/>
    <n v="1"/>
    <d v="1899-12-30T09:34:00"/>
    <d v="1899-12-30T16:47:00"/>
    <s v="Late"/>
    <s v="Morning"/>
    <s v="Office"/>
    <n v="0"/>
  </r>
  <r>
    <s v="E1059"/>
    <s v="Employee_59"/>
    <x v="3"/>
    <d v="2024-02-21T00:00:00"/>
    <x v="5"/>
    <n v="2024"/>
    <n v="1"/>
    <n v="0"/>
    <d v="1899-12-30T08:05:00"/>
    <d v="1899-12-30T19:07:00"/>
    <s v="Present"/>
    <s v="Morning"/>
    <s v="Remote"/>
    <n v="0"/>
  </r>
  <r>
    <s v="E1058"/>
    <s v="Employee_58"/>
    <x v="1"/>
    <d v="2024-01-10T00:00:00"/>
    <x v="2"/>
    <n v="2024"/>
    <n v="1"/>
    <n v="0"/>
    <d v="1899-12-30T10:47:00"/>
    <d v="1899-12-30T19:04:00"/>
    <s v="Present"/>
    <s v="Evening"/>
    <s v="Office"/>
    <n v="0"/>
  </r>
  <r>
    <s v="E1056"/>
    <s v="Employee_56"/>
    <x v="4"/>
    <d v="2024-01-20T00:00:00"/>
    <x v="2"/>
    <n v="2024"/>
    <n v="1"/>
    <n v="0"/>
    <d v="1899-12-30T10:03:00"/>
    <d v="1899-12-30T20:04:00"/>
    <s v="Present"/>
    <s v="Morning"/>
    <s v="Office"/>
    <n v="0"/>
  </r>
  <r>
    <s v="E1009"/>
    <s v="Employee_9"/>
    <x v="0"/>
    <d v="2024-02-27T00:00:00"/>
    <x v="5"/>
    <n v="2024"/>
    <n v="0"/>
    <n v="0"/>
    <m/>
    <m/>
    <s v="Absent"/>
    <s v="Evening"/>
    <s v="Remote"/>
    <n v="0"/>
  </r>
  <r>
    <s v="E1031"/>
    <s v="Employee_31"/>
    <x v="0"/>
    <d v="2024-07-02T00:00:00"/>
    <x v="4"/>
    <n v="2024"/>
    <n v="0"/>
    <n v="0"/>
    <m/>
    <m/>
    <s v="Absent"/>
    <s v="Morning"/>
    <s v="Office"/>
    <n v="0"/>
  </r>
  <r>
    <s v="E1014"/>
    <s v="Employee_14"/>
    <x v="0"/>
    <d v="2024-03-29T00:00:00"/>
    <x v="0"/>
    <n v="2024"/>
    <n v="0"/>
    <n v="0"/>
    <m/>
    <m/>
    <s v="Absent"/>
    <s v="Morning"/>
    <s v="Office"/>
    <n v="0"/>
  </r>
  <r>
    <s v="E1027"/>
    <s v="Employee_27"/>
    <x v="2"/>
    <d v="2024-10-01T00:00:00"/>
    <x v="7"/>
    <n v="2024"/>
    <n v="1"/>
    <n v="1"/>
    <d v="1899-12-30T10:39:00"/>
    <d v="1899-12-30T16:09:00"/>
    <s v="Late"/>
    <s v="Morning"/>
    <s v="Remote"/>
    <n v="0"/>
  </r>
  <r>
    <s v="E1034"/>
    <s v="Employee_34"/>
    <x v="0"/>
    <d v="2024-03-17T00:00:00"/>
    <x v="0"/>
    <n v="2024"/>
    <n v="1"/>
    <n v="0"/>
    <d v="1899-12-30T08:48:00"/>
    <d v="1899-12-30T16:18:00"/>
    <s v="Work From Home"/>
    <s v="Morning"/>
    <s v="Remote"/>
    <n v="0"/>
  </r>
  <r>
    <s v="E1055"/>
    <s v="Employee_55"/>
    <x v="3"/>
    <d v="2024-10-02T00:00:00"/>
    <x v="7"/>
    <n v="2024"/>
    <n v="1"/>
    <n v="0"/>
    <d v="1899-12-30T09:41:00"/>
    <d v="1899-12-30T19:29:00"/>
    <s v="Present"/>
    <s v="Evening"/>
    <s v="Office"/>
    <n v="0"/>
  </r>
  <r>
    <s v="E1046"/>
    <s v="Employee_46"/>
    <x v="1"/>
    <d v="2024-10-03T00:00:00"/>
    <x v="7"/>
    <n v="2024"/>
    <n v="1"/>
    <n v="0"/>
    <d v="1899-12-30T10:55:00"/>
    <d v="1899-12-30T19:39:00"/>
    <s v="Work From Home"/>
    <s v="Evening"/>
    <s v="Remote"/>
    <n v="0"/>
  </r>
  <r>
    <s v="E1051"/>
    <s v="Employee_51"/>
    <x v="0"/>
    <d v="2024-03-14T00:00:00"/>
    <x v="0"/>
    <n v="2024"/>
    <n v="1"/>
    <n v="0"/>
    <d v="1899-12-30T08:41:00"/>
    <d v="1899-12-30T19:06:00"/>
    <s v="Present"/>
    <s v="Morning"/>
    <s v="Office"/>
    <n v="0"/>
  </r>
  <r>
    <s v="E1050"/>
    <s v="Employee_50"/>
    <x v="4"/>
    <d v="2024-02-17T00:00:00"/>
    <x v="5"/>
    <n v="2024"/>
    <n v="1"/>
    <n v="0"/>
    <d v="1899-12-30T08:54:00"/>
    <d v="1899-12-30T20:18:00"/>
    <s v="Work From Home"/>
    <s v="Morning"/>
    <s v="Office"/>
    <n v="0"/>
  </r>
  <r>
    <s v="E1032"/>
    <s v="Employee_32"/>
    <x v="0"/>
    <d v="2024-01-30T00:00:00"/>
    <x v="2"/>
    <n v="2024"/>
    <n v="0"/>
    <n v="0"/>
    <m/>
    <m/>
    <s v="Absent"/>
    <s v="Morning"/>
    <s v="Office"/>
    <n v="0"/>
  </r>
  <r>
    <s v="E1024"/>
    <s v="Employee_24"/>
    <x v="1"/>
    <d v="2024-06-01T00:00:00"/>
    <x v="11"/>
    <n v="2024"/>
    <n v="1"/>
    <n v="0"/>
    <d v="1899-12-30T09:10:00"/>
    <d v="1899-12-30T18:45:00"/>
    <s v="Present"/>
    <s v="Evening"/>
    <s v="Remote"/>
    <n v="0"/>
  </r>
  <r>
    <s v="E1052"/>
    <s v="Employee_52"/>
    <x v="0"/>
    <d v="2024-02-08T00:00:00"/>
    <x v="5"/>
    <n v="2024"/>
    <n v="1"/>
    <n v="1"/>
    <d v="1899-12-30T08:39:00"/>
    <d v="1899-12-30T19:19:00"/>
    <s v="Late"/>
    <s v="Evening"/>
    <s v="Remote"/>
    <n v="0"/>
  </r>
  <r>
    <s v="E1059"/>
    <s v="Employee_59"/>
    <x v="0"/>
    <d v="2024-03-15T00:00:00"/>
    <x v="0"/>
    <n v="2024"/>
    <n v="0"/>
    <n v="0"/>
    <m/>
    <m/>
    <s v="Absent"/>
    <s v="Evening"/>
    <s v="Office"/>
    <n v="0"/>
  </r>
  <r>
    <s v="E1029"/>
    <s v="Employee_29"/>
    <x v="2"/>
    <d v="2024-02-18T00:00:00"/>
    <x v="5"/>
    <n v="2024"/>
    <n v="1"/>
    <n v="0"/>
    <d v="1899-12-30T10:21:00"/>
    <d v="1899-12-30T20:38:00"/>
    <s v="Work From Home"/>
    <s v="Evening"/>
    <s v="Remote"/>
    <n v="0"/>
  </r>
  <r>
    <s v="E1016"/>
    <s v="Employee_16"/>
    <x v="0"/>
    <d v="2024-01-30T00:00:00"/>
    <x v="2"/>
    <n v="2024"/>
    <n v="1"/>
    <n v="1"/>
    <d v="1899-12-30T10:37:00"/>
    <d v="1899-12-30T20:28:00"/>
    <s v="Late"/>
    <s v="Evening"/>
    <s v="Remote"/>
    <n v="0"/>
  </r>
  <r>
    <s v="E1059"/>
    <s v="Employee_59"/>
    <x v="3"/>
    <d v="2024-01-03T00:00:00"/>
    <x v="2"/>
    <n v="2024"/>
    <n v="1"/>
    <n v="0"/>
    <d v="1899-12-30T09:03:00"/>
    <d v="1899-12-30T19:49:00"/>
    <s v="Work From Home"/>
    <s v="Morning"/>
    <s v="Remote"/>
    <n v="0"/>
  </r>
  <r>
    <s v="E1000"/>
    <s v="Employee_0"/>
    <x v="4"/>
    <d v="2024-01-28T00:00:00"/>
    <x v="2"/>
    <n v="2024"/>
    <n v="1"/>
    <n v="0"/>
    <d v="1899-12-30T09:09:00"/>
    <d v="1899-12-30T20:07:00"/>
    <s v="Work From Home"/>
    <s v="Morning"/>
    <s v="Remote"/>
    <n v="0"/>
  </r>
  <r>
    <s v="E1006"/>
    <s v="Employee_6"/>
    <x v="2"/>
    <d v="2024-01-19T00:00:00"/>
    <x v="2"/>
    <n v="2024"/>
    <n v="0"/>
    <n v="0"/>
    <m/>
    <m/>
    <s v="Absent"/>
    <s v="Evening"/>
    <s v="Remote"/>
    <n v="0"/>
  </r>
  <r>
    <s v="E1027"/>
    <s v="Employee_27"/>
    <x v="2"/>
    <d v="2024-01-23T00:00:00"/>
    <x v="2"/>
    <n v="2024"/>
    <n v="1"/>
    <n v="0"/>
    <d v="1899-12-30T08:46:00"/>
    <d v="1899-12-30T16:53:00"/>
    <s v="Work From Home"/>
    <s v="Morning"/>
    <s v="Office"/>
    <n v="0"/>
  </r>
  <r>
    <s v="E1004"/>
    <s v="Employee_4"/>
    <x v="4"/>
    <d v="2024-02-01T00:00:00"/>
    <x v="5"/>
    <n v="2024"/>
    <n v="1"/>
    <n v="1"/>
    <d v="1899-12-30T10:29:00"/>
    <d v="1899-12-30T16:34:00"/>
    <s v="Late"/>
    <s v="Morning"/>
    <s v="Office"/>
    <n v="0"/>
  </r>
  <r>
    <s v="E1019"/>
    <s v="Employee_19"/>
    <x v="4"/>
    <d v="2024-01-30T00:00:00"/>
    <x v="2"/>
    <n v="2024"/>
    <n v="0"/>
    <n v="0"/>
    <m/>
    <m/>
    <s v="Absent"/>
    <s v="Morning"/>
    <s v="Remote"/>
    <n v="0"/>
  </r>
  <r>
    <s v="E1029"/>
    <s v="Employee_29"/>
    <x v="0"/>
    <d v="2024-03-07T00:00:00"/>
    <x v="0"/>
    <n v="2024"/>
    <n v="0"/>
    <n v="0"/>
    <m/>
    <m/>
    <s v="Absent"/>
    <s v="Morning"/>
    <s v="Remote"/>
    <n v="0"/>
  </r>
  <r>
    <s v="E1046"/>
    <s v="Employee_46"/>
    <x v="1"/>
    <d v="2024-01-19T00:00:00"/>
    <x v="2"/>
    <n v="2024"/>
    <n v="0"/>
    <n v="0"/>
    <m/>
    <m/>
    <s v="Absent"/>
    <s v="Evening"/>
    <s v="Office"/>
    <n v="0"/>
  </r>
  <r>
    <s v="E1001"/>
    <s v="Employee_1"/>
    <x v="3"/>
    <d v="2024-02-25T00:00:00"/>
    <x v="5"/>
    <n v="2024"/>
    <n v="1"/>
    <n v="0"/>
    <d v="1899-12-30T10:11:00"/>
    <d v="1899-12-30T19:01:00"/>
    <s v="Work From Home"/>
    <s v="Evening"/>
    <s v="Office"/>
    <n v="0"/>
  </r>
  <r>
    <s v="E1012"/>
    <s v="Employee_12"/>
    <x v="1"/>
    <d v="2024-03-13T00:00:00"/>
    <x v="0"/>
    <n v="2024"/>
    <n v="0"/>
    <n v="0"/>
    <m/>
    <m/>
    <s v="Absent"/>
    <s v="Morning"/>
    <s v="Office"/>
    <n v="0"/>
  </r>
  <r>
    <s v="E1056"/>
    <s v="Employee_56"/>
    <x v="3"/>
    <d v="2024-02-22T00:00:00"/>
    <x v="5"/>
    <n v="2024"/>
    <n v="1"/>
    <n v="1"/>
    <d v="1899-12-30T08:11:00"/>
    <d v="1899-12-30T17:32:00"/>
    <s v="Late"/>
    <s v="Morning"/>
    <s v="Office"/>
    <n v="0"/>
  </r>
  <r>
    <s v="E1033"/>
    <s v="Employee_33"/>
    <x v="1"/>
    <d v="2024-02-18T00:00:00"/>
    <x v="5"/>
    <n v="2024"/>
    <n v="1"/>
    <n v="1"/>
    <d v="1899-12-30T11:29:00"/>
    <d v="1899-12-30T18:50:00"/>
    <s v="Late"/>
    <s v="Morning"/>
    <s v="Remote"/>
    <n v="0"/>
  </r>
  <r>
    <s v="E1034"/>
    <s v="Employee_34"/>
    <x v="1"/>
    <d v="2024-03-23T00:00:00"/>
    <x v="0"/>
    <n v="2024"/>
    <n v="1"/>
    <n v="1"/>
    <d v="1899-12-30T10:16:00"/>
    <d v="1899-12-30T18:08:00"/>
    <s v="Late"/>
    <s v="Morning"/>
    <s v="Remote"/>
    <n v="0"/>
  </r>
  <r>
    <s v="E1054"/>
    <s v="Employee_54"/>
    <x v="1"/>
    <d v="2024-12-01T00:00:00"/>
    <x v="8"/>
    <n v="2024"/>
    <n v="1"/>
    <n v="0"/>
    <d v="1899-12-30T09:23:00"/>
    <d v="1899-12-30T18:41:00"/>
    <s v="Present"/>
    <s v="Morning"/>
    <s v="Office"/>
    <n v="0"/>
  </r>
  <r>
    <s v="E1040"/>
    <s v="Employee_40"/>
    <x v="0"/>
    <d v="2024-01-18T00:00:00"/>
    <x v="2"/>
    <n v="2024"/>
    <n v="1"/>
    <n v="1"/>
    <d v="1899-12-30T11:56:00"/>
    <d v="1899-12-30T20:53:00"/>
    <s v="Late"/>
    <s v="Morning"/>
    <s v="Office"/>
    <n v="0"/>
  </r>
  <r>
    <s v="E1044"/>
    <s v="Employee_44"/>
    <x v="0"/>
    <d v="2024-03-25T00:00:00"/>
    <x v="0"/>
    <n v="2024"/>
    <n v="0"/>
    <n v="0"/>
    <m/>
    <m/>
    <s v="Absent"/>
    <s v="Morning"/>
    <s v="Remote"/>
    <n v="0"/>
  </r>
  <r>
    <s v="E1048"/>
    <s v="Employee_48"/>
    <x v="4"/>
    <d v="2024-03-14T00:00:00"/>
    <x v="0"/>
    <n v="2024"/>
    <n v="1"/>
    <n v="1"/>
    <d v="1899-12-30T09:13:00"/>
    <d v="1899-12-30T19:40:00"/>
    <s v="Late"/>
    <s v="Morning"/>
    <s v="Office"/>
    <n v="0"/>
  </r>
  <r>
    <s v="E1013"/>
    <s v="Employee_13"/>
    <x v="1"/>
    <d v="2024-02-03T00:00:00"/>
    <x v="5"/>
    <n v="2024"/>
    <n v="1"/>
    <n v="0"/>
    <d v="1899-12-30T09:18:00"/>
    <d v="1899-12-30T19:13:00"/>
    <s v="Present"/>
    <s v="Evening"/>
    <s v="Remote"/>
    <n v="0"/>
  </r>
  <r>
    <s v="E1055"/>
    <s v="Employee_55"/>
    <x v="4"/>
    <d v="2024-11-03T00:00:00"/>
    <x v="1"/>
    <n v="2024"/>
    <n v="0"/>
    <n v="0"/>
    <m/>
    <m/>
    <s v="Absent"/>
    <s v="Morning"/>
    <s v="Remote"/>
    <n v="0"/>
  </r>
  <r>
    <s v="E1027"/>
    <s v="Employee_27"/>
    <x v="3"/>
    <d v="2024-01-31T00:00:00"/>
    <x v="2"/>
    <n v="2024"/>
    <n v="1"/>
    <n v="0"/>
    <d v="1899-12-30T09:48:00"/>
    <d v="1899-12-30T19:24:00"/>
    <s v="Work From Home"/>
    <s v="Evening"/>
    <s v="Remote"/>
    <n v="0"/>
  </r>
  <r>
    <s v="E1013"/>
    <s v="Employee_13"/>
    <x v="4"/>
    <d v="2024-02-03T00:00:00"/>
    <x v="5"/>
    <n v="2024"/>
    <n v="1"/>
    <n v="1"/>
    <d v="1899-12-30T11:24:00"/>
    <d v="1899-12-30T20:28:00"/>
    <s v="Late"/>
    <s v="Evening"/>
    <s v="Remote"/>
    <n v="0"/>
  </r>
  <r>
    <s v="E1004"/>
    <s v="Employee_4"/>
    <x v="4"/>
    <d v="2024-01-29T00:00:00"/>
    <x v="2"/>
    <n v="2024"/>
    <n v="1"/>
    <n v="0"/>
    <d v="1899-12-30T10:45:00"/>
    <d v="1899-12-30T17:15:00"/>
    <s v="Work From Home"/>
    <s v="Evening"/>
    <s v="Remote"/>
    <n v="0"/>
  </r>
  <r>
    <s v="E1029"/>
    <s v="Employee_29"/>
    <x v="0"/>
    <d v="2024-11-01T00:00:00"/>
    <x v="1"/>
    <n v="2024"/>
    <n v="1"/>
    <n v="0"/>
    <d v="1899-12-30T08:47:00"/>
    <d v="1899-12-30T19:54:00"/>
    <s v="Work From Home"/>
    <s v="Morning"/>
    <s v="Remote"/>
    <n v="0"/>
  </r>
  <r>
    <s v="E1039"/>
    <s v="Employee_39"/>
    <x v="3"/>
    <d v="2024-02-28T00:00:00"/>
    <x v="5"/>
    <n v="2024"/>
    <n v="1"/>
    <n v="1"/>
    <d v="1899-12-30T09:28:00"/>
    <d v="1899-12-30T20:15:00"/>
    <s v="Late"/>
    <s v="Evening"/>
    <s v="Remote"/>
    <n v="0"/>
  </r>
  <r>
    <s v="E1024"/>
    <s v="Employee_24"/>
    <x v="1"/>
    <d v="2024-02-14T00:00:00"/>
    <x v="5"/>
    <n v="2024"/>
    <n v="1"/>
    <n v="0"/>
    <d v="1899-12-30T11:26:00"/>
    <d v="1899-12-30T18:27:00"/>
    <s v="Present"/>
    <s v="Morning"/>
    <s v="Office"/>
    <n v="0"/>
  </r>
  <r>
    <s v="E1030"/>
    <s v="Employee_30"/>
    <x v="3"/>
    <d v="2024-01-13T00:00:00"/>
    <x v="2"/>
    <n v="2024"/>
    <n v="1"/>
    <n v="1"/>
    <d v="1899-12-30T08:47:00"/>
    <d v="1899-12-30T20:13:00"/>
    <s v="Late"/>
    <s v="Morning"/>
    <s v="Office"/>
    <n v="0"/>
  </r>
  <r>
    <s v="E1048"/>
    <s v="Employee_48"/>
    <x v="4"/>
    <d v="2024-02-01T00:00:00"/>
    <x v="5"/>
    <n v="2024"/>
    <n v="1"/>
    <n v="0"/>
    <d v="1899-12-30T10:48:00"/>
    <d v="1899-12-30T17:15:00"/>
    <s v="Present"/>
    <s v="Evening"/>
    <s v="Remote"/>
    <n v="0"/>
  </r>
  <r>
    <s v="E1059"/>
    <s v="Employee_59"/>
    <x v="4"/>
    <d v="2024-03-18T00:00:00"/>
    <x v="0"/>
    <n v="2024"/>
    <n v="1"/>
    <n v="1"/>
    <d v="1899-12-30T08:58:00"/>
    <d v="1899-12-30T16:30:00"/>
    <s v="Late"/>
    <s v="Evening"/>
    <s v="Remote"/>
    <n v="0"/>
  </r>
  <r>
    <s v="E1019"/>
    <s v="Employee_19"/>
    <x v="4"/>
    <d v="2024-01-17T00:00:00"/>
    <x v="2"/>
    <n v="2024"/>
    <n v="1"/>
    <n v="1"/>
    <d v="1899-12-30T11:13:00"/>
    <d v="1899-12-30T17:05:00"/>
    <s v="Late"/>
    <s v="Morning"/>
    <s v="Office"/>
    <n v="0"/>
  </r>
  <r>
    <s v="E1038"/>
    <s v="Employee_38"/>
    <x v="3"/>
    <d v="2024-01-29T00:00:00"/>
    <x v="2"/>
    <n v="2024"/>
    <n v="1"/>
    <n v="0"/>
    <d v="1899-12-30T08:24:00"/>
    <d v="1899-12-30T17:13:00"/>
    <s v="Present"/>
    <s v="Evening"/>
    <s v="Office"/>
    <n v="0"/>
  </r>
  <r>
    <s v="E1008"/>
    <s v="Employee_8"/>
    <x v="4"/>
    <d v="2024-03-30T00:00:00"/>
    <x v="0"/>
    <n v="2024"/>
    <n v="1"/>
    <n v="0"/>
    <d v="1899-12-30T09:55:00"/>
    <d v="1899-12-30T20:55:00"/>
    <s v="Work From Home"/>
    <s v="Morning"/>
    <s v="Remote"/>
    <n v="0"/>
  </r>
  <r>
    <s v="E1052"/>
    <s v="Employee_52"/>
    <x v="2"/>
    <d v="2024-12-02T00:00:00"/>
    <x v="8"/>
    <n v="2024"/>
    <n v="1"/>
    <n v="0"/>
    <d v="1899-12-30T08:44:00"/>
    <d v="1899-12-30T18:49:00"/>
    <s v="Work From Home"/>
    <s v="Morning"/>
    <s v="Remote"/>
    <n v="0"/>
  </r>
  <r>
    <s v="E1020"/>
    <s v="Employee_20"/>
    <x v="1"/>
    <d v="2024-02-25T00:00:00"/>
    <x v="5"/>
    <n v="2024"/>
    <n v="0"/>
    <n v="0"/>
    <m/>
    <m/>
    <s v="Absent"/>
    <s v="Morning"/>
    <s v="Office"/>
    <n v="0"/>
  </r>
  <r>
    <s v="E1058"/>
    <s v="Employee_58"/>
    <x v="2"/>
    <d v="2024-09-01T00:00:00"/>
    <x v="3"/>
    <n v="2024"/>
    <n v="1"/>
    <n v="0"/>
    <d v="1899-12-30T11:41:00"/>
    <d v="1899-12-30T20:19:00"/>
    <s v="Present"/>
    <s v="Evening"/>
    <s v="Office"/>
    <n v="0"/>
  </r>
  <r>
    <s v="E1041"/>
    <s v="Employee_41"/>
    <x v="4"/>
    <d v="2024-02-29T00:00:00"/>
    <x v="5"/>
    <n v="2024"/>
    <n v="1"/>
    <n v="0"/>
    <d v="1899-12-30T09:47:00"/>
    <d v="1899-12-30T20:41:00"/>
    <s v="Work From Home"/>
    <s v="Evening"/>
    <s v="Office"/>
    <n v="0"/>
  </r>
  <r>
    <s v="E1024"/>
    <s v="Employee_24"/>
    <x v="0"/>
    <d v="2024-03-23T00:00:00"/>
    <x v="0"/>
    <n v="2024"/>
    <n v="1"/>
    <n v="1"/>
    <d v="1899-12-30T08:43:00"/>
    <d v="1899-12-30T19:13:00"/>
    <s v="Late"/>
    <s v="Morning"/>
    <s v="Office"/>
    <n v="0"/>
  </r>
  <r>
    <s v="E1028"/>
    <s v="Employee_28"/>
    <x v="3"/>
    <d v="2024-11-03T00:00:00"/>
    <x v="1"/>
    <n v="2024"/>
    <n v="1"/>
    <n v="0"/>
    <d v="1899-12-30T11:29:00"/>
    <d v="1899-12-30T17:57:00"/>
    <s v="Present"/>
    <s v="Morning"/>
    <s v="Office"/>
    <n v="0"/>
  </r>
  <r>
    <s v="E1001"/>
    <s v="Employee_1"/>
    <x v="0"/>
    <d v="2024-01-26T00:00:00"/>
    <x v="2"/>
    <n v="2024"/>
    <n v="0"/>
    <n v="0"/>
    <m/>
    <m/>
    <s v="Absent"/>
    <s v="Evening"/>
    <s v="Office"/>
    <n v="0"/>
  </r>
  <r>
    <s v="E1007"/>
    <s v="Employee_7"/>
    <x v="4"/>
    <d v="2024-12-02T00:00:00"/>
    <x v="8"/>
    <n v="2024"/>
    <n v="1"/>
    <n v="0"/>
    <d v="1899-12-30T09:05:00"/>
    <d v="1899-12-30T20:53:00"/>
    <s v="Present"/>
    <s v="Morning"/>
    <s v="Office"/>
    <n v="0"/>
  </r>
  <r>
    <s v="E1026"/>
    <s v="Employee_26"/>
    <x v="4"/>
    <d v="2024-01-03T00:00:00"/>
    <x v="2"/>
    <n v="2024"/>
    <n v="1"/>
    <n v="0"/>
    <d v="1899-12-30T11:38:00"/>
    <d v="1899-12-30T17:22:00"/>
    <s v="Present"/>
    <s v="Morning"/>
    <s v="Office"/>
    <n v="0"/>
  </r>
  <r>
    <s v="E1023"/>
    <s v="Employee_23"/>
    <x v="0"/>
    <d v="2024-01-22T00:00:00"/>
    <x v="2"/>
    <n v="2024"/>
    <n v="1"/>
    <n v="0"/>
    <d v="1899-12-30T10:46:00"/>
    <d v="1899-12-30T17:03:00"/>
    <s v="Present"/>
    <s v="Evening"/>
    <s v="Office"/>
    <n v="0"/>
  </r>
  <r>
    <s v="E1049"/>
    <s v="Employee_49"/>
    <x v="4"/>
    <d v="2024-03-21T00:00:00"/>
    <x v="0"/>
    <n v="2024"/>
    <n v="0"/>
    <n v="0"/>
    <m/>
    <m/>
    <s v="Absent"/>
    <s v="Morning"/>
    <s v="Remote"/>
    <n v="0"/>
  </r>
  <r>
    <s v="E1043"/>
    <s v="Employee_43"/>
    <x v="4"/>
    <d v="2024-02-02T00:00:00"/>
    <x v="5"/>
    <n v="2024"/>
    <n v="1"/>
    <n v="1"/>
    <d v="1899-12-30T09:43:00"/>
    <d v="1899-12-30T16:23:00"/>
    <s v="Late"/>
    <s v="Evening"/>
    <s v="Office"/>
    <n v="0"/>
  </r>
  <r>
    <s v="E1028"/>
    <s v="Employee_28"/>
    <x v="0"/>
    <d v="2024-09-02T00:00:00"/>
    <x v="3"/>
    <n v="2024"/>
    <n v="0"/>
    <n v="0"/>
    <m/>
    <m/>
    <s v="Absent"/>
    <s v="Evening"/>
    <s v="Remote"/>
    <n v="0"/>
  </r>
  <r>
    <s v="E1044"/>
    <s v="Employee_44"/>
    <x v="1"/>
    <d v="2024-03-27T00:00:00"/>
    <x v="0"/>
    <n v="2024"/>
    <n v="1"/>
    <n v="1"/>
    <d v="1899-12-30T09:47:00"/>
    <d v="1899-12-30T17:00:00"/>
    <s v="Late"/>
    <s v="Evening"/>
    <s v="Office"/>
    <n v="0"/>
  </r>
  <r>
    <s v="E1039"/>
    <s v="Employee_39"/>
    <x v="4"/>
    <d v="2024-02-03T00:00:00"/>
    <x v="5"/>
    <n v="2024"/>
    <n v="1"/>
    <n v="0"/>
    <d v="1899-12-30T09:31:00"/>
    <d v="1899-12-30T19:39:00"/>
    <s v="Work From Home"/>
    <s v="Evening"/>
    <s v="Remote"/>
    <n v="0"/>
  </r>
  <r>
    <s v="E1011"/>
    <s v="Employee_11"/>
    <x v="1"/>
    <d v="2024-06-01T00:00:00"/>
    <x v="11"/>
    <n v="2024"/>
    <n v="1"/>
    <n v="0"/>
    <d v="1899-12-30T08:57:00"/>
    <d v="1899-12-30T20:49:00"/>
    <s v="Present"/>
    <s v="Evening"/>
    <s v="Office"/>
    <n v="0"/>
  </r>
  <r>
    <s v="E1041"/>
    <s v="Employee_41"/>
    <x v="0"/>
    <d v="2024-11-01T00:00:00"/>
    <x v="1"/>
    <n v="2024"/>
    <n v="1"/>
    <n v="1"/>
    <d v="1899-12-30T10:27:00"/>
    <d v="1899-12-30T20:40:00"/>
    <s v="Late"/>
    <s v="Evening"/>
    <s v="Office"/>
    <n v="0"/>
  </r>
  <r>
    <s v="E1014"/>
    <s v="Employee_14"/>
    <x v="0"/>
    <d v="2024-01-24T00:00:00"/>
    <x v="2"/>
    <n v="2024"/>
    <n v="1"/>
    <n v="0"/>
    <d v="1899-12-30T10:21:00"/>
    <d v="1899-12-30T18:58:00"/>
    <s v="Present"/>
    <s v="Morning"/>
    <s v="Remote"/>
    <n v="0"/>
  </r>
  <r>
    <s v="E1057"/>
    <s v="Employee_57"/>
    <x v="2"/>
    <d v="2024-02-03T00:00:00"/>
    <x v="5"/>
    <n v="2024"/>
    <n v="1"/>
    <n v="0"/>
    <d v="1899-12-30T10:50:00"/>
    <d v="1899-12-30T17:18:00"/>
    <s v="Present"/>
    <s v="Morning"/>
    <s v="Office"/>
    <n v="0"/>
  </r>
  <r>
    <s v="E1021"/>
    <s v="Employee_21"/>
    <x v="0"/>
    <d v="2024-03-19T00:00:00"/>
    <x v="0"/>
    <n v="2024"/>
    <n v="1"/>
    <n v="0"/>
    <d v="1899-12-30T10:10:00"/>
    <d v="1899-12-30T19:36:00"/>
    <s v="Work From Home"/>
    <s v="Morning"/>
    <s v="Office"/>
    <n v="0"/>
  </r>
  <r>
    <s v="E1011"/>
    <s v="Employee_11"/>
    <x v="4"/>
    <d v="2024-01-01T00:00:00"/>
    <x v="2"/>
    <n v="2024"/>
    <n v="1"/>
    <n v="0"/>
    <d v="1899-12-30T10:31:00"/>
    <d v="1899-12-30T20:16:00"/>
    <s v="Work From Home"/>
    <s v="Morning"/>
    <s v="Office"/>
    <n v="0"/>
  </r>
  <r>
    <s v="E1026"/>
    <s v="Employee_26"/>
    <x v="0"/>
    <d v="2024-01-23T00:00:00"/>
    <x v="2"/>
    <n v="2024"/>
    <n v="1"/>
    <n v="0"/>
    <d v="1899-12-30T09:07:00"/>
    <d v="1899-12-30T18:36:00"/>
    <s v="Present"/>
    <s v="Evening"/>
    <s v="Office"/>
    <n v="0"/>
  </r>
  <r>
    <s v="E1047"/>
    <s v="Employee_47"/>
    <x v="0"/>
    <d v="2024-01-05T00:00:00"/>
    <x v="2"/>
    <n v="2024"/>
    <n v="0"/>
    <n v="0"/>
    <m/>
    <m/>
    <s v="Absent"/>
    <s v="Evening"/>
    <s v="Remote"/>
    <n v="0"/>
  </r>
  <r>
    <s v="E1025"/>
    <s v="Employee_25"/>
    <x v="4"/>
    <d v="2024-01-29T00:00:00"/>
    <x v="2"/>
    <n v="2024"/>
    <n v="1"/>
    <n v="1"/>
    <d v="1899-12-30T11:28:00"/>
    <d v="1899-12-30T18:34:00"/>
    <s v="Late"/>
    <s v="Evening"/>
    <s v="Office"/>
    <n v="0"/>
  </r>
  <r>
    <s v="E1002"/>
    <s v="Employee_2"/>
    <x v="3"/>
    <d v="2024-02-24T00:00:00"/>
    <x v="5"/>
    <n v="2024"/>
    <n v="1"/>
    <n v="1"/>
    <d v="1899-12-30T09:08:00"/>
    <d v="1899-12-30T18:08:00"/>
    <s v="Late"/>
    <s v="Evening"/>
    <s v="Remote"/>
    <n v="0"/>
  </r>
  <r>
    <s v="E1003"/>
    <s v="Employee_3"/>
    <x v="4"/>
    <d v="2024-11-01T00:00:00"/>
    <x v="1"/>
    <n v="2024"/>
    <n v="0"/>
    <n v="0"/>
    <m/>
    <m/>
    <s v="Absent"/>
    <s v="Evening"/>
    <s v="Remote"/>
    <n v="0"/>
  </r>
  <r>
    <s v="E1050"/>
    <s v="Employee_50"/>
    <x v="0"/>
    <d v="2024-03-26T00:00:00"/>
    <x v="0"/>
    <n v="2024"/>
    <n v="1"/>
    <n v="0"/>
    <d v="1899-12-30T08:55:00"/>
    <d v="1899-12-30T16:28:00"/>
    <s v="Present"/>
    <s v="Evening"/>
    <s v="Remote"/>
    <n v="0"/>
  </r>
  <r>
    <s v="E1033"/>
    <s v="Employee_33"/>
    <x v="2"/>
    <d v="2024-06-02T00:00:00"/>
    <x v="11"/>
    <n v="2024"/>
    <n v="1"/>
    <n v="0"/>
    <d v="1899-12-30T10:08:00"/>
    <d v="1899-12-30T17:29:00"/>
    <s v="Present"/>
    <s v="Morning"/>
    <s v="Remote"/>
    <n v="0"/>
  </r>
  <r>
    <s v="E1000"/>
    <s v="Employee_0"/>
    <x v="4"/>
    <d v="2024-03-02T00:00:00"/>
    <x v="0"/>
    <n v="2024"/>
    <n v="1"/>
    <n v="1"/>
    <d v="1899-12-30T09:51:00"/>
    <d v="1899-12-30T17:22:00"/>
    <s v="Late"/>
    <s v="Evening"/>
    <s v="Office"/>
    <n v="0"/>
  </r>
  <r>
    <s v="E1053"/>
    <s v="Employee_53"/>
    <x v="4"/>
    <d v="2024-03-27T00:00:00"/>
    <x v="0"/>
    <n v="2024"/>
    <n v="0"/>
    <n v="0"/>
    <m/>
    <m/>
    <s v="Absent"/>
    <s v="Evening"/>
    <s v="Remote"/>
    <n v="0"/>
  </r>
  <r>
    <s v="E1042"/>
    <s v="Employee_42"/>
    <x v="1"/>
    <d v="2024-08-01T00:00:00"/>
    <x v="9"/>
    <n v="2024"/>
    <n v="1"/>
    <n v="0"/>
    <d v="1899-12-30T09:39:00"/>
    <d v="1899-12-30T17:36:00"/>
    <s v="Present"/>
    <s v="Evening"/>
    <s v="Office"/>
    <n v="0"/>
  </r>
  <r>
    <s v="E1051"/>
    <s v="Employee_51"/>
    <x v="4"/>
    <d v="2024-03-30T00:00:00"/>
    <x v="0"/>
    <n v="2024"/>
    <n v="1"/>
    <n v="1"/>
    <d v="1899-12-30T09:18:00"/>
    <d v="1899-12-30T16:16:00"/>
    <s v="Late"/>
    <s v="Evening"/>
    <s v="Remote"/>
    <n v="0"/>
  </r>
  <r>
    <s v="E1013"/>
    <s v="Employee_13"/>
    <x v="3"/>
    <d v="2024-03-02T00:00:00"/>
    <x v="0"/>
    <n v="2024"/>
    <n v="1"/>
    <n v="0"/>
    <d v="1899-12-30T10:30:00"/>
    <d v="1899-12-30T16:18:00"/>
    <s v="Work From Home"/>
    <s v="Evening"/>
    <s v="Office"/>
    <n v="0"/>
  </r>
  <r>
    <s v="E1054"/>
    <s v="Employee_54"/>
    <x v="2"/>
    <d v="2024-03-22T00:00:00"/>
    <x v="0"/>
    <n v="2024"/>
    <n v="0"/>
    <n v="0"/>
    <m/>
    <m/>
    <s v="Absent"/>
    <s v="Evening"/>
    <s v="Office"/>
    <n v="0"/>
  </r>
  <r>
    <s v="E1036"/>
    <s v="Employee_36"/>
    <x v="2"/>
    <d v="2024-01-25T00:00:00"/>
    <x v="2"/>
    <n v="2024"/>
    <n v="1"/>
    <n v="0"/>
    <d v="1899-12-30T11:43:00"/>
    <d v="1899-12-30T18:56:00"/>
    <s v="Present"/>
    <s v="Morning"/>
    <s v="Office"/>
    <n v="0"/>
  </r>
  <r>
    <s v="E1045"/>
    <s v="Employee_45"/>
    <x v="0"/>
    <d v="2024-03-11T00:00:00"/>
    <x v="0"/>
    <n v="2024"/>
    <n v="0"/>
    <n v="0"/>
    <m/>
    <m/>
    <s v="Absent"/>
    <s v="Evening"/>
    <s v="Remote"/>
    <n v="0"/>
  </r>
  <r>
    <s v="E1049"/>
    <s v="Employee_49"/>
    <x v="2"/>
    <d v="2024-02-28T00:00:00"/>
    <x v="5"/>
    <n v="2024"/>
    <n v="1"/>
    <n v="0"/>
    <d v="1899-12-30T10:33:00"/>
    <d v="1899-12-30T20:45:00"/>
    <s v="Present"/>
    <s v="Morning"/>
    <s v="Remote"/>
    <n v="0"/>
  </r>
  <r>
    <s v="E1019"/>
    <s v="Employee_19"/>
    <x v="2"/>
    <d v="2024-01-16T00:00:00"/>
    <x v="2"/>
    <n v="2024"/>
    <n v="1"/>
    <n v="0"/>
    <d v="1899-12-30T10:21:00"/>
    <d v="1899-12-30T20:39:00"/>
    <s v="Present"/>
    <s v="Morning"/>
    <s v="Remote"/>
    <n v="0"/>
  </r>
  <r>
    <s v="E1042"/>
    <s v="Employee_42"/>
    <x v="3"/>
    <d v="2024-01-24T00:00:00"/>
    <x v="2"/>
    <n v="2024"/>
    <n v="0"/>
    <n v="0"/>
    <m/>
    <m/>
    <s v="Absent"/>
    <s v="Morning"/>
    <s v="Office"/>
    <n v="0"/>
  </r>
  <r>
    <s v="E1000"/>
    <s v="Employee_0"/>
    <x v="0"/>
    <d v="2024-11-02T00:00:00"/>
    <x v="1"/>
    <n v="2024"/>
    <n v="0"/>
    <n v="0"/>
    <m/>
    <m/>
    <s v="Absent"/>
    <s v="Evening"/>
    <s v="Office"/>
    <n v="0"/>
  </r>
  <r>
    <s v="E1024"/>
    <s v="Employee_24"/>
    <x v="4"/>
    <d v="2024-01-05T00:00:00"/>
    <x v="2"/>
    <n v="2024"/>
    <n v="1"/>
    <n v="0"/>
    <d v="1899-12-30T09:59:00"/>
    <d v="1899-12-30T16:20:00"/>
    <s v="Present"/>
    <s v="Morning"/>
    <s v="Remote"/>
    <n v="0"/>
  </r>
  <r>
    <s v="E1024"/>
    <s v="Employee_24"/>
    <x v="0"/>
    <d v="2024-11-02T00:00:00"/>
    <x v="1"/>
    <n v="2024"/>
    <n v="1"/>
    <n v="0"/>
    <d v="1899-12-30T10:43:00"/>
    <d v="1899-12-30T20:07:00"/>
    <s v="Work From Home"/>
    <s v="Morning"/>
    <s v="Remote"/>
    <n v="0"/>
  </r>
  <r>
    <s v="E1035"/>
    <s v="Employee_35"/>
    <x v="2"/>
    <d v="2024-02-02T00:00:00"/>
    <x v="5"/>
    <n v="2024"/>
    <n v="1"/>
    <n v="1"/>
    <d v="1899-12-30T10:45:00"/>
    <d v="1899-12-30T18:44:00"/>
    <s v="Late"/>
    <s v="Morning"/>
    <s v="Remote"/>
    <n v="0"/>
  </r>
  <r>
    <s v="E1048"/>
    <s v="Employee_48"/>
    <x v="3"/>
    <d v="2024-03-17T00:00:00"/>
    <x v="0"/>
    <n v="2024"/>
    <n v="1"/>
    <n v="1"/>
    <d v="1899-12-30T09:46:00"/>
    <d v="1899-12-30T20:25:00"/>
    <s v="Late"/>
    <s v="Morning"/>
    <s v="Office"/>
    <n v="0"/>
  </r>
  <r>
    <s v="E1055"/>
    <s v="Employee_55"/>
    <x v="1"/>
    <d v="2024-09-01T00:00:00"/>
    <x v="3"/>
    <n v="2024"/>
    <n v="1"/>
    <n v="0"/>
    <d v="1899-12-30T10:22:00"/>
    <d v="1899-12-30T16:44:00"/>
    <s v="Work From Home"/>
    <s v="Morning"/>
    <s v="Remote"/>
    <n v="0"/>
  </r>
  <r>
    <s v="E1052"/>
    <s v="Employee_52"/>
    <x v="2"/>
    <d v="2024-02-01T00:00:00"/>
    <x v="5"/>
    <n v="2024"/>
    <n v="0"/>
    <n v="0"/>
    <m/>
    <m/>
    <s v="Absent"/>
    <s v="Evening"/>
    <s v="Remote"/>
    <n v="0"/>
  </r>
  <r>
    <s v="E1037"/>
    <s v="Employee_37"/>
    <x v="1"/>
    <d v="2024-01-24T00:00:00"/>
    <x v="2"/>
    <n v="2024"/>
    <n v="1"/>
    <n v="0"/>
    <d v="1899-12-30T10:22:00"/>
    <d v="1899-12-30T18:42:00"/>
    <s v="Present"/>
    <s v="Morning"/>
    <s v="Office"/>
    <n v="0"/>
  </r>
  <r>
    <s v="E1056"/>
    <s v="Employee_56"/>
    <x v="3"/>
    <d v="2024-02-13T00:00:00"/>
    <x v="5"/>
    <n v="2024"/>
    <n v="1"/>
    <n v="0"/>
    <d v="1899-12-30T09:10:00"/>
    <d v="1899-12-30T16:13:00"/>
    <s v="Present"/>
    <s v="Evening"/>
    <s v="Office"/>
    <n v="0"/>
  </r>
  <r>
    <s v="E1050"/>
    <s v="Employee_50"/>
    <x v="4"/>
    <d v="2024-08-03T00:00:00"/>
    <x v="9"/>
    <n v="2024"/>
    <n v="1"/>
    <n v="1"/>
    <d v="1899-12-30T11:36:00"/>
    <d v="1899-12-30T17:30:00"/>
    <s v="Late"/>
    <s v="Morning"/>
    <s v="Remote"/>
    <n v="0"/>
  </r>
  <r>
    <s v="E1006"/>
    <s v="Employee_6"/>
    <x v="1"/>
    <d v="2024-07-01T00:00:00"/>
    <x v="4"/>
    <n v="2024"/>
    <n v="1"/>
    <n v="0"/>
    <d v="1899-12-30T09:16:00"/>
    <d v="1899-12-30T18:42:00"/>
    <s v="Present"/>
    <s v="Morning"/>
    <s v="Remote"/>
    <n v="0"/>
  </r>
  <r>
    <s v="E1019"/>
    <s v="Employee_19"/>
    <x v="0"/>
    <d v="2024-01-25T00:00:00"/>
    <x v="2"/>
    <n v="2024"/>
    <n v="1"/>
    <n v="0"/>
    <d v="1899-12-30T09:12:00"/>
    <d v="1899-12-30T18:07:00"/>
    <s v="Present"/>
    <s v="Evening"/>
    <s v="Office"/>
    <n v="0"/>
  </r>
  <r>
    <s v="E1045"/>
    <s v="Employee_45"/>
    <x v="1"/>
    <d v="2024-03-16T00:00:00"/>
    <x v="0"/>
    <n v="2024"/>
    <n v="1"/>
    <n v="0"/>
    <d v="1899-12-30T09:55:00"/>
    <d v="1899-12-30T16:50:00"/>
    <s v="Present"/>
    <s v="Morning"/>
    <s v="Remote"/>
    <n v="0"/>
  </r>
  <r>
    <s v="E1047"/>
    <s v="Employee_47"/>
    <x v="3"/>
    <d v="2024-02-05T00:00:00"/>
    <x v="5"/>
    <n v="2024"/>
    <n v="0"/>
    <n v="0"/>
    <m/>
    <m/>
    <s v="Absent"/>
    <s v="Evening"/>
    <s v="Office"/>
    <n v="0"/>
  </r>
  <r>
    <s v="E1048"/>
    <s v="Employee_48"/>
    <x v="4"/>
    <d v="2024-02-07T00:00:00"/>
    <x v="5"/>
    <n v="2024"/>
    <n v="1"/>
    <n v="0"/>
    <d v="1899-12-30T09:59:00"/>
    <d v="1899-12-30T19:37:00"/>
    <s v="Work From Home"/>
    <s v="Morning"/>
    <s v="Remote"/>
    <n v="0"/>
  </r>
  <r>
    <s v="E1055"/>
    <s v="Employee_55"/>
    <x v="1"/>
    <d v="2024-01-11T00:00:00"/>
    <x v="2"/>
    <n v="2024"/>
    <n v="1"/>
    <n v="0"/>
    <d v="1899-12-30T09:22:00"/>
    <d v="1899-12-30T16:55:00"/>
    <s v="Work From Home"/>
    <s v="Evening"/>
    <s v="Remote"/>
    <n v="0"/>
  </r>
  <r>
    <s v="E1046"/>
    <s v="Employee_46"/>
    <x v="2"/>
    <d v="2024-01-08T00:00:00"/>
    <x v="2"/>
    <n v="2024"/>
    <n v="0"/>
    <n v="0"/>
    <m/>
    <m/>
    <s v="Absent"/>
    <s v="Evening"/>
    <s v="Remote"/>
    <n v="0"/>
  </r>
  <r>
    <s v="E1014"/>
    <s v="Employee_14"/>
    <x v="3"/>
    <d v="2024-02-18T00:00:00"/>
    <x v="5"/>
    <n v="2024"/>
    <n v="0"/>
    <n v="0"/>
    <m/>
    <m/>
    <s v="Absent"/>
    <s v="Evening"/>
    <s v="Office"/>
    <n v="0"/>
  </r>
  <r>
    <s v="E1041"/>
    <s v="Employee_41"/>
    <x v="0"/>
    <d v="2024-05-01T00:00:00"/>
    <x v="6"/>
    <n v="2024"/>
    <n v="1"/>
    <n v="1"/>
    <d v="1899-12-30T10:26:00"/>
    <d v="1899-12-30T17:36:00"/>
    <s v="Late"/>
    <s v="Morning"/>
    <s v="Office"/>
    <n v="0"/>
  </r>
  <r>
    <s v="E1032"/>
    <s v="Employee_32"/>
    <x v="0"/>
    <d v="2024-08-01T00:00:00"/>
    <x v="9"/>
    <n v="2024"/>
    <n v="1"/>
    <n v="1"/>
    <d v="1899-12-30T10:30:00"/>
    <d v="1899-12-30T20:25:00"/>
    <s v="Late"/>
    <s v="Morning"/>
    <s v="Remote"/>
    <n v="0"/>
  </r>
  <r>
    <s v="E1020"/>
    <s v="Employee_20"/>
    <x v="4"/>
    <d v="2024-02-20T00:00:00"/>
    <x v="5"/>
    <n v="2024"/>
    <n v="1"/>
    <n v="0"/>
    <d v="1899-12-30T10:27:00"/>
    <d v="1899-12-30T16:09:00"/>
    <s v="Work From Home"/>
    <s v="Evening"/>
    <s v="Remote"/>
    <n v="0"/>
  </r>
  <r>
    <s v="E1020"/>
    <s v="Employee_20"/>
    <x v="2"/>
    <d v="2024-01-21T00:00:00"/>
    <x v="2"/>
    <n v="2024"/>
    <n v="0"/>
    <n v="0"/>
    <m/>
    <m/>
    <s v="Absent"/>
    <s v="Evening"/>
    <s v="Remote"/>
    <n v="0"/>
  </r>
  <r>
    <s v="E1011"/>
    <s v="Employee_11"/>
    <x v="4"/>
    <d v="2024-01-21T00:00:00"/>
    <x v="2"/>
    <n v="2024"/>
    <n v="0"/>
    <n v="0"/>
    <m/>
    <m/>
    <s v="Absent"/>
    <s v="Morning"/>
    <s v="Remote"/>
    <n v="0"/>
  </r>
  <r>
    <s v="E1003"/>
    <s v="Employee_3"/>
    <x v="3"/>
    <d v="2024-11-01T00:00:00"/>
    <x v="1"/>
    <n v="2024"/>
    <n v="0"/>
    <n v="0"/>
    <m/>
    <m/>
    <s v="Absent"/>
    <s v="Morning"/>
    <s v="Remote"/>
    <n v="0"/>
  </r>
  <r>
    <s v="E1049"/>
    <s v="Employee_49"/>
    <x v="1"/>
    <d v="2024-02-19T00:00:00"/>
    <x v="5"/>
    <n v="2024"/>
    <n v="1"/>
    <n v="0"/>
    <d v="1899-12-30T10:08:00"/>
    <d v="1899-12-30T20:51:00"/>
    <s v="Present"/>
    <s v="Evening"/>
    <s v="Office"/>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BF1560-0EC6-4E98-B7A1-4DF847B3FD4D}"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N10" firstHeaderRow="1" firstDataRow="2" firstDataCol="1"/>
  <pivotFields count="15">
    <pivotField showAll="0"/>
    <pivotField showAll="0"/>
    <pivotField axis="axisRow" showAll="0">
      <items count="6">
        <item x="4"/>
        <item x="0"/>
        <item x="1"/>
        <item x="2"/>
        <item x="3"/>
        <item t="default"/>
      </items>
    </pivotField>
    <pivotField numFmtId="14" showAll="0"/>
    <pivotField axis="axisCol" showAll="0">
      <items count="13">
        <item x="2"/>
        <item x="5"/>
        <item x="0"/>
        <item x="10"/>
        <item x="6"/>
        <item x="11"/>
        <item x="4"/>
        <item x="9"/>
        <item x="3"/>
        <item x="7"/>
        <item x="1"/>
        <item x="8"/>
        <item t="default"/>
      </items>
    </pivotField>
    <pivotField showAll="0"/>
    <pivotField dataField="1"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6">
    <i>
      <x/>
    </i>
    <i>
      <x v="1"/>
    </i>
    <i>
      <x v="2"/>
    </i>
    <i>
      <x v="3"/>
    </i>
    <i>
      <x v="4"/>
    </i>
    <i t="grand">
      <x/>
    </i>
  </rowItems>
  <colFields count="1">
    <field x="4"/>
  </colFields>
  <colItems count="13">
    <i>
      <x/>
    </i>
    <i>
      <x v="1"/>
    </i>
    <i>
      <x v="2"/>
    </i>
    <i>
      <x v="3"/>
    </i>
    <i>
      <x v="4"/>
    </i>
    <i>
      <x v="5"/>
    </i>
    <i>
      <x v="6"/>
    </i>
    <i>
      <x v="7"/>
    </i>
    <i>
      <x v="8"/>
    </i>
    <i>
      <x v="9"/>
    </i>
    <i>
      <x v="10"/>
    </i>
    <i>
      <x v="11"/>
    </i>
    <i t="grand">
      <x/>
    </i>
  </colItems>
  <dataFields count="1">
    <dataField name="Attendance_Percentage" fld="6" subtotal="average" baseField="2"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8882C8-D99D-4BF6-B078-826347707FDF}"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0" firstHeaderRow="1" firstDataRow="2" firstDataCol="1"/>
  <pivotFields count="15">
    <pivotField showAll="0"/>
    <pivotField showAll="0"/>
    <pivotField axis="axisRow" showAll="0">
      <items count="6">
        <item x="4"/>
        <item x="0"/>
        <item x="1"/>
        <item x="2"/>
        <item x="3"/>
        <item t="default"/>
      </items>
    </pivotField>
    <pivotField numFmtId="14" showAll="0"/>
    <pivotField axis="axisCol" showAll="0">
      <items count="13">
        <item x="2"/>
        <item x="5"/>
        <item x="0"/>
        <item x="10"/>
        <item x="6"/>
        <item x="11"/>
        <item x="4"/>
        <item x="9"/>
        <item x="3"/>
        <item x="7"/>
        <item x="1"/>
        <item x="8"/>
        <item t="default"/>
      </items>
    </pivotField>
    <pivotField showAll="0"/>
    <pivotField showAll="0"/>
    <pivotField dataField="1" showAll="0"/>
    <pivotField showAll="0"/>
    <pivotField showAll="0"/>
    <pivotField showAll="0"/>
    <pivotField showAll="0"/>
    <pivotField showAll="0"/>
    <pivotField showAll="0"/>
    <pivotField dragToRow="0" dragToCol="0" dragToPage="0" showAll="0" defaultSubtotal="0"/>
  </pivotFields>
  <rowFields count="1">
    <field x="2"/>
  </rowFields>
  <rowItems count="6">
    <i>
      <x/>
    </i>
    <i>
      <x v="1"/>
    </i>
    <i>
      <x v="2"/>
    </i>
    <i>
      <x v="3"/>
    </i>
    <i>
      <x v="4"/>
    </i>
    <i t="grand">
      <x/>
    </i>
  </rowItems>
  <colFields count="1">
    <field x="4"/>
  </colFields>
  <colItems count="13">
    <i>
      <x/>
    </i>
    <i>
      <x v="1"/>
    </i>
    <i>
      <x v="2"/>
    </i>
    <i>
      <x v="3"/>
    </i>
    <i>
      <x v="4"/>
    </i>
    <i>
      <x v="5"/>
    </i>
    <i>
      <x v="6"/>
    </i>
    <i>
      <x v="7"/>
    </i>
    <i>
      <x v="8"/>
    </i>
    <i>
      <x v="9"/>
    </i>
    <i>
      <x v="10"/>
    </i>
    <i>
      <x v="11"/>
    </i>
    <i t="grand">
      <x/>
    </i>
  </colItems>
  <dataFields count="1">
    <dataField name="Average of Late Flag" fld="7" subtotal="average"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2F58E8B-A505-442F-AE06-996D747F8A94}" autoFormatId="16" applyNumberFormats="0" applyBorderFormats="0" applyFontFormats="0" applyPatternFormats="0" applyAlignmentFormats="0" applyWidthHeightFormats="0">
  <queryTableRefresh nextId="10">
    <queryTableFields count="9">
      <queryTableField id="1" name="Employee_ID" tableColumnId="1"/>
      <queryTableField id="2" name="Employee_Name" tableColumnId="2"/>
      <queryTableField id="3" name="Department" tableColumnId="3"/>
      <queryTableField id="4" name="Attendance_Date" tableColumnId="4"/>
      <queryTableField id="5" name="Check_In_Time" tableColumnId="5"/>
      <queryTableField id="6" name="Check_Out_Time" tableColumnId="6"/>
      <queryTableField id="7" name="Attendance_Status" tableColumnId="7"/>
      <queryTableField id="8" name="Shift_Type" tableColumnId="8"/>
      <queryTableField id="9" name="Location"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8CE12F6-D1C6-440D-9925-32F444847887}" autoFormatId="16" applyNumberFormats="0" applyBorderFormats="0" applyFontFormats="0" applyPatternFormats="0" applyAlignmentFormats="0" applyWidthHeightFormats="0">
  <queryTableRefresh nextId="18" unboundColumnsRight="1">
    <queryTableFields count="14">
      <queryTableField id="1" name="Employee_ID" tableColumnId="1"/>
      <queryTableField id="2" name="Employee_Name" tableColumnId="2"/>
      <queryTableField id="12" dataBound="0" tableColumnId="14"/>
      <queryTableField id="4" name="Attendance_Date" tableColumnId="4"/>
      <queryTableField id="13" dataBound="0" tableColumnId="15"/>
      <queryTableField id="15" dataBound="0" tableColumnId="17"/>
      <queryTableField id="16" dataBound="0" tableColumnId="18"/>
      <queryTableField id="17" dataBound="0" tableColumnId="19"/>
      <queryTableField id="5" name="Check_In_Time" tableColumnId="5"/>
      <queryTableField id="6" name="Check_Out_Time" tableColumnId="6"/>
      <queryTableField id="11" dataBound="0" tableColumnId="12"/>
      <queryTableField id="8" name="Shift_Type" tableColumnId="8"/>
      <queryTableField id="9" name="Location" tableColumnId="9"/>
      <queryTableField id="10" dataBound="0" tableColumnId="10"/>
    </queryTableFields>
    <queryTableDeletedFields count="2">
      <deletedField name="Attendance_Status"/>
      <deletedField name="Departmen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134DFFD-ECB2-4B66-8518-90DBDD122E43}" sourceName="Department">
  <pivotTables>
    <pivotTable tabId="4" name="PivotTable1"/>
  </pivotTables>
  <data>
    <tabular pivotCacheId="456876920">
      <items count="5">
        <i x="4"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70CAAB5-38F6-4A33-A65E-34380F757808}" sourceName="Month">
  <pivotTables>
    <pivotTable tabId="4" name="PivotTable1"/>
  </pivotTables>
  <data>
    <tabular pivotCacheId="456876920">
      <items count="12">
        <i x="2" s="1"/>
        <i x="5" s="1"/>
        <i x="0" s="1"/>
        <i x="10" s="1"/>
        <i x="6" s="1"/>
        <i x="11" s="1"/>
        <i x="4" s="1"/>
        <i x="9" s="1"/>
        <i x="3" s="1"/>
        <i x="7" s="1"/>
        <i x="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D99DAF3-A005-446A-B10C-451704DF6BB0}" cache="Slicer_Department" caption="Department" rowHeight="234950"/>
  <slicer name="Month" xr10:uid="{C2013218-4337-422D-9875-91F0E5154576}" cache="Slicer_Month" caption="Month" startItem="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70E16C-C211-4FE5-9EF9-BB7CB06C92D7}" name="attendance_raw_dataset3" displayName="attendance_raw_dataset3" ref="A1:I2576" tableType="queryTable" totalsRowShown="0" headerRowDxfId="15" dataDxfId="14">
  <autoFilter ref="A1:I2576" xr:uid="{7770E16C-C211-4FE5-9EF9-BB7CB06C92D7}"/>
  <tableColumns count="9">
    <tableColumn id="1" xr3:uid="{E67E36E2-DC07-43D4-98D5-31441D258D50}" uniqueName="1" name="Employee_ID" queryTableFieldId="1" dataDxfId="24"/>
    <tableColumn id="2" xr3:uid="{BD8AEAB4-18F8-4A5E-B7BD-DFC5B95BD668}" uniqueName="2" name="Employee_Name" queryTableFieldId="2" dataDxfId="23"/>
    <tableColumn id="3" xr3:uid="{59890463-A59A-4981-9E2D-F3DC61131E06}" uniqueName="3" name="Department" queryTableFieldId="3" dataDxfId="22"/>
    <tableColumn id="4" xr3:uid="{8745378D-3052-4963-B578-7BA4A78B39D4}" uniqueName="4" name="Attendance_Date" queryTableFieldId="4" dataDxfId="21"/>
    <tableColumn id="5" xr3:uid="{A2727789-0918-42E3-86A3-9526896D7675}" uniqueName="5" name="Check_In_Time" queryTableFieldId="5" dataDxfId="20"/>
    <tableColumn id="6" xr3:uid="{52A78534-DF4D-4EB9-AFCD-0156C4139829}" uniqueName="6" name="Check_Out_Time" queryTableFieldId="6" dataDxfId="19"/>
    <tableColumn id="7" xr3:uid="{49D29831-112E-496B-B763-9EA2F0DDE02B}" uniqueName="7" name="Attendance_Status" queryTableFieldId="7" dataDxfId="18"/>
    <tableColumn id="8" xr3:uid="{5727C2DD-3429-4FD7-892A-501774CFF299}" uniqueName="8" name="Shift_Type" queryTableFieldId="8" dataDxfId="17"/>
    <tableColumn id="9" xr3:uid="{F2EF0E45-2D6C-4621-834A-3D50F71A5AF6}" uniqueName="9" name="Location" queryTableFieldId="9"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F6C0CF-133A-4345-893B-032A920564B3}" name="attendance_raw_dataset" displayName="attendance_raw_dataset" ref="A1:N2495" tableType="queryTable" totalsRowShown="0" dataDxfId="3">
  <tableColumns count="14">
    <tableColumn id="1" xr3:uid="{47C6C6DC-83A1-487A-80A0-EC88CE015B0B}" uniqueName="1" name="Employee_ID" queryTableFieldId="1" dataDxfId="13"/>
    <tableColumn id="2" xr3:uid="{4D6BB99C-F11A-4C8E-B012-6BA7C57A881F}" uniqueName="2" name="Employee_Name" queryTableFieldId="2" dataDxfId="12"/>
    <tableColumn id="14" xr3:uid="{541FEFFB-4CE2-4572-9B86-DE69180AE92E}" uniqueName="14" name="Department" queryTableFieldId="12" dataDxfId="11"/>
    <tableColumn id="4" xr3:uid="{46AF0C03-C13E-46A1-8AC9-CAAA40C525DB}" uniqueName="4" name="Attendance_Date" queryTableFieldId="4" dataDxfId="10"/>
    <tableColumn id="15" xr3:uid="{D63649DE-17BD-4000-89BE-A704B58F7520}" uniqueName="15" name="Month" queryTableFieldId="13" dataDxfId="2">
      <calculatedColumnFormula>TEXT(D2,"mmmm")</calculatedColumnFormula>
    </tableColumn>
    <tableColumn id="17" xr3:uid="{107314F4-7458-4F16-83C6-78E53B8162A4}" uniqueName="17" name="Year" queryTableFieldId="15">
      <calculatedColumnFormula>YEAR(D2)</calculatedColumnFormula>
    </tableColumn>
    <tableColumn id="18" xr3:uid="{2946008D-5C85-4749-B2D4-5F30B0B77B5D}" uniqueName="18" name="Attendance_Flag" queryTableFieldId="16" dataDxfId="0">
      <calculatedColumnFormula>IF(LOWER(K2)="absent",0,1)</calculatedColumnFormula>
    </tableColumn>
    <tableColumn id="19" xr3:uid="{66824323-7C30-4048-BD4A-80C027AAFFE9}" uniqueName="19" name="Late Flag" queryTableFieldId="17" dataDxfId="1">
      <calculatedColumnFormula>IF(K2="Late",1,0)</calculatedColumnFormula>
    </tableColumn>
    <tableColumn id="5" xr3:uid="{02EAA536-985C-4544-A306-291CAA72C667}" uniqueName="5" name="Check_In_Time" queryTableFieldId="5" dataDxfId="9"/>
    <tableColumn id="6" xr3:uid="{C54F8520-4CA3-4069-8C2F-06D96B00C6D7}" uniqueName="6" name="Check_Out_Time" queryTableFieldId="6" dataDxfId="8"/>
    <tableColumn id="12" xr3:uid="{4C62AEF4-2CAC-4221-9441-221264F6D34C}" uniqueName="12" name="Attendance_Status" queryTableFieldId="11" dataDxfId="7"/>
    <tableColumn id="8" xr3:uid="{C8F4E561-67F2-4C63-A243-5889A8C16FDB}" uniqueName="8" name="Shift_Type" queryTableFieldId="8" dataDxfId="6"/>
    <tableColumn id="9" xr3:uid="{75D65CC7-7703-435C-8281-C609F3932068}" uniqueName="9" name="Location" queryTableFieldId="9" dataDxfId="5"/>
    <tableColumn id="10" xr3:uid="{F6FD43F4-9207-442B-BFE2-64EB9039D6BE}" uniqueName="10" name="Duplicate_Flag" queryTableFieldId="10" dataDxfId="4">
      <calculatedColumnFormula>COUNTIFS(A:A,A2,D:D,D2,E:E,I2)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66B99-4156-4A48-AF34-F413B98D2B70}">
  <dimension ref="A1:I2576"/>
  <sheetViews>
    <sheetView workbookViewId="0">
      <selection activeCell="L15" sqref="L15"/>
    </sheetView>
  </sheetViews>
  <sheetFormatPr defaultRowHeight="14.4" x14ac:dyDescent="0.3"/>
  <cols>
    <col min="1" max="1" width="16.5546875" style="3" bestFit="1" customWidth="1"/>
    <col min="2" max="2" width="19.88671875" style="3" bestFit="1" customWidth="1"/>
    <col min="3" max="3" width="15.5546875" style="3" bestFit="1" customWidth="1"/>
    <col min="4" max="4" width="18" style="3" bestFit="1" customWidth="1"/>
    <col min="5" max="5" width="18.44140625" style="3" bestFit="1" customWidth="1"/>
    <col min="6" max="6" width="19.88671875" style="3" bestFit="1" customWidth="1"/>
    <col min="7" max="7" width="21.6640625" style="3" bestFit="1" customWidth="1"/>
    <col min="8" max="8" width="14.44140625" style="3" bestFit="1" customWidth="1"/>
    <col min="9" max="9" width="12.6640625" style="3" bestFit="1" customWidth="1"/>
    <col min="10" max="16384" width="8.88671875" style="3"/>
  </cols>
  <sheetData>
    <row r="1" spans="1:9" s="3" customFormat="1" x14ac:dyDescent="0.3">
      <c r="A1" s="3" t="s">
        <v>0</v>
      </c>
      <c r="B1" s="3" t="s">
        <v>1</v>
      </c>
      <c r="C1" s="3" t="s">
        <v>2</v>
      </c>
      <c r="D1" s="3" t="s">
        <v>3</v>
      </c>
      <c r="E1" s="3" t="s">
        <v>4</v>
      </c>
      <c r="F1" s="3" t="s">
        <v>5</v>
      </c>
      <c r="G1" s="3" t="s">
        <v>6</v>
      </c>
      <c r="H1" s="3" t="s">
        <v>7</v>
      </c>
      <c r="I1" s="3" t="s">
        <v>8</v>
      </c>
    </row>
    <row r="2" spans="1:9" s="3" customFormat="1" x14ac:dyDescent="0.3">
      <c r="A2" s="3" t="s">
        <v>9</v>
      </c>
      <c r="B2" s="3" t="s">
        <v>10</v>
      </c>
      <c r="C2" s="3" t="s">
        <v>11</v>
      </c>
      <c r="D2" s="3" t="s">
        <v>12</v>
      </c>
      <c r="E2" s="6">
        <v>0.49513888888888891</v>
      </c>
      <c r="F2" s="6">
        <v>0.68680555555555556</v>
      </c>
      <c r="G2" s="3" t="s">
        <v>13</v>
      </c>
      <c r="H2" s="3" t="s">
        <v>14</v>
      </c>
      <c r="I2" s="3" t="s">
        <v>15</v>
      </c>
    </row>
    <row r="3" spans="1:9" s="3" customFormat="1" x14ac:dyDescent="0.3">
      <c r="A3" s="3" t="s">
        <v>16</v>
      </c>
      <c r="B3" s="3" t="s">
        <v>17</v>
      </c>
      <c r="C3" s="3" t="s">
        <v>18</v>
      </c>
      <c r="D3" s="3" t="s">
        <v>19</v>
      </c>
      <c r="E3" s="6">
        <v>0.42430555555555555</v>
      </c>
      <c r="F3" s="6">
        <v>0.80347222222222225</v>
      </c>
      <c r="G3" s="3" t="s">
        <v>20</v>
      </c>
      <c r="H3" s="3" t="s">
        <v>14</v>
      </c>
      <c r="I3" s="3" t="s">
        <v>21</v>
      </c>
    </row>
    <row r="4" spans="1:9" s="3" customFormat="1" x14ac:dyDescent="0.3">
      <c r="A4" s="3" t="s">
        <v>22</v>
      </c>
      <c r="B4" s="3" t="s">
        <v>23</v>
      </c>
      <c r="C4" s="3" t="s">
        <v>24</v>
      </c>
      <c r="D4" s="3" t="s">
        <v>25</v>
      </c>
      <c r="E4" s="6">
        <v>0.43194444444444446</v>
      </c>
      <c r="F4" s="6">
        <v>0.87222222222222223</v>
      </c>
      <c r="G4" s="3" t="s">
        <v>26</v>
      </c>
      <c r="H4" s="3" t="s">
        <v>27</v>
      </c>
      <c r="I4" s="3" t="s">
        <v>15</v>
      </c>
    </row>
    <row r="5" spans="1:9" s="3" customFormat="1" x14ac:dyDescent="0.3">
      <c r="A5" s="3" t="s">
        <v>28</v>
      </c>
      <c r="B5" s="3" t="s">
        <v>29</v>
      </c>
      <c r="C5" s="3" t="s">
        <v>24</v>
      </c>
      <c r="D5" s="3" t="s">
        <v>30</v>
      </c>
      <c r="E5" s="6">
        <v>0.44374999999999998</v>
      </c>
      <c r="F5" s="6">
        <v>0.72499999999999998</v>
      </c>
      <c r="G5" s="3" t="s">
        <v>26</v>
      </c>
      <c r="H5" s="3" t="s">
        <v>14</v>
      </c>
      <c r="I5" s="3" t="s">
        <v>15</v>
      </c>
    </row>
    <row r="6" spans="1:9" s="3" customFormat="1" x14ac:dyDescent="0.3">
      <c r="A6" s="3" t="s">
        <v>31</v>
      </c>
      <c r="B6" s="3" t="s">
        <v>32</v>
      </c>
      <c r="C6" s="3" t="s">
        <v>18</v>
      </c>
      <c r="D6" s="3" t="s">
        <v>33</v>
      </c>
      <c r="E6" s="6">
        <v>0.38680555555555557</v>
      </c>
      <c r="F6" s="6">
        <v>0.68194444444444446</v>
      </c>
      <c r="G6" s="3" t="s">
        <v>13</v>
      </c>
      <c r="H6" s="3" t="s">
        <v>14</v>
      </c>
      <c r="I6" s="3" t="s">
        <v>21</v>
      </c>
    </row>
    <row r="7" spans="1:9" s="3" customFormat="1" x14ac:dyDescent="0.3">
      <c r="A7" s="3" t="s">
        <v>34</v>
      </c>
      <c r="B7" s="3" t="s">
        <v>35</v>
      </c>
      <c r="C7" s="3" t="s">
        <v>18</v>
      </c>
      <c r="D7" s="3" t="s">
        <v>36</v>
      </c>
      <c r="E7" s="6">
        <v>0.4909722222222222</v>
      </c>
      <c r="F7" s="6">
        <v>0.83750000000000002</v>
      </c>
      <c r="G7" s="3" t="s">
        <v>26</v>
      </c>
      <c r="H7" s="3" t="s">
        <v>14</v>
      </c>
      <c r="I7" s="3" t="s">
        <v>21</v>
      </c>
    </row>
    <row r="8" spans="1:9" s="3" customFormat="1" x14ac:dyDescent="0.3">
      <c r="A8" s="3" t="s">
        <v>37</v>
      </c>
      <c r="B8" s="3" t="s">
        <v>38</v>
      </c>
      <c r="C8" s="3" t="s">
        <v>18</v>
      </c>
      <c r="D8" s="3" t="s">
        <v>39</v>
      </c>
      <c r="E8" s="6">
        <v>0.42499999999999999</v>
      </c>
      <c r="F8" s="6">
        <v>0.67986111111111114</v>
      </c>
      <c r="G8" s="3" t="s">
        <v>26</v>
      </c>
      <c r="H8" s="3" t="s">
        <v>27</v>
      </c>
      <c r="I8" s="3" t="s">
        <v>15</v>
      </c>
    </row>
    <row r="9" spans="1:9" s="3" customFormat="1" x14ac:dyDescent="0.3">
      <c r="A9" s="3" t="s">
        <v>40</v>
      </c>
      <c r="B9" s="3" t="s">
        <v>41</v>
      </c>
      <c r="C9" s="3" t="s">
        <v>42</v>
      </c>
      <c r="D9" s="3" t="s">
        <v>43</v>
      </c>
      <c r="E9" s="6"/>
      <c r="F9" s="6"/>
      <c r="G9" s="3" t="s">
        <v>44</v>
      </c>
      <c r="H9" s="3" t="s">
        <v>14</v>
      </c>
      <c r="I9" s="3" t="s">
        <v>21</v>
      </c>
    </row>
    <row r="10" spans="1:9" s="3" customFormat="1" x14ac:dyDescent="0.3">
      <c r="A10" s="3" t="s">
        <v>45</v>
      </c>
      <c r="B10" s="3" t="s">
        <v>46</v>
      </c>
      <c r="C10" s="3" t="s">
        <v>42</v>
      </c>
      <c r="D10" s="3" t="s">
        <v>47</v>
      </c>
      <c r="E10" s="6">
        <v>0.39930555555555558</v>
      </c>
      <c r="F10" s="6">
        <v>0.85902777777777772</v>
      </c>
      <c r="G10" s="3" t="s">
        <v>20</v>
      </c>
      <c r="H10" s="3" t="s">
        <v>14</v>
      </c>
      <c r="I10" s="3" t="s">
        <v>21</v>
      </c>
    </row>
    <row r="11" spans="1:9" s="3" customFormat="1" x14ac:dyDescent="0.3">
      <c r="A11" s="3" t="s">
        <v>48</v>
      </c>
      <c r="B11" s="3" t="s">
        <v>49</v>
      </c>
      <c r="C11" s="3" t="s">
        <v>18</v>
      </c>
      <c r="D11" s="3" t="s">
        <v>50</v>
      </c>
      <c r="E11" s="6"/>
      <c r="F11" s="6"/>
      <c r="G11" s="3" t="s">
        <v>51</v>
      </c>
      <c r="H11" s="3" t="s">
        <v>14</v>
      </c>
      <c r="I11" s="3" t="s">
        <v>15</v>
      </c>
    </row>
    <row r="12" spans="1:9" s="3" customFormat="1" x14ac:dyDescent="0.3">
      <c r="A12" s="3" t="s">
        <v>52</v>
      </c>
      <c r="B12" s="3" t="s">
        <v>53</v>
      </c>
      <c r="C12" s="3" t="s">
        <v>24</v>
      </c>
      <c r="D12" s="3" t="s">
        <v>54</v>
      </c>
      <c r="E12" s="6">
        <v>0.39930555555555558</v>
      </c>
      <c r="F12" s="6">
        <v>0.78749999999999998</v>
      </c>
      <c r="G12" s="3" t="s">
        <v>13</v>
      </c>
      <c r="H12" s="3" t="s">
        <v>27</v>
      </c>
      <c r="I12" s="3" t="s">
        <v>21</v>
      </c>
    </row>
    <row r="13" spans="1:9" s="3" customFormat="1" x14ac:dyDescent="0.3">
      <c r="A13" s="3" t="s">
        <v>55</v>
      </c>
      <c r="B13" s="3" t="s">
        <v>56</v>
      </c>
      <c r="C13" s="3" t="s">
        <v>42</v>
      </c>
      <c r="D13" s="3" t="s">
        <v>57</v>
      </c>
      <c r="E13" s="6">
        <v>0.35416666666666669</v>
      </c>
      <c r="F13" s="6">
        <v>0.73819444444444449</v>
      </c>
      <c r="G13" s="3" t="s">
        <v>20</v>
      </c>
      <c r="H13" s="3" t="s">
        <v>27</v>
      </c>
      <c r="I13" s="3" t="s">
        <v>15</v>
      </c>
    </row>
    <row r="14" spans="1:9" s="3" customFormat="1" x14ac:dyDescent="0.3">
      <c r="A14" s="3" t="s">
        <v>58</v>
      </c>
      <c r="B14" s="3" t="s">
        <v>59</v>
      </c>
      <c r="C14" s="3" t="s">
        <v>60</v>
      </c>
      <c r="D14" s="3" t="s">
        <v>61</v>
      </c>
      <c r="E14" s="6">
        <v>0.38611111111111113</v>
      </c>
      <c r="F14" s="6">
        <v>0.77847222222222223</v>
      </c>
      <c r="G14" s="3" t="s">
        <v>20</v>
      </c>
      <c r="H14" s="3" t="s">
        <v>14</v>
      </c>
      <c r="I14" s="3" t="s">
        <v>15</v>
      </c>
    </row>
    <row r="15" spans="1:9" s="3" customFormat="1" x14ac:dyDescent="0.3">
      <c r="A15" s="3" t="s">
        <v>62</v>
      </c>
      <c r="B15" s="3" t="s">
        <v>63</v>
      </c>
      <c r="C15" s="3" t="s">
        <v>64</v>
      </c>
      <c r="D15" s="3" t="s">
        <v>65</v>
      </c>
      <c r="E15" s="6">
        <v>0.45624999999999999</v>
      </c>
      <c r="F15" s="6">
        <v>0.70486111111111116</v>
      </c>
      <c r="G15" s="3" t="s">
        <v>26</v>
      </c>
      <c r="H15" s="3" t="s">
        <v>14</v>
      </c>
      <c r="I15" s="3" t="s">
        <v>21</v>
      </c>
    </row>
    <row r="16" spans="1:9" s="3" customFormat="1" x14ac:dyDescent="0.3">
      <c r="A16" s="3" t="s">
        <v>66</v>
      </c>
      <c r="B16" s="3" t="s">
        <v>67</v>
      </c>
      <c r="C16" s="3" t="s">
        <v>18</v>
      </c>
      <c r="D16" s="3" t="s">
        <v>68</v>
      </c>
      <c r="E16" s="6"/>
      <c r="F16" s="6"/>
      <c r="G16" s="3" t="s">
        <v>44</v>
      </c>
      <c r="H16" s="3" t="s">
        <v>27</v>
      </c>
      <c r="I16" s="3" t="s">
        <v>15</v>
      </c>
    </row>
    <row r="17" spans="1:9" s="3" customFormat="1" x14ac:dyDescent="0.3">
      <c r="A17" s="3" t="s">
        <v>69</v>
      </c>
      <c r="B17" s="3" t="s">
        <v>70</v>
      </c>
      <c r="C17" s="3" t="s">
        <v>42</v>
      </c>
      <c r="D17" s="3" t="s">
        <v>71</v>
      </c>
      <c r="E17" s="6">
        <v>0.46111111111111114</v>
      </c>
      <c r="F17" s="6">
        <v>0.83402777777777781</v>
      </c>
      <c r="G17" s="3" t="s">
        <v>20</v>
      </c>
      <c r="H17" s="3" t="s">
        <v>27</v>
      </c>
      <c r="I17" s="3" t="s">
        <v>21</v>
      </c>
    </row>
    <row r="18" spans="1:9" s="3" customFormat="1" x14ac:dyDescent="0.3">
      <c r="A18" s="3" t="s">
        <v>72</v>
      </c>
      <c r="B18" s="3" t="s">
        <v>73</v>
      </c>
      <c r="C18" s="3" t="s">
        <v>64</v>
      </c>
      <c r="D18" s="3" t="s">
        <v>74</v>
      </c>
      <c r="E18" s="6">
        <v>0.35972222222222222</v>
      </c>
      <c r="F18" s="6">
        <v>0.82430555555555551</v>
      </c>
      <c r="G18" s="3" t="s">
        <v>20</v>
      </c>
      <c r="H18" s="3" t="s">
        <v>27</v>
      </c>
      <c r="I18" s="3" t="s">
        <v>21</v>
      </c>
    </row>
    <row r="19" spans="1:9" s="3" customFormat="1" x14ac:dyDescent="0.3">
      <c r="A19" s="3" t="s">
        <v>75</v>
      </c>
      <c r="B19" s="3" t="s">
        <v>76</v>
      </c>
      <c r="C19" s="3" t="s">
        <v>18</v>
      </c>
      <c r="D19" s="3" t="s">
        <v>77</v>
      </c>
      <c r="E19" s="6"/>
      <c r="F19" s="6"/>
      <c r="G19" s="3" t="s">
        <v>44</v>
      </c>
      <c r="H19" s="3" t="s">
        <v>27</v>
      </c>
      <c r="I19" s="3" t="s">
        <v>21</v>
      </c>
    </row>
    <row r="20" spans="1:9" s="3" customFormat="1" x14ac:dyDescent="0.3">
      <c r="A20" s="3" t="s">
        <v>78</v>
      </c>
      <c r="B20" s="3" t="s">
        <v>79</v>
      </c>
      <c r="C20" s="3" t="s">
        <v>60</v>
      </c>
      <c r="D20" s="3" t="s">
        <v>80</v>
      </c>
      <c r="E20" s="6"/>
      <c r="F20" s="6"/>
      <c r="G20" s="3" t="s">
        <v>51</v>
      </c>
      <c r="H20" s="3" t="s">
        <v>14</v>
      </c>
      <c r="I20" s="3" t="s">
        <v>15</v>
      </c>
    </row>
    <row r="21" spans="1:9" s="3" customFormat="1" x14ac:dyDescent="0.3">
      <c r="A21" s="3" t="s">
        <v>81</v>
      </c>
      <c r="B21" s="3" t="s">
        <v>82</v>
      </c>
      <c r="C21" s="3" t="s">
        <v>60</v>
      </c>
      <c r="D21" s="3" t="s">
        <v>83</v>
      </c>
      <c r="E21" s="6">
        <v>0.46041666666666664</v>
      </c>
      <c r="F21" s="6">
        <v>0.86527777777777781</v>
      </c>
      <c r="G21" s="3" t="s">
        <v>13</v>
      </c>
      <c r="H21" s="3" t="s">
        <v>14</v>
      </c>
      <c r="I21" s="3" t="s">
        <v>15</v>
      </c>
    </row>
    <row r="22" spans="1:9" s="3" customFormat="1" x14ac:dyDescent="0.3">
      <c r="A22" s="3" t="s">
        <v>84</v>
      </c>
      <c r="B22" s="3" t="s">
        <v>85</v>
      </c>
      <c r="C22" s="3" t="s">
        <v>64</v>
      </c>
      <c r="D22" s="3" t="s">
        <v>86</v>
      </c>
      <c r="E22" s="6">
        <v>0.40277777777777779</v>
      </c>
      <c r="F22" s="6">
        <v>0.67083333333333328</v>
      </c>
      <c r="G22" s="3" t="s">
        <v>13</v>
      </c>
      <c r="H22" s="3" t="s">
        <v>27</v>
      </c>
      <c r="I22" s="3" t="s">
        <v>15</v>
      </c>
    </row>
    <row r="23" spans="1:9" s="3" customFormat="1" x14ac:dyDescent="0.3">
      <c r="A23" s="3" t="s">
        <v>87</v>
      </c>
      <c r="B23" s="3" t="s">
        <v>88</v>
      </c>
      <c r="C23" s="3" t="s">
        <v>60</v>
      </c>
      <c r="D23" s="3" t="s">
        <v>89</v>
      </c>
      <c r="E23" s="6">
        <v>0.40625</v>
      </c>
      <c r="F23" s="6">
        <v>0.85624999999999996</v>
      </c>
      <c r="G23" s="3" t="s">
        <v>20</v>
      </c>
      <c r="H23" s="3" t="s">
        <v>27</v>
      </c>
      <c r="I23" s="3" t="s">
        <v>21</v>
      </c>
    </row>
    <row r="24" spans="1:9" s="3" customFormat="1" x14ac:dyDescent="0.3">
      <c r="A24" s="3" t="s">
        <v>90</v>
      </c>
      <c r="B24" s="3" t="s">
        <v>91</v>
      </c>
      <c r="C24" s="3" t="s">
        <v>18</v>
      </c>
      <c r="D24" s="3" t="s">
        <v>92</v>
      </c>
      <c r="E24" s="6">
        <v>0.40833333333333333</v>
      </c>
      <c r="F24" s="6">
        <v>0.84166666666666667</v>
      </c>
      <c r="G24" s="3" t="s">
        <v>20</v>
      </c>
      <c r="H24" s="3" t="s">
        <v>27</v>
      </c>
      <c r="I24" s="3" t="s">
        <v>15</v>
      </c>
    </row>
    <row r="25" spans="1:9" s="3" customFormat="1" x14ac:dyDescent="0.3">
      <c r="A25" s="3" t="s">
        <v>93</v>
      </c>
      <c r="B25" s="3" t="s">
        <v>94</v>
      </c>
      <c r="C25" s="3" t="s">
        <v>24</v>
      </c>
      <c r="D25" s="3" t="s">
        <v>95</v>
      </c>
      <c r="E25" s="6">
        <v>0.47638888888888886</v>
      </c>
      <c r="F25" s="6">
        <v>0.81874999999999998</v>
      </c>
      <c r="G25" s="3" t="s">
        <v>20</v>
      </c>
      <c r="H25" s="3" t="s">
        <v>14</v>
      </c>
      <c r="I25" s="3" t="s">
        <v>15</v>
      </c>
    </row>
    <row r="26" spans="1:9" s="3" customFormat="1" x14ac:dyDescent="0.3">
      <c r="A26" s="3" t="s">
        <v>96</v>
      </c>
      <c r="B26" s="3" t="s">
        <v>97</v>
      </c>
      <c r="C26" s="3" t="s">
        <v>42</v>
      </c>
      <c r="D26" s="3" t="s">
        <v>98</v>
      </c>
      <c r="E26" s="6"/>
      <c r="F26" s="6"/>
      <c r="G26" s="3" t="s">
        <v>44</v>
      </c>
      <c r="H26" s="3" t="s">
        <v>14</v>
      </c>
      <c r="I26" s="3" t="s">
        <v>21</v>
      </c>
    </row>
    <row r="27" spans="1:9" s="3" customFormat="1" x14ac:dyDescent="0.3">
      <c r="A27" s="3" t="s">
        <v>99</v>
      </c>
      <c r="B27" s="3" t="s">
        <v>100</v>
      </c>
      <c r="C27" s="3" t="s">
        <v>60</v>
      </c>
      <c r="D27" s="3" t="s">
        <v>101</v>
      </c>
      <c r="E27" s="6">
        <v>0.46875</v>
      </c>
      <c r="F27" s="6">
        <v>0.73402777777777772</v>
      </c>
      <c r="G27" s="3" t="s">
        <v>20</v>
      </c>
      <c r="H27" s="3" t="s">
        <v>14</v>
      </c>
      <c r="I27" s="3" t="s">
        <v>21</v>
      </c>
    </row>
    <row r="28" spans="1:9" s="3" customFormat="1" x14ac:dyDescent="0.3">
      <c r="A28" s="3" t="s">
        <v>102</v>
      </c>
      <c r="B28" s="3" t="s">
        <v>103</v>
      </c>
      <c r="C28" s="3" t="s">
        <v>18</v>
      </c>
      <c r="D28" s="3" t="s">
        <v>104</v>
      </c>
      <c r="E28" s="6">
        <v>0.38472222222222224</v>
      </c>
      <c r="F28" s="6">
        <v>0.75555555555555554</v>
      </c>
      <c r="G28" s="3" t="s">
        <v>20</v>
      </c>
      <c r="H28" s="3" t="s">
        <v>27</v>
      </c>
      <c r="I28" s="3" t="s">
        <v>15</v>
      </c>
    </row>
    <row r="29" spans="1:9" s="3" customFormat="1" x14ac:dyDescent="0.3">
      <c r="A29" s="3" t="s">
        <v>9</v>
      </c>
      <c r="B29" s="3" t="s">
        <v>10</v>
      </c>
      <c r="C29" s="3" t="s">
        <v>18</v>
      </c>
      <c r="D29" s="3" t="s">
        <v>105</v>
      </c>
      <c r="E29" s="6">
        <v>0.43333333333333335</v>
      </c>
      <c r="F29" s="6">
        <v>0.78402777777777777</v>
      </c>
      <c r="G29" s="3" t="s">
        <v>26</v>
      </c>
      <c r="H29" s="3" t="s">
        <v>14</v>
      </c>
      <c r="I29" s="3" t="s">
        <v>21</v>
      </c>
    </row>
    <row r="30" spans="1:9" s="3" customFormat="1" x14ac:dyDescent="0.3">
      <c r="A30" s="3" t="s">
        <v>52</v>
      </c>
      <c r="B30" s="3" t="s">
        <v>53</v>
      </c>
      <c r="C30" s="3" t="s">
        <v>24</v>
      </c>
      <c r="D30" s="3" t="s">
        <v>106</v>
      </c>
      <c r="E30" s="6">
        <v>0.45763888888888887</v>
      </c>
      <c r="F30" s="6">
        <v>0.73472222222222228</v>
      </c>
      <c r="G30" s="3" t="s">
        <v>20</v>
      </c>
      <c r="H30" s="3" t="s">
        <v>27</v>
      </c>
      <c r="I30" s="3" t="s">
        <v>21</v>
      </c>
    </row>
    <row r="31" spans="1:9" s="3" customFormat="1" x14ac:dyDescent="0.3">
      <c r="A31" s="3" t="s">
        <v>93</v>
      </c>
      <c r="B31" s="3" t="s">
        <v>94</v>
      </c>
      <c r="C31" s="3" t="s">
        <v>24</v>
      </c>
      <c r="D31" s="3" t="s">
        <v>107</v>
      </c>
      <c r="E31" s="6"/>
      <c r="F31" s="6"/>
      <c r="G31" s="3" t="s">
        <v>44</v>
      </c>
      <c r="H31" s="3" t="s">
        <v>14</v>
      </c>
      <c r="I31" s="3" t="s">
        <v>15</v>
      </c>
    </row>
    <row r="32" spans="1:9" s="3" customFormat="1" x14ac:dyDescent="0.3">
      <c r="A32" s="3" t="s">
        <v>72</v>
      </c>
      <c r="B32" s="3" t="s">
        <v>73</v>
      </c>
      <c r="C32" s="3" t="s">
        <v>64</v>
      </c>
      <c r="D32" s="3" t="s">
        <v>108</v>
      </c>
      <c r="E32" s="6">
        <v>0.42777777777777776</v>
      </c>
      <c r="F32" s="6">
        <v>0.84791666666666665</v>
      </c>
      <c r="G32" s="3" t="s">
        <v>13</v>
      </c>
      <c r="H32" s="3" t="s">
        <v>14</v>
      </c>
      <c r="I32" s="3" t="s">
        <v>15</v>
      </c>
    </row>
    <row r="33" spans="1:9" s="3" customFormat="1" x14ac:dyDescent="0.3">
      <c r="A33" s="3" t="s">
        <v>109</v>
      </c>
      <c r="B33" s="3" t="s">
        <v>110</v>
      </c>
      <c r="C33" s="3" t="s">
        <v>24</v>
      </c>
      <c r="D33" s="3" t="s">
        <v>111</v>
      </c>
      <c r="E33" s="6">
        <v>0.40555555555555556</v>
      </c>
      <c r="F33" s="6">
        <v>0.79513888888888884</v>
      </c>
      <c r="G33" s="3" t="s">
        <v>20</v>
      </c>
      <c r="H33" s="3" t="s">
        <v>14</v>
      </c>
      <c r="I33" s="3" t="s">
        <v>21</v>
      </c>
    </row>
    <row r="34" spans="1:9" s="3" customFormat="1" x14ac:dyDescent="0.3">
      <c r="A34" s="3" t="s">
        <v>112</v>
      </c>
      <c r="B34" s="3" t="s">
        <v>113</v>
      </c>
      <c r="C34" s="3" t="s">
        <v>60</v>
      </c>
      <c r="D34" s="3" t="s">
        <v>36</v>
      </c>
      <c r="E34" s="6">
        <v>0.48958333333333331</v>
      </c>
      <c r="F34" s="6">
        <v>0.73472222222222228</v>
      </c>
      <c r="G34" s="3" t="s">
        <v>20</v>
      </c>
      <c r="H34" s="3" t="s">
        <v>14</v>
      </c>
      <c r="I34" s="3" t="s">
        <v>15</v>
      </c>
    </row>
    <row r="35" spans="1:9" s="3" customFormat="1" x14ac:dyDescent="0.3">
      <c r="A35" s="3" t="s">
        <v>9</v>
      </c>
      <c r="B35" s="3" t="s">
        <v>10</v>
      </c>
      <c r="C35" s="3" t="s">
        <v>64</v>
      </c>
      <c r="D35" s="3" t="s">
        <v>114</v>
      </c>
      <c r="E35" s="6">
        <v>0.4826388888888889</v>
      </c>
      <c r="F35" s="6">
        <v>0.76597222222222228</v>
      </c>
      <c r="G35" s="3" t="s">
        <v>26</v>
      </c>
      <c r="H35" s="3" t="s">
        <v>14</v>
      </c>
      <c r="I35" s="3" t="s">
        <v>15</v>
      </c>
    </row>
    <row r="36" spans="1:9" s="3" customFormat="1" x14ac:dyDescent="0.3">
      <c r="A36" s="3" t="s">
        <v>115</v>
      </c>
      <c r="B36" s="3" t="s">
        <v>116</v>
      </c>
      <c r="C36" s="3" t="s">
        <v>64</v>
      </c>
      <c r="D36" s="3" t="s">
        <v>117</v>
      </c>
      <c r="E36" s="6">
        <v>0.43055555555555558</v>
      </c>
      <c r="F36" s="6">
        <v>0.73333333333333328</v>
      </c>
      <c r="G36" s="3" t="s">
        <v>20</v>
      </c>
      <c r="H36" s="3" t="s">
        <v>27</v>
      </c>
      <c r="I36" s="3" t="s">
        <v>15</v>
      </c>
    </row>
    <row r="37" spans="1:9" s="3" customFormat="1" x14ac:dyDescent="0.3">
      <c r="A37" s="3" t="s">
        <v>115</v>
      </c>
      <c r="B37" s="3" t="s">
        <v>116</v>
      </c>
      <c r="C37" s="3" t="s">
        <v>60</v>
      </c>
      <c r="D37" s="3" t="s">
        <v>118</v>
      </c>
      <c r="E37" s="6"/>
      <c r="F37" s="6"/>
      <c r="G37" s="3" t="s">
        <v>44</v>
      </c>
      <c r="H37" s="3" t="s">
        <v>14</v>
      </c>
      <c r="I37" s="3" t="s">
        <v>15</v>
      </c>
    </row>
    <row r="38" spans="1:9" s="3" customFormat="1" x14ac:dyDescent="0.3">
      <c r="A38" s="3" t="s">
        <v>119</v>
      </c>
      <c r="B38" s="3" t="s">
        <v>120</v>
      </c>
      <c r="C38" s="3" t="s">
        <v>18</v>
      </c>
      <c r="D38" s="3" t="s">
        <v>33</v>
      </c>
      <c r="E38" s="6"/>
      <c r="F38" s="6"/>
      <c r="G38" s="3" t="s">
        <v>44</v>
      </c>
      <c r="H38" s="3" t="s">
        <v>27</v>
      </c>
      <c r="I38" s="3" t="s">
        <v>15</v>
      </c>
    </row>
    <row r="39" spans="1:9" s="3" customFormat="1" x14ac:dyDescent="0.3">
      <c r="A39" s="3" t="s">
        <v>55</v>
      </c>
      <c r="B39" s="3" t="s">
        <v>56</v>
      </c>
      <c r="C39" s="3" t="s">
        <v>18</v>
      </c>
      <c r="D39" s="3" t="s">
        <v>121</v>
      </c>
      <c r="E39" s="6">
        <v>0.36180555555555555</v>
      </c>
      <c r="F39" s="6">
        <v>0.70277777777777772</v>
      </c>
      <c r="G39" s="3" t="s">
        <v>20</v>
      </c>
      <c r="H39" s="3" t="s">
        <v>14</v>
      </c>
      <c r="I39" s="3" t="s">
        <v>21</v>
      </c>
    </row>
    <row r="40" spans="1:9" s="3" customFormat="1" x14ac:dyDescent="0.3">
      <c r="A40" s="3" t="s">
        <v>122</v>
      </c>
      <c r="B40" s="3" t="s">
        <v>123</v>
      </c>
      <c r="C40" s="3" t="s">
        <v>18</v>
      </c>
      <c r="D40" s="3" t="s">
        <v>124</v>
      </c>
      <c r="E40" s="6">
        <v>0.47638888888888886</v>
      </c>
      <c r="F40" s="6">
        <v>0.78888888888888886</v>
      </c>
      <c r="G40" s="3" t="s">
        <v>125</v>
      </c>
      <c r="H40" s="3" t="s">
        <v>14</v>
      </c>
      <c r="I40" s="3" t="s">
        <v>15</v>
      </c>
    </row>
    <row r="41" spans="1:9" s="3" customFormat="1" x14ac:dyDescent="0.3">
      <c r="A41" s="3" t="s">
        <v>93</v>
      </c>
      <c r="B41" s="3" t="s">
        <v>94</v>
      </c>
      <c r="C41" s="3" t="s">
        <v>64</v>
      </c>
      <c r="D41" s="3" t="s">
        <v>126</v>
      </c>
      <c r="E41" s="6">
        <v>0.45416666666666666</v>
      </c>
      <c r="F41" s="6">
        <v>0.85277777777777775</v>
      </c>
      <c r="G41" s="3" t="s">
        <v>26</v>
      </c>
      <c r="H41" s="3" t="s">
        <v>14</v>
      </c>
      <c r="I41" s="3" t="s">
        <v>15</v>
      </c>
    </row>
    <row r="42" spans="1:9" s="3" customFormat="1" x14ac:dyDescent="0.3">
      <c r="A42" s="3" t="s">
        <v>102</v>
      </c>
      <c r="B42" s="3" t="s">
        <v>103</v>
      </c>
      <c r="C42" s="3" t="s">
        <v>18</v>
      </c>
      <c r="D42" s="3" t="s">
        <v>101</v>
      </c>
      <c r="E42" s="6">
        <v>0.48125000000000001</v>
      </c>
      <c r="F42" s="6">
        <v>0.85833333333333328</v>
      </c>
      <c r="G42" s="3" t="s">
        <v>13</v>
      </c>
      <c r="H42" s="3" t="s">
        <v>14</v>
      </c>
      <c r="I42" s="3" t="s">
        <v>15</v>
      </c>
    </row>
    <row r="43" spans="1:9" s="3" customFormat="1" x14ac:dyDescent="0.3">
      <c r="A43" s="3" t="s">
        <v>40</v>
      </c>
      <c r="B43" s="3" t="s">
        <v>41</v>
      </c>
      <c r="C43" s="3" t="s">
        <v>127</v>
      </c>
      <c r="D43" s="3" t="s">
        <v>128</v>
      </c>
      <c r="E43" s="6">
        <v>0.41388888888888886</v>
      </c>
      <c r="F43" s="6">
        <v>0.72916666666666663</v>
      </c>
      <c r="G43" s="3" t="s">
        <v>26</v>
      </c>
      <c r="H43" s="3" t="s">
        <v>14</v>
      </c>
      <c r="I43" s="3" t="s">
        <v>21</v>
      </c>
    </row>
    <row r="44" spans="1:9" s="3" customFormat="1" x14ac:dyDescent="0.3">
      <c r="A44" s="3" t="s">
        <v>90</v>
      </c>
      <c r="B44" s="3" t="s">
        <v>91</v>
      </c>
      <c r="C44" s="3" t="s">
        <v>42</v>
      </c>
      <c r="D44" s="3" t="s">
        <v>129</v>
      </c>
      <c r="E44" s="6">
        <v>0.48055555555555557</v>
      </c>
      <c r="F44" s="6">
        <v>0.71944444444444444</v>
      </c>
      <c r="G44" s="3" t="s">
        <v>125</v>
      </c>
      <c r="H44" s="3" t="s">
        <v>14</v>
      </c>
      <c r="I44" s="3" t="s">
        <v>15</v>
      </c>
    </row>
    <row r="45" spans="1:9" s="3" customFormat="1" x14ac:dyDescent="0.3">
      <c r="A45" s="3" t="s">
        <v>130</v>
      </c>
      <c r="B45" s="3" t="s">
        <v>131</v>
      </c>
      <c r="C45" s="3" t="s">
        <v>42</v>
      </c>
      <c r="D45" s="3" t="s">
        <v>132</v>
      </c>
      <c r="E45" s="6">
        <v>0.40208333333333335</v>
      </c>
      <c r="F45" s="6">
        <v>0.72222222222222221</v>
      </c>
      <c r="G45" s="3" t="s">
        <v>13</v>
      </c>
      <c r="H45" s="3" t="s">
        <v>14</v>
      </c>
      <c r="I45" s="3" t="s">
        <v>21</v>
      </c>
    </row>
    <row r="46" spans="1:9" s="3" customFormat="1" x14ac:dyDescent="0.3">
      <c r="A46" s="3" t="s">
        <v>102</v>
      </c>
      <c r="B46" s="3" t="s">
        <v>103</v>
      </c>
      <c r="C46" s="3" t="s">
        <v>60</v>
      </c>
      <c r="D46" s="3" t="s">
        <v>133</v>
      </c>
      <c r="E46" s="6">
        <v>0.47847222222222224</v>
      </c>
      <c r="F46" s="6">
        <v>0.82847222222222228</v>
      </c>
      <c r="G46" s="3" t="s">
        <v>13</v>
      </c>
      <c r="H46" s="3" t="s">
        <v>27</v>
      </c>
      <c r="I46" s="3" t="s">
        <v>21</v>
      </c>
    </row>
    <row r="47" spans="1:9" s="3" customFormat="1" x14ac:dyDescent="0.3">
      <c r="A47" s="3" t="s">
        <v>134</v>
      </c>
      <c r="B47" s="3" t="s">
        <v>135</v>
      </c>
      <c r="C47" s="3" t="s">
        <v>60</v>
      </c>
      <c r="D47" s="3" t="s">
        <v>95</v>
      </c>
      <c r="E47" s="6">
        <v>0.34305555555555556</v>
      </c>
      <c r="F47" s="6">
        <v>0.66874999999999996</v>
      </c>
      <c r="G47" s="3" t="s">
        <v>20</v>
      </c>
      <c r="H47" s="3" t="s">
        <v>14</v>
      </c>
      <c r="I47" s="3" t="s">
        <v>15</v>
      </c>
    </row>
    <row r="48" spans="1:9" s="3" customFormat="1" x14ac:dyDescent="0.3">
      <c r="A48" s="3" t="s">
        <v>16</v>
      </c>
      <c r="B48" s="3" t="s">
        <v>17</v>
      </c>
      <c r="C48" s="3" t="s">
        <v>18</v>
      </c>
      <c r="D48" s="3" t="s">
        <v>136</v>
      </c>
      <c r="E48" s="6">
        <v>0.48541666666666666</v>
      </c>
      <c r="F48" s="6">
        <v>0.8618055555555556</v>
      </c>
      <c r="G48" s="3" t="s">
        <v>20</v>
      </c>
      <c r="H48" s="3" t="s">
        <v>14</v>
      </c>
      <c r="I48" s="3" t="s">
        <v>15</v>
      </c>
    </row>
    <row r="49" spans="1:9" s="3" customFormat="1" x14ac:dyDescent="0.3">
      <c r="A49" s="3" t="s">
        <v>130</v>
      </c>
      <c r="B49" s="3" t="s">
        <v>131</v>
      </c>
      <c r="C49" s="3" t="s">
        <v>64</v>
      </c>
      <c r="D49" s="3" t="s">
        <v>137</v>
      </c>
      <c r="E49" s="6">
        <v>0.44097222222222221</v>
      </c>
      <c r="F49" s="6">
        <v>0.87013888888888891</v>
      </c>
      <c r="G49" s="3" t="s">
        <v>20</v>
      </c>
      <c r="H49" s="3" t="s">
        <v>27</v>
      </c>
      <c r="I49" s="3" t="s">
        <v>15</v>
      </c>
    </row>
    <row r="50" spans="1:9" s="3" customFormat="1" x14ac:dyDescent="0.3">
      <c r="A50" s="3" t="s">
        <v>138</v>
      </c>
      <c r="B50" s="3" t="s">
        <v>139</v>
      </c>
      <c r="C50" s="3" t="s">
        <v>24</v>
      </c>
      <c r="D50" s="3" t="s">
        <v>140</v>
      </c>
      <c r="E50" s="6">
        <v>0.33680555555555558</v>
      </c>
      <c r="F50" s="6">
        <v>0.79027777777777775</v>
      </c>
      <c r="G50" s="3" t="s">
        <v>26</v>
      </c>
      <c r="H50" s="3" t="s">
        <v>14</v>
      </c>
      <c r="I50" s="3" t="s">
        <v>21</v>
      </c>
    </row>
    <row r="51" spans="1:9" s="3" customFormat="1" x14ac:dyDescent="0.3">
      <c r="A51" s="3" t="s">
        <v>34</v>
      </c>
      <c r="B51" s="3" t="s">
        <v>35</v>
      </c>
      <c r="C51" s="3" t="s">
        <v>64</v>
      </c>
      <c r="D51" s="3" t="s">
        <v>101</v>
      </c>
      <c r="E51" s="6">
        <v>0.46875</v>
      </c>
      <c r="F51" s="6">
        <v>0.79166666666666663</v>
      </c>
      <c r="G51" s="3" t="s">
        <v>13</v>
      </c>
      <c r="H51" s="3" t="s">
        <v>14</v>
      </c>
      <c r="I51" s="3" t="s">
        <v>15</v>
      </c>
    </row>
    <row r="52" spans="1:9" s="3" customFormat="1" x14ac:dyDescent="0.3">
      <c r="A52" s="3" t="s">
        <v>141</v>
      </c>
      <c r="B52" s="3" t="s">
        <v>142</v>
      </c>
      <c r="C52" s="3" t="s">
        <v>143</v>
      </c>
      <c r="D52" s="3" t="s">
        <v>144</v>
      </c>
      <c r="E52" s="6">
        <v>0.35694444444444445</v>
      </c>
      <c r="F52" s="6">
        <v>0.70694444444444449</v>
      </c>
      <c r="G52" s="3" t="s">
        <v>13</v>
      </c>
      <c r="H52" s="3" t="s">
        <v>27</v>
      </c>
      <c r="I52" s="3" t="s">
        <v>21</v>
      </c>
    </row>
    <row r="53" spans="1:9" s="3" customFormat="1" x14ac:dyDescent="0.3">
      <c r="A53" s="3" t="s">
        <v>109</v>
      </c>
      <c r="B53" s="3" t="s">
        <v>110</v>
      </c>
      <c r="C53" s="3" t="s">
        <v>42</v>
      </c>
      <c r="D53" s="3" t="s">
        <v>145</v>
      </c>
      <c r="E53" s="6">
        <v>0.47430555555555554</v>
      </c>
      <c r="F53" s="6">
        <v>0.74513888888888891</v>
      </c>
      <c r="G53" s="3" t="s">
        <v>125</v>
      </c>
      <c r="H53" s="3" t="s">
        <v>14</v>
      </c>
      <c r="I53" s="3" t="s">
        <v>15</v>
      </c>
    </row>
    <row r="54" spans="1:9" s="3" customFormat="1" x14ac:dyDescent="0.3">
      <c r="A54" s="3" t="s">
        <v>146</v>
      </c>
      <c r="B54" s="3" t="s">
        <v>147</v>
      </c>
      <c r="C54" s="3" t="s">
        <v>60</v>
      </c>
      <c r="D54" s="3" t="s">
        <v>148</v>
      </c>
      <c r="E54" s="6">
        <v>0.4236111111111111</v>
      </c>
      <c r="F54" s="6">
        <v>0.79166666666666663</v>
      </c>
      <c r="G54" s="3" t="s">
        <v>149</v>
      </c>
      <c r="H54" s="3" t="s">
        <v>27</v>
      </c>
      <c r="I54" s="3" t="s">
        <v>21</v>
      </c>
    </row>
    <row r="55" spans="1:9" s="3" customFormat="1" x14ac:dyDescent="0.3">
      <c r="A55" s="3" t="s">
        <v>150</v>
      </c>
      <c r="B55" s="3" t="s">
        <v>151</v>
      </c>
      <c r="C55" s="3" t="s">
        <v>24</v>
      </c>
      <c r="D55" s="3" t="s">
        <v>152</v>
      </c>
      <c r="E55" s="6">
        <v>0.36180555555555555</v>
      </c>
      <c r="F55" s="6">
        <v>0.82847222222222228</v>
      </c>
      <c r="G55" s="3" t="s">
        <v>20</v>
      </c>
      <c r="H55" s="3" t="s">
        <v>14</v>
      </c>
      <c r="I55" s="3" t="s">
        <v>21</v>
      </c>
    </row>
    <row r="56" spans="1:9" s="3" customFormat="1" x14ac:dyDescent="0.3">
      <c r="A56" s="3" t="s">
        <v>78</v>
      </c>
      <c r="B56" s="3" t="s">
        <v>79</v>
      </c>
      <c r="C56" s="3" t="s">
        <v>60</v>
      </c>
      <c r="D56" s="3" t="s">
        <v>153</v>
      </c>
      <c r="E56" s="6">
        <v>0.40902777777777777</v>
      </c>
      <c r="F56" s="6">
        <v>0.80625000000000002</v>
      </c>
      <c r="G56" s="3" t="s">
        <v>13</v>
      </c>
      <c r="H56" s="3" t="s">
        <v>27</v>
      </c>
      <c r="I56" s="3" t="s">
        <v>15</v>
      </c>
    </row>
    <row r="57" spans="1:9" s="3" customFormat="1" x14ac:dyDescent="0.3">
      <c r="A57" s="3" t="s">
        <v>154</v>
      </c>
      <c r="B57" s="3" t="s">
        <v>155</v>
      </c>
      <c r="C57" s="3" t="s">
        <v>24</v>
      </c>
      <c r="D57" s="3" t="s">
        <v>153</v>
      </c>
      <c r="E57" s="6">
        <v>0.44791666666666669</v>
      </c>
      <c r="F57" s="6">
        <v>0.72361111111111109</v>
      </c>
      <c r="G57" s="3" t="s">
        <v>20</v>
      </c>
      <c r="H57" s="3" t="s">
        <v>14</v>
      </c>
      <c r="I57" s="3" t="s">
        <v>15</v>
      </c>
    </row>
    <row r="58" spans="1:9" s="3" customFormat="1" x14ac:dyDescent="0.3">
      <c r="A58" s="3" t="s">
        <v>141</v>
      </c>
      <c r="B58" s="3" t="s">
        <v>142</v>
      </c>
      <c r="C58" s="3" t="s">
        <v>18</v>
      </c>
      <c r="D58" s="3" t="s">
        <v>156</v>
      </c>
      <c r="E58" s="6"/>
      <c r="F58" s="6"/>
      <c r="G58" s="3" t="s">
        <v>44</v>
      </c>
      <c r="H58" s="3" t="s">
        <v>27</v>
      </c>
      <c r="I58" s="3" t="s">
        <v>21</v>
      </c>
    </row>
    <row r="59" spans="1:9" s="3" customFormat="1" x14ac:dyDescent="0.3">
      <c r="A59" s="3" t="s">
        <v>157</v>
      </c>
      <c r="B59" s="3" t="s">
        <v>158</v>
      </c>
      <c r="C59" s="3" t="s">
        <v>64</v>
      </c>
      <c r="D59" s="3" t="s">
        <v>156</v>
      </c>
      <c r="E59" s="6">
        <v>0.3840277777777778</v>
      </c>
      <c r="F59" s="6">
        <v>0.79305555555555551</v>
      </c>
      <c r="G59" s="3" t="s">
        <v>20</v>
      </c>
      <c r="H59" s="3" t="s">
        <v>14</v>
      </c>
      <c r="I59" s="3" t="s">
        <v>15</v>
      </c>
    </row>
    <row r="60" spans="1:9" s="3" customFormat="1" x14ac:dyDescent="0.3">
      <c r="A60" s="3" t="s">
        <v>78</v>
      </c>
      <c r="B60" s="3" t="s">
        <v>79</v>
      </c>
      <c r="C60" s="3" t="s">
        <v>143</v>
      </c>
      <c r="D60" s="3" t="s">
        <v>159</v>
      </c>
      <c r="E60" s="6">
        <v>0.41388888888888886</v>
      </c>
      <c r="F60" s="6">
        <v>0.85</v>
      </c>
      <c r="G60" s="3" t="s">
        <v>125</v>
      </c>
      <c r="H60" s="3" t="s">
        <v>27</v>
      </c>
      <c r="I60" s="3" t="s">
        <v>21</v>
      </c>
    </row>
    <row r="61" spans="1:9" s="3" customFormat="1" x14ac:dyDescent="0.3">
      <c r="A61" s="3" t="s">
        <v>154</v>
      </c>
      <c r="B61" s="3" t="s">
        <v>155</v>
      </c>
      <c r="C61" s="3" t="s">
        <v>64</v>
      </c>
      <c r="D61" s="3" t="s">
        <v>160</v>
      </c>
      <c r="E61" s="6">
        <v>0.4152777777777778</v>
      </c>
      <c r="F61" s="6">
        <v>0.80902777777777779</v>
      </c>
      <c r="G61" s="3" t="s">
        <v>26</v>
      </c>
      <c r="H61" s="3" t="s">
        <v>14</v>
      </c>
      <c r="I61" s="3" t="s">
        <v>21</v>
      </c>
    </row>
    <row r="62" spans="1:9" s="3" customFormat="1" x14ac:dyDescent="0.3">
      <c r="A62" s="3" t="s">
        <v>154</v>
      </c>
      <c r="B62" s="3" t="s">
        <v>155</v>
      </c>
      <c r="C62" s="3" t="s">
        <v>42</v>
      </c>
      <c r="D62" s="3" t="s">
        <v>161</v>
      </c>
      <c r="E62" s="6">
        <v>0.44583333333333336</v>
      </c>
      <c r="F62" s="6">
        <v>0.84236111111111112</v>
      </c>
      <c r="G62" s="3" t="s">
        <v>13</v>
      </c>
      <c r="H62" s="3" t="s">
        <v>27</v>
      </c>
      <c r="I62" s="3" t="s">
        <v>15</v>
      </c>
    </row>
    <row r="63" spans="1:9" s="3" customFormat="1" x14ac:dyDescent="0.3">
      <c r="A63" s="3" t="s">
        <v>90</v>
      </c>
      <c r="B63" s="3" t="s">
        <v>91</v>
      </c>
      <c r="C63" s="3" t="s">
        <v>42</v>
      </c>
      <c r="D63" s="3" t="s">
        <v>162</v>
      </c>
      <c r="E63" s="6">
        <v>0.40763888888888888</v>
      </c>
      <c r="F63" s="6">
        <v>0.7368055555555556</v>
      </c>
      <c r="G63" s="3" t="s">
        <v>20</v>
      </c>
      <c r="H63" s="3" t="s">
        <v>14</v>
      </c>
      <c r="I63" s="3" t="s">
        <v>15</v>
      </c>
    </row>
    <row r="64" spans="1:9" s="3" customFormat="1" x14ac:dyDescent="0.3">
      <c r="A64" s="3" t="s">
        <v>119</v>
      </c>
      <c r="B64" s="3" t="s">
        <v>120</v>
      </c>
      <c r="C64" s="3" t="s">
        <v>64</v>
      </c>
      <c r="D64" s="3" t="s">
        <v>163</v>
      </c>
      <c r="E64" s="6">
        <v>0.34652777777777777</v>
      </c>
      <c r="F64" s="6">
        <v>0.81180555555555556</v>
      </c>
      <c r="G64" s="3" t="s">
        <v>26</v>
      </c>
      <c r="H64" s="3" t="s">
        <v>14</v>
      </c>
      <c r="I64" s="3" t="s">
        <v>21</v>
      </c>
    </row>
    <row r="65" spans="1:9" s="3" customFormat="1" x14ac:dyDescent="0.3">
      <c r="A65" s="3" t="s">
        <v>119</v>
      </c>
      <c r="B65" s="3" t="s">
        <v>120</v>
      </c>
      <c r="C65" s="3" t="s">
        <v>64</v>
      </c>
      <c r="D65" s="3" t="s">
        <v>164</v>
      </c>
      <c r="E65" s="6"/>
      <c r="F65" s="6"/>
      <c r="G65" s="3" t="s">
        <v>44</v>
      </c>
      <c r="H65" s="3" t="s">
        <v>27</v>
      </c>
      <c r="I65" s="3" t="s">
        <v>21</v>
      </c>
    </row>
    <row r="66" spans="1:9" s="3" customFormat="1" x14ac:dyDescent="0.3">
      <c r="A66" s="3" t="s">
        <v>165</v>
      </c>
      <c r="B66" s="3" t="s">
        <v>166</v>
      </c>
      <c r="C66" s="3" t="s">
        <v>167</v>
      </c>
      <c r="D66" s="3" t="s">
        <v>168</v>
      </c>
      <c r="E66" s="6">
        <v>0.49236111111111114</v>
      </c>
      <c r="F66" s="6">
        <v>0.7680555555555556</v>
      </c>
      <c r="G66" s="3" t="s">
        <v>26</v>
      </c>
      <c r="H66" s="3" t="s">
        <v>27</v>
      </c>
      <c r="I66" s="3" t="s">
        <v>15</v>
      </c>
    </row>
    <row r="67" spans="1:9" s="3" customFormat="1" x14ac:dyDescent="0.3">
      <c r="A67" s="3" t="s">
        <v>22</v>
      </c>
      <c r="B67" s="3" t="s">
        <v>23</v>
      </c>
      <c r="C67" s="3" t="s">
        <v>18</v>
      </c>
      <c r="D67" s="3" t="s">
        <v>169</v>
      </c>
      <c r="E67" s="6">
        <v>0.47708333333333336</v>
      </c>
      <c r="F67" s="6">
        <v>0.68819444444444444</v>
      </c>
      <c r="G67" s="3" t="s">
        <v>170</v>
      </c>
      <c r="H67" s="3" t="s">
        <v>27</v>
      </c>
      <c r="I67" s="3" t="s">
        <v>15</v>
      </c>
    </row>
    <row r="68" spans="1:9" s="3" customFormat="1" x14ac:dyDescent="0.3">
      <c r="A68" s="3" t="s">
        <v>171</v>
      </c>
      <c r="B68" s="3" t="s">
        <v>172</v>
      </c>
      <c r="C68" s="3" t="s">
        <v>64</v>
      </c>
      <c r="D68" s="3" t="s">
        <v>173</v>
      </c>
      <c r="E68" s="6"/>
      <c r="F68" s="6"/>
      <c r="G68" s="3" t="s">
        <v>44</v>
      </c>
      <c r="H68" s="3" t="s">
        <v>14</v>
      </c>
      <c r="I68" s="3" t="s">
        <v>21</v>
      </c>
    </row>
    <row r="69" spans="1:9" s="3" customFormat="1" x14ac:dyDescent="0.3">
      <c r="A69" s="3" t="s">
        <v>93</v>
      </c>
      <c r="B69" s="3" t="s">
        <v>94</v>
      </c>
      <c r="C69" s="3" t="s">
        <v>42</v>
      </c>
      <c r="D69" s="3" t="s">
        <v>83</v>
      </c>
      <c r="E69" s="6">
        <v>0.40069444444444446</v>
      </c>
      <c r="F69" s="6">
        <v>0.71527777777777779</v>
      </c>
      <c r="G69" s="3" t="s">
        <v>26</v>
      </c>
      <c r="H69" s="3" t="s">
        <v>27</v>
      </c>
      <c r="I69" s="3" t="s">
        <v>15</v>
      </c>
    </row>
    <row r="70" spans="1:9" s="3" customFormat="1" x14ac:dyDescent="0.3">
      <c r="A70" s="3" t="s">
        <v>171</v>
      </c>
      <c r="B70" s="3" t="s">
        <v>172</v>
      </c>
      <c r="C70" s="3" t="s">
        <v>64</v>
      </c>
      <c r="D70" s="3" t="s">
        <v>174</v>
      </c>
      <c r="E70" s="6">
        <v>0.41736111111111113</v>
      </c>
      <c r="F70" s="6">
        <v>0.74583333333333335</v>
      </c>
      <c r="G70" s="3" t="s">
        <v>13</v>
      </c>
      <c r="H70" s="3" t="s">
        <v>27</v>
      </c>
      <c r="I70" s="3" t="s">
        <v>21</v>
      </c>
    </row>
    <row r="71" spans="1:9" s="3" customFormat="1" x14ac:dyDescent="0.3">
      <c r="A71" s="3" t="s">
        <v>175</v>
      </c>
      <c r="B71" s="3" t="s">
        <v>176</v>
      </c>
      <c r="C71" s="3" t="s">
        <v>60</v>
      </c>
      <c r="D71" s="3" t="s">
        <v>177</v>
      </c>
      <c r="E71" s="6">
        <v>0.3527777777777778</v>
      </c>
      <c r="F71" s="6">
        <v>0.81041666666666667</v>
      </c>
      <c r="G71" s="3" t="s">
        <v>20</v>
      </c>
      <c r="H71" s="3" t="s">
        <v>14</v>
      </c>
      <c r="I71" s="3" t="s">
        <v>21</v>
      </c>
    </row>
    <row r="72" spans="1:9" s="3" customFormat="1" x14ac:dyDescent="0.3">
      <c r="A72" s="3" t="s">
        <v>138</v>
      </c>
      <c r="B72" s="3" t="s">
        <v>139</v>
      </c>
      <c r="C72" s="3" t="s">
        <v>18</v>
      </c>
      <c r="D72" s="3" t="s">
        <v>173</v>
      </c>
      <c r="E72" s="6">
        <v>0.37708333333333333</v>
      </c>
      <c r="F72" s="6">
        <v>0.84236111111111112</v>
      </c>
      <c r="G72" s="3" t="s">
        <v>20</v>
      </c>
      <c r="H72" s="3" t="s">
        <v>14</v>
      </c>
      <c r="I72" s="3" t="s">
        <v>21</v>
      </c>
    </row>
    <row r="73" spans="1:9" s="3" customFormat="1" x14ac:dyDescent="0.3">
      <c r="A73" s="3" t="s">
        <v>9</v>
      </c>
      <c r="B73" s="3" t="s">
        <v>10</v>
      </c>
      <c r="C73" s="3" t="s">
        <v>18</v>
      </c>
      <c r="D73" s="3" t="s">
        <v>178</v>
      </c>
      <c r="E73" s="6">
        <v>0.49791666666666667</v>
      </c>
      <c r="F73" s="6">
        <v>0.69236111111111109</v>
      </c>
      <c r="G73" s="3" t="s">
        <v>20</v>
      </c>
      <c r="H73" s="3" t="s">
        <v>27</v>
      </c>
      <c r="I73" s="3" t="s">
        <v>21</v>
      </c>
    </row>
    <row r="74" spans="1:9" s="3" customFormat="1" x14ac:dyDescent="0.3">
      <c r="A74" s="3" t="s">
        <v>22</v>
      </c>
      <c r="B74" s="3" t="s">
        <v>23</v>
      </c>
      <c r="C74" s="3" t="s">
        <v>64</v>
      </c>
      <c r="D74" s="3" t="s">
        <v>179</v>
      </c>
      <c r="E74" s="6">
        <v>0.47430555555555554</v>
      </c>
      <c r="F74" s="6">
        <v>0.72986111111111107</v>
      </c>
      <c r="G74" s="3" t="s">
        <v>20</v>
      </c>
      <c r="H74" s="3" t="s">
        <v>27</v>
      </c>
      <c r="I74" s="3" t="s">
        <v>15</v>
      </c>
    </row>
    <row r="75" spans="1:9" s="3" customFormat="1" x14ac:dyDescent="0.3">
      <c r="A75" s="3" t="s">
        <v>45</v>
      </c>
      <c r="B75" s="3" t="s">
        <v>46</v>
      </c>
      <c r="C75" s="3" t="s">
        <v>24</v>
      </c>
      <c r="D75" s="3" t="s">
        <v>180</v>
      </c>
      <c r="E75" s="6">
        <v>0.33750000000000002</v>
      </c>
      <c r="F75" s="6">
        <v>0.86388888888888893</v>
      </c>
      <c r="G75" s="3" t="s">
        <v>26</v>
      </c>
      <c r="H75" s="3" t="s">
        <v>27</v>
      </c>
      <c r="I75" s="3" t="s">
        <v>21</v>
      </c>
    </row>
    <row r="76" spans="1:9" s="3" customFormat="1" x14ac:dyDescent="0.3">
      <c r="A76" s="3" t="s">
        <v>84</v>
      </c>
      <c r="B76" s="3" t="s">
        <v>85</v>
      </c>
      <c r="C76" s="3" t="s">
        <v>64</v>
      </c>
      <c r="D76" s="3" t="s">
        <v>181</v>
      </c>
      <c r="E76" s="6">
        <v>0.35</v>
      </c>
      <c r="F76" s="6">
        <v>0.85277777777777775</v>
      </c>
      <c r="G76" s="3" t="s">
        <v>26</v>
      </c>
      <c r="H76" s="3" t="s">
        <v>27</v>
      </c>
      <c r="I76" s="3" t="s">
        <v>21</v>
      </c>
    </row>
    <row r="77" spans="1:9" s="3" customFormat="1" x14ac:dyDescent="0.3">
      <c r="A77" s="3" t="s">
        <v>138</v>
      </c>
      <c r="B77" s="3" t="s">
        <v>139</v>
      </c>
      <c r="C77" s="3" t="s">
        <v>64</v>
      </c>
      <c r="D77" s="3" t="s">
        <v>182</v>
      </c>
      <c r="E77" s="6"/>
      <c r="F77" s="6"/>
      <c r="G77" s="3" t="s">
        <v>125</v>
      </c>
      <c r="H77" s="3" t="s">
        <v>27</v>
      </c>
      <c r="I77" s="3" t="s">
        <v>21</v>
      </c>
    </row>
    <row r="78" spans="1:9" s="3" customFormat="1" x14ac:dyDescent="0.3">
      <c r="A78" s="3" t="s">
        <v>102</v>
      </c>
      <c r="B78" s="3" t="s">
        <v>103</v>
      </c>
      <c r="C78" s="3" t="s">
        <v>18</v>
      </c>
      <c r="D78" s="3" t="s">
        <v>183</v>
      </c>
      <c r="E78" s="6">
        <v>0.34861111111111109</v>
      </c>
      <c r="F78" s="6">
        <v>0.8354166666666667</v>
      </c>
      <c r="G78" s="3" t="s">
        <v>20</v>
      </c>
      <c r="H78" s="3" t="s">
        <v>14</v>
      </c>
      <c r="I78" s="3" t="s">
        <v>15</v>
      </c>
    </row>
    <row r="79" spans="1:9" s="3" customFormat="1" x14ac:dyDescent="0.3">
      <c r="A79" s="3" t="s">
        <v>66</v>
      </c>
      <c r="B79" s="3" t="s">
        <v>67</v>
      </c>
      <c r="C79" s="3" t="s">
        <v>64</v>
      </c>
      <c r="D79" s="3" t="s">
        <v>184</v>
      </c>
      <c r="E79" s="6"/>
      <c r="F79" s="6"/>
      <c r="G79" s="3" t="s">
        <v>44</v>
      </c>
      <c r="H79" s="3" t="s">
        <v>14</v>
      </c>
      <c r="I79" s="3" t="s">
        <v>21</v>
      </c>
    </row>
    <row r="80" spans="1:9" s="3" customFormat="1" x14ac:dyDescent="0.3">
      <c r="A80" s="3" t="s">
        <v>130</v>
      </c>
      <c r="B80" s="3" t="s">
        <v>131</v>
      </c>
      <c r="C80" s="3" t="s">
        <v>42</v>
      </c>
      <c r="D80" s="3" t="s">
        <v>185</v>
      </c>
      <c r="E80" s="6">
        <v>0.41041666666666665</v>
      </c>
      <c r="F80" s="6">
        <v>0.86319444444444449</v>
      </c>
      <c r="G80" s="3" t="s">
        <v>26</v>
      </c>
      <c r="H80" s="3" t="s">
        <v>14</v>
      </c>
      <c r="I80" s="3" t="s">
        <v>15</v>
      </c>
    </row>
    <row r="81" spans="1:9" s="3" customFormat="1" x14ac:dyDescent="0.3">
      <c r="A81" s="3" t="s">
        <v>62</v>
      </c>
      <c r="B81" s="3" t="s">
        <v>63</v>
      </c>
      <c r="C81" s="3" t="s">
        <v>24</v>
      </c>
      <c r="D81" s="3" t="s">
        <v>186</v>
      </c>
      <c r="E81" s="6">
        <v>0.33750000000000002</v>
      </c>
      <c r="F81" s="6">
        <v>0.81805555555555554</v>
      </c>
      <c r="G81" s="3" t="s">
        <v>125</v>
      </c>
      <c r="H81" s="3" t="s">
        <v>14</v>
      </c>
      <c r="I81" s="3" t="s">
        <v>15</v>
      </c>
    </row>
    <row r="82" spans="1:9" s="3" customFormat="1" x14ac:dyDescent="0.3">
      <c r="A82" s="3" t="s">
        <v>187</v>
      </c>
      <c r="B82" s="3" t="s">
        <v>188</v>
      </c>
      <c r="C82" s="3" t="s">
        <v>18</v>
      </c>
      <c r="D82" s="3" t="s">
        <v>80</v>
      </c>
      <c r="E82" s="6"/>
      <c r="F82" s="6"/>
      <c r="G82" s="3" t="s">
        <v>44</v>
      </c>
      <c r="H82" s="3" t="s">
        <v>14</v>
      </c>
      <c r="I82" s="3" t="s">
        <v>21</v>
      </c>
    </row>
    <row r="83" spans="1:9" s="3" customFormat="1" x14ac:dyDescent="0.3">
      <c r="A83" s="3" t="s">
        <v>138</v>
      </c>
      <c r="B83" s="3" t="s">
        <v>139</v>
      </c>
      <c r="C83" s="3" t="s">
        <v>60</v>
      </c>
      <c r="D83" s="3" t="s">
        <v>189</v>
      </c>
      <c r="E83" s="6">
        <v>0.48680555555555555</v>
      </c>
      <c r="F83" s="6">
        <v>0.79027777777777775</v>
      </c>
      <c r="G83" s="3" t="s">
        <v>13</v>
      </c>
      <c r="H83" s="3" t="s">
        <v>27</v>
      </c>
      <c r="I83" s="3" t="s">
        <v>15</v>
      </c>
    </row>
    <row r="84" spans="1:9" s="3" customFormat="1" x14ac:dyDescent="0.3">
      <c r="A84" s="3" t="s">
        <v>48</v>
      </c>
      <c r="B84" s="3" t="s">
        <v>49</v>
      </c>
      <c r="C84" s="3" t="s">
        <v>64</v>
      </c>
      <c r="D84" s="3" t="s">
        <v>190</v>
      </c>
      <c r="E84" s="6">
        <v>0.34166666666666667</v>
      </c>
      <c r="F84" s="6">
        <v>0.86597222222222225</v>
      </c>
      <c r="G84" s="3" t="s">
        <v>26</v>
      </c>
      <c r="H84" s="3" t="s">
        <v>14</v>
      </c>
      <c r="I84" s="3" t="s">
        <v>21</v>
      </c>
    </row>
    <row r="85" spans="1:9" s="3" customFormat="1" x14ac:dyDescent="0.3">
      <c r="A85" s="3" t="s">
        <v>191</v>
      </c>
      <c r="B85" s="3" t="s">
        <v>192</v>
      </c>
      <c r="C85" s="3" t="s">
        <v>18</v>
      </c>
      <c r="D85" s="3" t="s">
        <v>193</v>
      </c>
      <c r="E85" s="6"/>
      <c r="F85" s="6"/>
      <c r="G85" s="3" t="s">
        <v>44</v>
      </c>
      <c r="H85" s="3" t="s">
        <v>27</v>
      </c>
      <c r="I85" s="3" t="s">
        <v>15</v>
      </c>
    </row>
    <row r="86" spans="1:9" s="3" customFormat="1" x14ac:dyDescent="0.3">
      <c r="A86" s="3" t="s">
        <v>45</v>
      </c>
      <c r="B86" s="3" t="s">
        <v>46</v>
      </c>
      <c r="C86" s="3" t="s">
        <v>60</v>
      </c>
      <c r="D86" s="3" t="s">
        <v>164</v>
      </c>
      <c r="E86" s="6">
        <v>0.40694444444444444</v>
      </c>
      <c r="F86" s="6">
        <v>0.79027777777777775</v>
      </c>
      <c r="G86" s="3" t="s">
        <v>13</v>
      </c>
      <c r="H86" s="3" t="s">
        <v>14</v>
      </c>
      <c r="I86" s="3" t="s">
        <v>21</v>
      </c>
    </row>
    <row r="87" spans="1:9" s="3" customFormat="1" x14ac:dyDescent="0.3">
      <c r="A87" s="3" t="s">
        <v>194</v>
      </c>
      <c r="B87" s="3" t="s">
        <v>195</v>
      </c>
      <c r="C87" s="3" t="s">
        <v>24</v>
      </c>
      <c r="D87" s="3" t="s">
        <v>196</v>
      </c>
      <c r="E87" s="6"/>
      <c r="F87" s="6"/>
      <c r="G87" s="3" t="s">
        <v>44</v>
      </c>
      <c r="H87" s="3" t="s">
        <v>27</v>
      </c>
      <c r="I87" s="3" t="s">
        <v>15</v>
      </c>
    </row>
    <row r="88" spans="1:9" s="3" customFormat="1" x14ac:dyDescent="0.3">
      <c r="A88" s="3" t="s">
        <v>90</v>
      </c>
      <c r="B88" s="3" t="s">
        <v>91</v>
      </c>
      <c r="C88" s="3" t="s">
        <v>18</v>
      </c>
      <c r="D88" s="3" t="s">
        <v>184</v>
      </c>
      <c r="E88" s="6">
        <v>0.34305555555555556</v>
      </c>
      <c r="F88" s="6">
        <v>0.78125</v>
      </c>
      <c r="G88" s="3" t="s">
        <v>13</v>
      </c>
      <c r="H88" s="3" t="s">
        <v>14</v>
      </c>
      <c r="I88" s="3" t="s">
        <v>21</v>
      </c>
    </row>
    <row r="89" spans="1:9" s="3" customFormat="1" x14ac:dyDescent="0.3">
      <c r="A89" s="3" t="s">
        <v>197</v>
      </c>
      <c r="B89" s="3" t="s">
        <v>198</v>
      </c>
      <c r="C89" s="3" t="s">
        <v>64</v>
      </c>
      <c r="D89" s="3" t="s">
        <v>74</v>
      </c>
      <c r="E89" s="6"/>
      <c r="F89" s="6"/>
      <c r="G89" s="3" t="s">
        <v>44</v>
      </c>
      <c r="H89" s="3" t="s">
        <v>14</v>
      </c>
      <c r="I89" s="3" t="s">
        <v>15</v>
      </c>
    </row>
    <row r="90" spans="1:9" s="3" customFormat="1" x14ac:dyDescent="0.3">
      <c r="A90" s="3" t="s">
        <v>40</v>
      </c>
      <c r="B90" s="3" t="s">
        <v>41</v>
      </c>
      <c r="C90" s="3" t="s">
        <v>24</v>
      </c>
      <c r="D90" s="3" t="s">
        <v>199</v>
      </c>
      <c r="E90" s="6">
        <v>0.35347222222222224</v>
      </c>
      <c r="F90" s="6">
        <v>0.7993055555555556</v>
      </c>
      <c r="G90" s="3" t="s">
        <v>13</v>
      </c>
      <c r="H90" s="3" t="s">
        <v>14</v>
      </c>
      <c r="I90" s="3" t="s">
        <v>21</v>
      </c>
    </row>
    <row r="91" spans="1:9" s="3" customFormat="1" x14ac:dyDescent="0.3">
      <c r="A91" s="3" t="s">
        <v>200</v>
      </c>
      <c r="B91" s="3" t="s">
        <v>201</v>
      </c>
      <c r="C91" s="3" t="s">
        <v>42</v>
      </c>
      <c r="D91" s="3" t="s">
        <v>202</v>
      </c>
      <c r="E91" s="6">
        <v>0.45902777777777776</v>
      </c>
      <c r="F91" s="6">
        <v>0.75486111111111109</v>
      </c>
      <c r="G91" s="3" t="s">
        <v>26</v>
      </c>
      <c r="H91" s="3" t="s">
        <v>14</v>
      </c>
      <c r="I91" s="3" t="s">
        <v>15</v>
      </c>
    </row>
    <row r="92" spans="1:9" s="3" customFormat="1" x14ac:dyDescent="0.3">
      <c r="A92" s="3" t="s">
        <v>78</v>
      </c>
      <c r="B92" s="3" t="s">
        <v>79</v>
      </c>
      <c r="C92" s="3" t="s">
        <v>64</v>
      </c>
      <c r="D92" s="3" t="s">
        <v>203</v>
      </c>
      <c r="E92" s="6"/>
      <c r="F92" s="6"/>
      <c r="G92" s="3" t="s">
        <v>44</v>
      </c>
      <c r="H92" s="3" t="s">
        <v>27</v>
      </c>
      <c r="I92" s="3" t="s">
        <v>15</v>
      </c>
    </row>
    <row r="93" spans="1:9" s="3" customFormat="1" x14ac:dyDescent="0.3">
      <c r="A93" s="3" t="s">
        <v>48</v>
      </c>
      <c r="B93" s="3" t="s">
        <v>49</v>
      </c>
      <c r="C93" s="3" t="s">
        <v>60</v>
      </c>
      <c r="D93" s="3" t="s">
        <v>202</v>
      </c>
      <c r="E93" s="6">
        <v>0.36458333333333331</v>
      </c>
      <c r="F93" s="6">
        <v>0.82777777777777772</v>
      </c>
      <c r="G93" s="3" t="s">
        <v>20</v>
      </c>
      <c r="H93" s="3" t="s">
        <v>14</v>
      </c>
      <c r="I93" s="3" t="s">
        <v>21</v>
      </c>
    </row>
    <row r="94" spans="1:9" s="3" customFormat="1" x14ac:dyDescent="0.3">
      <c r="A94" s="3" t="s">
        <v>72</v>
      </c>
      <c r="B94" s="3" t="s">
        <v>73</v>
      </c>
      <c r="C94" s="3" t="s">
        <v>18</v>
      </c>
      <c r="D94" s="3" t="s">
        <v>186</v>
      </c>
      <c r="E94" s="6">
        <v>0.38055555555555554</v>
      </c>
      <c r="F94" s="6">
        <v>0.6694444444444444</v>
      </c>
      <c r="G94" s="3" t="s">
        <v>13</v>
      </c>
      <c r="H94" s="3" t="s">
        <v>27</v>
      </c>
      <c r="I94" s="3" t="s">
        <v>21</v>
      </c>
    </row>
    <row r="95" spans="1:9" s="3" customFormat="1" x14ac:dyDescent="0.3">
      <c r="A95" s="3" t="s">
        <v>204</v>
      </c>
      <c r="B95" s="3" t="s">
        <v>205</v>
      </c>
      <c r="C95" s="3" t="s">
        <v>60</v>
      </c>
      <c r="D95" s="3" t="s">
        <v>206</v>
      </c>
      <c r="E95" s="6"/>
      <c r="F95" s="6"/>
      <c r="G95" s="3" t="s">
        <v>125</v>
      </c>
      <c r="H95" s="3" t="s">
        <v>14</v>
      </c>
      <c r="I95" s="3" t="s">
        <v>21</v>
      </c>
    </row>
    <row r="96" spans="1:9" s="3" customFormat="1" x14ac:dyDescent="0.3">
      <c r="A96" s="3" t="s">
        <v>31</v>
      </c>
      <c r="B96" s="3" t="s">
        <v>32</v>
      </c>
      <c r="C96" s="3" t="s">
        <v>64</v>
      </c>
      <c r="D96" s="3" t="s">
        <v>207</v>
      </c>
      <c r="E96" s="6">
        <v>0.46041666666666664</v>
      </c>
      <c r="F96" s="6">
        <v>0.8</v>
      </c>
      <c r="G96" s="3" t="s">
        <v>20</v>
      </c>
      <c r="H96" s="3" t="s">
        <v>27</v>
      </c>
      <c r="I96" s="3" t="s">
        <v>21</v>
      </c>
    </row>
    <row r="97" spans="1:9" s="3" customFormat="1" x14ac:dyDescent="0.3">
      <c r="A97" s="3" t="s">
        <v>90</v>
      </c>
      <c r="B97" s="3" t="s">
        <v>91</v>
      </c>
      <c r="C97" s="3" t="s">
        <v>18</v>
      </c>
      <c r="D97" s="3" t="s">
        <v>208</v>
      </c>
      <c r="E97" s="6"/>
      <c r="F97" s="6"/>
      <c r="G97" s="3" t="s">
        <v>44</v>
      </c>
      <c r="H97" s="3" t="s">
        <v>27</v>
      </c>
      <c r="I97" s="3" t="s">
        <v>15</v>
      </c>
    </row>
    <row r="98" spans="1:9" s="3" customFormat="1" x14ac:dyDescent="0.3">
      <c r="A98" s="3" t="s">
        <v>16</v>
      </c>
      <c r="B98" s="3" t="s">
        <v>17</v>
      </c>
      <c r="C98" s="3" t="s">
        <v>18</v>
      </c>
      <c r="D98" s="3" t="s">
        <v>209</v>
      </c>
      <c r="E98" s="6"/>
      <c r="F98" s="6"/>
      <c r="G98" s="3" t="s">
        <v>44</v>
      </c>
      <c r="H98" s="3" t="s">
        <v>14</v>
      </c>
      <c r="I98" s="3" t="s">
        <v>15</v>
      </c>
    </row>
    <row r="99" spans="1:9" s="3" customFormat="1" x14ac:dyDescent="0.3">
      <c r="A99" s="3" t="s">
        <v>52</v>
      </c>
      <c r="B99" s="3" t="s">
        <v>53</v>
      </c>
      <c r="C99" s="3" t="s">
        <v>42</v>
      </c>
      <c r="D99" s="3" t="s">
        <v>61</v>
      </c>
      <c r="E99" s="6">
        <v>0.35486111111111113</v>
      </c>
      <c r="F99" s="6">
        <v>0.75277777777777777</v>
      </c>
      <c r="G99" s="3" t="s">
        <v>26</v>
      </c>
      <c r="H99" s="3" t="s">
        <v>14</v>
      </c>
      <c r="I99" s="3" t="s">
        <v>15</v>
      </c>
    </row>
    <row r="100" spans="1:9" s="3" customFormat="1" x14ac:dyDescent="0.3">
      <c r="A100" s="3" t="s">
        <v>187</v>
      </c>
      <c r="B100" s="3" t="s">
        <v>188</v>
      </c>
      <c r="C100" s="3" t="s">
        <v>42</v>
      </c>
      <c r="D100" s="3" t="s">
        <v>71</v>
      </c>
      <c r="E100" s="6"/>
      <c r="F100" s="6"/>
      <c r="G100" s="3" t="s">
        <v>44</v>
      </c>
      <c r="H100" s="3" t="s">
        <v>27</v>
      </c>
      <c r="I100" s="3" t="s">
        <v>21</v>
      </c>
    </row>
    <row r="101" spans="1:9" s="3" customFormat="1" x14ac:dyDescent="0.3">
      <c r="A101" s="3" t="s">
        <v>99</v>
      </c>
      <c r="B101" s="3" t="s">
        <v>100</v>
      </c>
      <c r="C101" s="3" t="s">
        <v>64</v>
      </c>
      <c r="D101" s="3" t="s">
        <v>210</v>
      </c>
      <c r="E101" s="6"/>
      <c r="F101" s="6"/>
      <c r="G101" s="3" t="s">
        <v>44</v>
      </c>
      <c r="H101" s="3" t="s">
        <v>14</v>
      </c>
      <c r="I101" s="3" t="s">
        <v>15</v>
      </c>
    </row>
    <row r="102" spans="1:9" s="3" customFormat="1" x14ac:dyDescent="0.3">
      <c r="A102" s="3" t="s">
        <v>115</v>
      </c>
      <c r="B102" s="3" t="s">
        <v>116</v>
      </c>
      <c r="C102" s="3" t="s">
        <v>18</v>
      </c>
      <c r="D102" s="3" t="s">
        <v>211</v>
      </c>
      <c r="E102" s="6">
        <v>0.4152777777777778</v>
      </c>
      <c r="F102" s="6">
        <v>0.73888888888888893</v>
      </c>
      <c r="G102" s="3" t="s">
        <v>26</v>
      </c>
      <c r="H102" s="3" t="s">
        <v>14</v>
      </c>
      <c r="I102" s="3" t="s">
        <v>15</v>
      </c>
    </row>
    <row r="103" spans="1:9" s="3" customFormat="1" x14ac:dyDescent="0.3">
      <c r="A103" s="3" t="s">
        <v>58</v>
      </c>
      <c r="B103" s="3" t="s">
        <v>59</v>
      </c>
      <c r="C103" s="3" t="s">
        <v>18</v>
      </c>
      <c r="D103" s="3" t="s">
        <v>212</v>
      </c>
      <c r="E103" s="6">
        <v>0.4375</v>
      </c>
      <c r="F103" s="6">
        <v>0.69097222222222221</v>
      </c>
      <c r="G103" s="3" t="s">
        <v>125</v>
      </c>
      <c r="H103" s="3" t="s">
        <v>14</v>
      </c>
      <c r="I103" s="3" t="s">
        <v>21</v>
      </c>
    </row>
    <row r="104" spans="1:9" s="3" customFormat="1" x14ac:dyDescent="0.3">
      <c r="A104" s="3" t="s">
        <v>213</v>
      </c>
      <c r="B104" s="3" t="s">
        <v>214</v>
      </c>
      <c r="C104" s="3" t="s">
        <v>18</v>
      </c>
      <c r="D104" s="3" t="s">
        <v>215</v>
      </c>
      <c r="E104" s="6">
        <v>0.37222222222222223</v>
      </c>
      <c r="F104" s="6">
        <v>0.6791666666666667</v>
      </c>
      <c r="G104" s="3" t="s">
        <v>13</v>
      </c>
      <c r="H104" s="3" t="s">
        <v>14</v>
      </c>
      <c r="I104" s="3" t="s">
        <v>21</v>
      </c>
    </row>
    <row r="105" spans="1:9" s="3" customFormat="1" x14ac:dyDescent="0.3">
      <c r="A105" s="3" t="s">
        <v>216</v>
      </c>
      <c r="B105" s="3" t="s">
        <v>217</v>
      </c>
      <c r="C105" s="3" t="s">
        <v>60</v>
      </c>
      <c r="D105" s="3" t="s">
        <v>218</v>
      </c>
      <c r="E105" s="6">
        <v>0.4513888888888889</v>
      </c>
      <c r="F105" s="6">
        <v>0.86875000000000002</v>
      </c>
      <c r="G105" s="3" t="s">
        <v>13</v>
      </c>
      <c r="H105" s="3" t="s">
        <v>14</v>
      </c>
      <c r="I105" s="3" t="s">
        <v>21</v>
      </c>
    </row>
    <row r="106" spans="1:9" s="3" customFormat="1" x14ac:dyDescent="0.3">
      <c r="A106" s="3" t="s">
        <v>96</v>
      </c>
      <c r="B106" s="3" t="s">
        <v>97</v>
      </c>
      <c r="C106" s="3" t="s">
        <v>127</v>
      </c>
      <c r="D106" s="3" t="s">
        <v>218</v>
      </c>
      <c r="E106" s="6">
        <v>0.43958333333333333</v>
      </c>
      <c r="F106" s="6">
        <v>0.67569444444444449</v>
      </c>
      <c r="G106" s="3" t="s">
        <v>26</v>
      </c>
      <c r="H106" s="3" t="s">
        <v>14</v>
      </c>
      <c r="I106" s="3" t="s">
        <v>15</v>
      </c>
    </row>
    <row r="107" spans="1:9" s="3" customFormat="1" x14ac:dyDescent="0.3">
      <c r="A107" s="3" t="s">
        <v>134</v>
      </c>
      <c r="B107" s="3" t="s">
        <v>135</v>
      </c>
      <c r="C107" s="3" t="s">
        <v>42</v>
      </c>
      <c r="D107" s="3" t="s">
        <v>219</v>
      </c>
      <c r="E107" s="6">
        <v>0.4826388888888889</v>
      </c>
      <c r="F107" s="6">
        <v>0.83125000000000004</v>
      </c>
      <c r="G107" s="3" t="s">
        <v>13</v>
      </c>
      <c r="H107" s="3" t="s">
        <v>27</v>
      </c>
      <c r="I107" s="3" t="s">
        <v>15</v>
      </c>
    </row>
    <row r="108" spans="1:9" s="3" customFormat="1" x14ac:dyDescent="0.3">
      <c r="A108" s="3" t="s">
        <v>28</v>
      </c>
      <c r="B108" s="3" t="s">
        <v>29</v>
      </c>
      <c r="C108" s="3" t="s">
        <v>42</v>
      </c>
      <c r="D108" s="3" t="s">
        <v>220</v>
      </c>
      <c r="E108" s="6">
        <v>0.35694444444444445</v>
      </c>
      <c r="F108" s="6">
        <v>0.75486111111111109</v>
      </c>
      <c r="G108" s="3" t="s">
        <v>20</v>
      </c>
      <c r="H108" s="3" t="s">
        <v>27</v>
      </c>
      <c r="I108" s="3" t="s">
        <v>21</v>
      </c>
    </row>
    <row r="109" spans="1:9" s="3" customFormat="1" x14ac:dyDescent="0.3">
      <c r="A109" s="3" t="s">
        <v>62</v>
      </c>
      <c r="B109" s="3" t="s">
        <v>63</v>
      </c>
      <c r="C109" s="3" t="s">
        <v>18</v>
      </c>
      <c r="D109" s="3" t="s">
        <v>221</v>
      </c>
      <c r="E109" s="6">
        <v>0.49513888888888891</v>
      </c>
      <c r="F109" s="6">
        <v>0.76666666666666672</v>
      </c>
      <c r="G109" s="3" t="s">
        <v>13</v>
      </c>
      <c r="H109" s="3" t="s">
        <v>27</v>
      </c>
      <c r="I109" s="3" t="s">
        <v>21</v>
      </c>
    </row>
    <row r="110" spans="1:9" s="3" customFormat="1" x14ac:dyDescent="0.3">
      <c r="A110" s="3" t="s">
        <v>204</v>
      </c>
      <c r="B110" s="3" t="s">
        <v>205</v>
      </c>
      <c r="C110" s="3" t="s">
        <v>42</v>
      </c>
      <c r="D110" s="3" t="s">
        <v>132</v>
      </c>
      <c r="E110" s="6">
        <v>0.35625000000000001</v>
      </c>
      <c r="F110" s="6">
        <v>0.86111111111111116</v>
      </c>
      <c r="G110" s="3" t="s">
        <v>20</v>
      </c>
      <c r="H110" s="3" t="s">
        <v>14</v>
      </c>
      <c r="I110" s="3" t="s">
        <v>21</v>
      </c>
    </row>
    <row r="111" spans="1:9" s="3" customFormat="1" x14ac:dyDescent="0.3">
      <c r="A111" s="3" t="s">
        <v>84</v>
      </c>
      <c r="B111" s="3" t="s">
        <v>85</v>
      </c>
      <c r="C111" s="3" t="s">
        <v>18</v>
      </c>
      <c r="D111" s="3" t="s">
        <v>164</v>
      </c>
      <c r="E111" s="6">
        <v>0.46319444444444446</v>
      </c>
      <c r="F111" s="6">
        <v>0.85416666666666663</v>
      </c>
      <c r="G111" s="3" t="s">
        <v>13</v>
      </c>
      <c r="H111" s="3" t="s">
        <v>14</v>
      </c>
      <c r="I111" s="3" t="s">
        <v>21</v>
      </c>
    </row>
    <row r="112" spans="1:9" s="3" customFormat="1" x14ac:dyDescent="0.3">
      <c r="A112" s="3" t="s">
        <v>171</v>
      </c>
      <c r="B112" s="3" t="s">
        <v>172</v>
      </c>
      <c r="C112" s="3" t="s">
        <v>18</v>
      </c>
      <c r="D112" s="3" t="s">
        <v>101</v>
      </c>
      <c r="E112" s="6">
        <v>0.46319444444444446</v>
      </c>
      <c r="F112" s="6">
        <v>0.79236111111111107</v>
      </c>
      <c r="G112" s="3" t="s">
        <v>13</v>
      </c>
      <c r="H112" s="3" t="s">
        <v>14</v>
      </c>
      <c r="I112" s="3" t="s">
        <v>21</v>
      </c>
    </row>
    <row r="113" spans="1:9" s="3" customFormat="1" x14ac:dyDescent="0.3">
      <c r="A113" s="3" t="s">
        <v>58</v>
      </c>
      <c r="B113" s="3" t="s">
        <v>59</v>
      </c>
      <c r="C113" s="3" t="s">
        <v>24</v>
      </c>
      <c r="D113" s="3" t="s">
        <v>222</v>
      </c>
      <c r="E113" s="6">
        <v>0.43194444444444446</v>
      </c>
      <c r="F113" s="6">
        <v>0.68611111111111112</v>
      </c>
      <c r="G113" s="3" t="s">
        <v>13</v>
      </c>
      <c r="H113" s="3" t="s">
        <v>27</v>
      </c>
      <c r="I113" s="3" t="s">
        <v>15</v>
      </c>
    </row>
    <row r="114" spans="1:9" s="3" customFormat="1" x14ac:dyDescent="0.3">
      <c r="A114" s="3" t="s">
        <v>96</v>
      </c>
      <c r="B114" s="3" t="s">
        <v>97</v>
      </c>
      <c r="C114" s="3" t="s">
        <v>24</v>
      </c>
      <c r="D114" s="3" t="s">
        <v>223</v>
      </c>
      <c r="E114" s="6">
        <v>0.48125000000000001</v>
      </c>
      <c r="F114" s="6">
        <v>0.71875</v>
      </c>
      <c r="G114" s="3" t="s">
        <v>13</v>
      </c>
      <c r="H114" s="3" t="s">
        <v>14</v>
      </c>
      <c r="I114" s="3" t="s">
        <v>15</v>
      </c>
    </row>
    <row r="115" spans="1:9" s="3" customFormat="1" x14ac:dyDescent="0.3">
      <c r="A115" s="3" t="s">
        <v>224</v>
      </c>
      <c r="B115" s="3" t="s">
        <v>225</v>
      </c>
      <c r="C115" s="3" t="s">
        <v>42</v>
      </c>
      <c r="D115" s="3" t="s">
        <v>226</v>
      </c>
      <c r="E115" s="6">
        <v>0.46319444444444446</v>
      </c>
      <c r="F115" s="6">
        <v>0.69374999999999998</v>
      </c>
      <c r="G115" s="3" t="s">
        <v>13</v>
      </c>
      <c r="H115" s="3" t="s">
        <v>27</v>
      </c>
      <c r="I115" s="3" t="s">
        <v>15</v>
      </c>
    </row>
    <row r="116" spans="1:9" s="3" customFormat="1" x14ac:dyDescent="0.3">
      <c r="A116" s="3" t="s">
        <v>197</v>
      </c>
      <c r="B116" s="3" t="s">
        <v>198</v>
      </c>
      <c r="C116" s="3" t="s">
        <v>18</v>
      </c>
      <c r="D116" s="3" t="s">
        <v>80</v>
      </c>
      <c r="E116" s="6">
        <v>0.47361111111111109</v>
      </c>
      <c r="F116" s="6">
        <v>0.81388888888888888</v>
      </c>
      <c r="G116" s="3" t="s">
        <v>26</v>
      </c>
      <c r="H116" s="3" t="s">
        <v>14</v>
      </c>
      <c r="I116" s="3" t="s">
        <v>15</v>
      </c>
    </row>
    <row r="117" spans="1:9" s="3" customFormat="1" x14ac:dyDescent="0.3">
      <c r="A117" s="3" t="s">
        <v>146</v>
      </c>
      <c r="B117" s="3" t="s">
        <v>147</v>
      </c>
      <c r="C117" s="3" t="s">
        <v>18</v>
      </c>
      <c r="D117" s="3" t="s">
        <v>227</v>
      </c>
      <c r="E117" s="6">
        <v>0.36249999999999999</v>
      </c>
      <c r="F117" s="6">
        <v>0.83263888888888893</v>
      </c>
      <c r="G117" s="3" t="s">
        <v>125</v>
      </c>
      <c r="H117" s="3" t="s">
        <v>14</v>
      </c>
      <c r="I117" s="3" t="s">
        <v>15</v>
      </c>
    </row>
    <row r="118" spans="1:9" s="3" customFormat="1" x14ac:dyDescent="0.3">
      <c r="A118" s="3" t="s">
        <v>213</v>
      </c>
      <c r="B118" s="3" t="s">
        <v>214</v>
      </c>
      <c r="C118" s="3" t="s">
        <v>42</v>
      </c>
      <c r="D118" s="3" t="s">
        <v>228</v>
      </c>
      <c r="E118" s="6">
        <v>0.37638888888888888</v>
      </c>
      <c r="F118" s="6">
        <v>0.80486111111111114</v>
      </c>
      <c r="G118" s="3" t="s">
        <v>20</v>
      </c>
      <c r="H118" s="3" t="s">
        <v>27</v>
      </c>
      <c r="I118" s="3" t="s">
        <v>15</v>
      </c>
    </row>
    <row r="119" spans="1:9" s="3" customFormat="1" x14ac:dyDescent="0.3">
      <c r="A119" s="3" t="s">
        <v>72</v>
      </c>
      <c r="B119" s="3" t="s">
        <v>73</v>
      </c>
      <c r="C119" s="3" t="s">
        <v>18</v>
      </c>
      <c r="D119" s="3" t="s">
        <v>229</v>
      </c>
      <c r="E119" s="6">
        <v>0.47222222222222221</v>
      </c>
      <c r="F119" s="6">
        <v>0.6958333333333333</v>
      </c>
      <c r="G119" s="3" t="s">
        <v>13</v>
      </c>
      <c r="H119" s="3" t="s">
        <v>27</v>
      </c>
      <c r="I119" s="3" t="s">
        <v>15</v>
      </c>
    </row>
    <row r="120" spans="1:9" s="3" customFormat="1" x14ac:dyDescent="0.3">
      <c r="A120" s="3" t="s">
        <v>31</v>
      </c>
      <c r="B120" s="3" t="s">
        <v>32</v>
      </c>
      <c r="C120" s="3" t="s">
        <v>60</v>
      </c>
      <c r="D120" s="3" t="s">
        <v>230</v>
      </c>
      <c r="E120" s="6">
        <v>0.43055555555555558</v>
      </c>
      <c r="F120" s="6">
        <v>0.71944444444444444</v>
      </c>
      <c r="G120" s="3" t="s">
        <v>13</v>
      </c>
      <c r="H120" s="3" t="s">
        <v>14</v>
      </c>
      <c r="I120" s="3" t="s">
        <v>21</v>
      </c>
    </row>
    <row r="121" spans="1:9" s="3" customFormat="1" x14ac:dyDescent="0.3">
      <c r="A121" s="3" t="s">
        <v>216</v>
      </c>
      <c r="B121" s="3" t="s">
        <v>217</v>
      </c>
      <c r="C121" s="3" t="s">
        <v>42</v>
      </c>
      <c r="D121" s="3" t="s">
        <v>231</v>
      </c>
      <c r="E121" s="6">
        <v>0.34791666666666665</v>
      </c>
      <c r="F121" s="6">
        <v>0.71111111111111114</v>
      </c>
      <c r="G121" s="3" t="s">
        <v>20</v>
      </c>
      <c r="H121" s="3" t="s">
        <v>14</v>
      </c>
      <c r="I121" s="3" t="s">
        <v>15</v>
      </c>
    </row>
    <row r="122" spans="1:9" s="3" customFormat="1" x14ac:dyDescent="0.3">
      <c r="A122" s="3" t="s">
        <v>48</v>
      </c>
      <c r="B122" s="3" t="s">
        <v>49</v>
      </c>
      <c r="C122" s="3" t="s">
        <v>18</v>
      </c>
      <c r="D122" s="3" t="s">
        <v>232</v>
      </c>
      <c r="E122" s="6">
        <v>0.4284722222222222</v>
      </c>
      <c r="F122" s="6">
        <v>0.71597222222222223</v>
      </c>
      <c r="G122" s="3" t="s">
        <v>26</v>
      </c>
      <c r="H122" s="3" t="s">
        <v>14</v>
      </c>
      <c r="I122" s="3" t="s">
        <v>15</v>
      </c>
    </row>
    <row r="123" spans="1:9" s="3" customFormat="1" x14ac:dyDescent="0.3">
      <c r="A123" s="3" t="s">
        <v>175</v>
      </c>
      <c r="B123" s="3" t="s">
        <v>176</v>
      </c>
      <c r="C123" s="3" t="s">
        <v>60</v>
      </c>
      <c r="D123" s="3" t="s">
        <v>233</v>
      </c>
      <c r="E123" s="6">
        <v>0.45277777777777778</v>
      </c>
      <c r="F123" s="6">
        <v>0.83263888888888893</v>
      </c>
      <c r="G123" s="3" t="s">
        <v>26</v>
      </c>
      <c r="H123" s="3" t="s">
        <v>14</v>
      </c>
      <c r="I123" s="3" t="s">
        <v>15</v>
      </c>
    </row>
    <row r="124" spans="1:9" s="3" customFormat="1" x14ac:dyDescent="0.3">
      <c r="A124" s="3" t="s">
        <v>62</v>
      </c>
      <c r="B124" s="3" t="s">
        <v>63</v>
      </c>
      <c r="C124" s="3" t="s">
        <v>60</v>
      </c>
      <c r="D124" s="3" t="s">
        <v>234</v>
      </c>
      <c r="E124" s="6">
        <v>0.48958333333333331</v>
      </c>
      <c r="F124" s="6">
        <v>0.75624999999999998</v>
      </c>
      <c r="G124" s="3" t="s">
        <v>13</v>
      </c>
      <c r="H124" s="3" t="s">
        <v>27</v>
      </c>
      <c r="I124" s="3" t="s">
        <v>21</v>
      </c>
    </row>
    <row r="125" spans="1:9" s="3" customFormat="1" x14ac:dyDescent="0.3">
      <c r="A125" s="3" t="s">
        <v>87</v>
      </c>
      <c r="B125" s="3" t="s">
        <v>88</v>
      </c>
      <c r="C125" s="3" t="s">
        <v>18</v>
      </c>
      <c r="D125" s="3" t="s">
        <v>235</v>
      </c>
      <c r="E125" s="6">
        <v>0.37777777777777777</v>
      </c>
      <c r="F125" s="6">
        <v>0.8520833333333333</v>
      </c>
      <c r="G125" s="3" t="s">
        <v>13</v>
      </c>
      <c r="H125" s="3" t="s">
        <v>14</v>
      </c>
      <c r="I125" s="3" t="s">
        <v>15</v>
      </c>
    </row>
    <row r="126" spans="1:9" s="3" customFormat="1" x14ac:dyDescent="0.3">
      <c r="A126" s="3" t="s">
        <v>236</v>
      </c>
      <c r="B126" s="3" t="s">
        <v>237</v>
      </c>
      <c r="C126" s="3" t="s">
        <v>18</v>
      </c>
      <c r="D126" s="3" t="s">
        <v>238</v>
      </c>
      <c r="E126" s="6">
        <v>0.45833333333333331</v>
      </c>
      <c r="F126" s="6">
        <v>0.68680555555555556</v>
      </c>
      <c r="G126" s="3" t="s">
        <v>20</v>
      </c>
      <c r="H126" s="3" t="s">
        <v>27</v>
      </c>
      <c r="I126" s="3" t="s">
        <v>21</v>
      </c>
    </row>
    <row r="127" spans="1:9" s="3" customFormat="1" x14ac:dyDescent="0.3">
      <c r="A127" s="3" t="s">
        <v>90</v>
      </c>
      <c r="B127" s="3" t="s">
        <v>91</v>
      </c>
      <c r="C127" s="3" t="s">
        <v>18</v>
      </c>
      <c r="D127" s="3" t="s">
        <v>156</v>
      </c>
      <c r="E127" s="6">
        <v>0.38263888888888886</v>
      </c>
      <c r="F127" s="6">
        <v>0.76597222222222228</v>
      </c>
      <c r="G127" s="3" t="s">
        <v>13</v>
      </c>
      <c r="H127" s="3" t="s">
        <v>14</v>
      </c>
      <c r="I127" s="3" t="s">
        <v>15</v>
      </c>
    </row>
    <row r="128" spans="1:9" s="3" customFormat="1" x14ac:dyDescent="0.3">
      <c r="A128" s="3" t="s">
        <v>216</v>
      </c>
      <c r="B128" s="3" t="s">
        <v>217</v>
      </c>
      <c r="C128" s="3" t="s">
        <v>18</v>
      </c>
      <c r="D128" s="3" t="s">
        <v>159</v>
      </c>
      <c r="E128" s="6">
        <v>0.33819444444444446</v>
      </c>
      <c r="F128" s="6">
        <v>0.70416666666666672</v>
      </c>
      <c r="G128" s="3" t="s">
        <v>26</v>
      </c>
      <c r="H128" s="3" t="s">
        <v>27</v>
      </c>
      <c r="I128" s="3" t="s">
        <v>15</v>
      </c>
    </row>
    <row r="129" spans="1:9" s="3" customFormat="1" x14ac:dyDescent="0.3">
      <c r="A129" s="3" t="s">
        <v>194</v>
      </c>
      <c r="B129" s="3" t="s">
        <v>195</v>
      </c>
      <c r="C129" s="3" t="s">
        <v>239</v>
      </c>
      <c r="D129" s="3" t="s">
        <v>240</v>
      </c>
      <c r="E129" s="6"/>
      <c r="F129" s="6"/>
      <c r="G129" s="3" t="s">
        <v>44</v>
      </c>
      <c r="H129" s="3" t="s">
        <v>27</v>
      </c>
      <c r="I129" s="3" t="s">
        <v>15</v>
      </c>
    </row>
    <row r="130" spans="1:9" s="3" customFormat="1" x14ac:dyDescent="0.3">
      <c r="A130" s="3" t="s">
        <v>216</v>
      </c>
      <c r="B130" s="3" t="s">
        <v>217</v>
      </c>
      <c r="C130" s="3" t="s">
        <v>24</v>
      </c>
      <c r="D130" s="3" t="s">
        <v>148</v>
      </c>
      <c r="E130" s="6">
        <v>0.49861111111111112</v>
      </c>
      <c r="F130" s="6">
        <v>0.77430555555555558</v>
      </c>
      <c r="G130" s="3" t="s">
        <v>13</v>
      </c>
      <c r="H130" s="3" t="s">
        <v>14</v>
      </c>
      <c r="I130" s="3" t="s">
        <v>15</v>
      </c>
    </row>
    <row r="131" spans="1:9" s="3" customFormat="1" x14ac:dyDescent="0.3">
      <c r="A131" s="3" t="s">
        <v>99</v>
      </c>
      <c r="B131" s="3" t="s">
        <v>100</v>
      </c>
      <c r="C131" s="3" t="s">
        <v>24</v>
      </c>
      <c r="D131" s="3" t="s">
        <v>106</v>
      </c>
      <c r="E131" s="6"/>
      <c r="F131" s="6"/>
      <c r="G131" s="3" t="s">
        <v>44</v>
      </c>
      <c r="H131" s="3" t="s">
        <v>14</v>
      </c>
      <c r="I131" s="3" t="s">
        <v>21</v>
      </c>
    </row>
    <row r="132" spans="1:9" s="3" customFormat="1" x14ac:dyDescent="0.3">
      <c r="A132" s="3" t="s">
        <v>84</v>
      </c>
      <c r="B132" s="3" t="s">
        <v>85</v>
      </c>
      <c r="C132" s="3" t="s">
        <v>64</v>
      </c>
      <c r="D132" s="3" t="s">
        <v>114</v>
      </c>
      <c r="E132" s="6"/>
      <c r="F132" s="6"/>
      <c r="G132" s="3" t="s">
        <v>125</v>
      </c>
      <c r="H132" s="3" t="s">
        <v>27</v>
      </c>
      <c r="I132" s="3" t="s">
        <v>15</v>
      </c>
    </row>
    <row r="133" spans="1:9" s="3" customFormat="1" x14ac:dyDescent="0.3">
      <c r="A133" s="3" t="s">
        <v>134</v>
      </c>
      <c r="B133" s="3" t="s">
        <v>135</v>
      </c>
      <c r="C133" s="3" t="s">
        <v>64</v>
      </c>
      <c r="D133" s="3" t="s">
        <v>241</v>
      </c>
      <c r="E133" s="6">
        <v>0.39444444444444443</v>
      </c>
      <c r="F133" s="6">
        <v>0.75</v>
      </c>
      <c r="G133" s="3" t="s">
        <v>20</v>
      </c>
      <c r="H133" s="3" t="s">
        <v>14</v>
      </c>
      <c r="I133" s="3" t="s">
        <v>15</v>
      </c>
    </row>
    <row r="134" spans="1:9" s="3" customFormat="1" x14ac:dyDescent="0.3">
      <c r="A134" s="3" t="s">
        <v>34</v>
      </c>
      <c r="B134" s="3" t="s">
        <v>35</v>
      </c>
      <c r="C134" s="3" t="s">
        <v>24</v>
      </c>
      <c r="D134" s="3" t="s">
        <v>242</v>
      </c>
      <c r="E134" s="6"/>
      <c r="F134" s="6"/>
      <c r="G134" s="3" t="s">
        <v>44</v>
      </c>
      <c r="H134" s="3" t="s">
        <v>27</v>
      </c>
      <c r="I134" s="3" t="s">
        <v>15</v>
      </c>
    </row>
    <row r="135" spans="1:9" s="3" customFormat="1" x14ac:dyDescent="0.3">
      <c r="A135" s="3" t="s">
        <v>48</v>
      </c>
      <c r="B135" s="3" t="s">
        <v>49</v>
      </c>
      <c r="C135" s="3" t="s">
        <v>42</v>
      </c>
      <c r="D135" s="3" t="s">
        <v>229</v>
      </c>
      <c r="E135" s="6">
        <v>0.48055555555555557</v>
      </c>
      <c r="F135" s="6">
        <v>0.68680555555555556</v>
      </c>
      <c r="G135" s="3" t="s">
        <v>26</v>
      </c>
      <c r="H135" s="3" t="s">
        <v>27</v>
      </c>
      <c r="I135" s="3" t="s">
        <v>15</v>
      </c>
    </row>
    <row r="136" spans="1:9" s="3" customFormat="1" x14ac:dyDescent="0.3">
      <c r="A136" s="3" t="s">
        <v>75</v>
      </c>
      <c r="B136" s="3" t="s">
        <v>76</v>
      </c>
      <c r="C136" s="3" t="s">
        <v>60</v>
      </c>
      <c r="D136" s="3" t="s">
        <v>50</v>
      </c>
      <c r="E136" s="6">
        <v>0.42708333333333331</v>
      </c>
      <c r="F136" s="6">
        <v>0.68888888888888888</v>
      </c>
      <c r="G136" s="3" t="s">
        <v>26</v>
      </c>
      <c r="H136" s="3" t="s">
        <v>27</v>
      </c>
      <c r="I136" s="3" t="s">
        <v>21</v>
      </c>
    </row>
    <row r="137" spans="1:9" s="3" customFormat="1" x14ac:dyDescent="0.3">
      <c r="A137" s="3" t="s">
        <v>31</v>
      </c>
      <c r="B137" s="3" t="s">
        <v>32</v>
      </c>
      <c r="C137" s="3" t="s">
        <v>64</v>
      </c>
      <c r="D137" s="3" t="s">
        <v>243</v>
      </c>
      <c r="E137" s="6">
        <v>0.35972222222222222</v>
      </c>
      <c r="F137" s="6">
        <v>0.7055555555555556</v>
      </c>
      <c r="G137" s="3" t="s">
        <v>20</v>
      </c>
      <c r="H137" s="3" t="s">
        <v>14</v>
      </c>
      <c r="I137" s="3" t="s">
        <v>15</v>
      </c>
    </row>
    <row r="138" spans="1:9" s="3" customFormat="1" x14ac:dyDescent="0.3">
      <c r="A138" s="3" t="s">
        <v>66</v>
      </c>
      <c r="B138" s="3" t="s">
        <v>67</v>
      </c>
      <c r="C138" s="3" t="s">
        <v>24</v>
      </c>
      <c r="D138" s="3" t="s">
        <v>244</v>
      </c>
      <c r="E138" s="6"/>
      <c r="F138" s="6"/>
      <c r="G138" s="3" t="s">
        <v>44</v>
      </c>
      <c r="H138" s="3" t="s">
        <v>27</v>
      </c>
      <c r="I138" s="3" t="s">
        <v>15</v>
      </c>
    </row>
    <row r="139" spans="1:9" s="3" customFormat="1" x14ac:dyDescent="0.3">
      <c r="A139" s="3" t="s">
        <v>194</v>
      </c>
      <c r="B139" s="3" t="s">
        <v>195</v>
      </c>
      <c r="C139" s="3" t="s">
        <v>64</v>
      </c>
      <c r="D139" s="3" t="s">
        <v>106</v>
      </c>
      <c r="E139" s="6"/>
      <c r="F139" s="6"/>
      <c r="G139" s="3" t="s">
        <v>44</v>
      </c>
      <c r="H139" s="3" t="s">
        <v>14</v>
      </c>
      <c r="I139" s="3" t="s">
        <v>21</v>
      </c>
    </row>
    <row r="140" spans="1:9" s="3" customFormat="1" x14ac:dyDescent="0.3">
      <c r="A140" s="3" t="s">
        <v>115</v>
      </c>
      <c r="B140" s="3" t="s">
        <v>116</v>
      </c>
      <c r="C140" s="3" t="s">
        <v>18</v>
      </c>
      <c r="D140" s="3" t="s">
        <v>232</v>
      </c>
      <c r="E140" s="6">
        <v>0.45347222222222222</v>
      </c>
      <c r="F140" s="6">
        <v>0.73888888888888893</v>
      </c>
      <c r="G140" s="3" t="s">
        <v>13</v>
      </c>
      <c r="H140" s="3" t="s">
        <v>14</v>
      </c>
      <c r="I140" s="3" t="s">
        <v>21</v>
      </c>
    </row>
    <row r="141" spans="1:9" s="3" customFormat="1" x14ac:dyDescent="0.3">
      <c r="A141" s="3" t="s">
        <v>99</v>
      </c>
      <c r="B141" s="3" t="s">
        <v>100</v>
      </c>
      <c r="C141" s="3" t="s">
        <v>18</v>
      </c>
      <c r="D141" s="3" t="s">
        <v>173</v>
      </c>
      <c r="E141" s="6">
        <v>0.38472222222222224</v>
      </c>
      <c r="F141" s="6">
        <v>0.76944444444444449</v>
      </c>
      <c r="G141" s="3" t="s">
        <v>13</v>
      </c>
      <c r="H141" s="3" t="s">
        <v>27</v>
      </c>
      <c r="I141" s="3" t="s">
        <v>21</v>
      </c>
    </row>
    <row r="142" spans="1:9" s="3" customFormat="1" x14ac:dyDescent="0.3">
      <c r="A142" s="3" t="s">
        <v>171</v>
      </c>
      <c r="B142" s="3" t="s">
        <v>172</v>
      </c>
      <c r="C142" s="3" t="s">
        <v>18</v>
      </c>
      <c r="D142" s="3" t="s">
        <v>12</v>
      </c>
      <c r="E142" s="6"/>
      <c r="F142" s="6"/>
      <c r="G142" s="3" t="s">
        <v>44</v>
      </c>
      <c r="H142" s="3" t="s">
        <v>27</v>
      </c>
      <c r="I142" s="3" t="s">
        <v>21</v>
      </c>
    </row>
    <row r="143" spans="1:9" s="3" customFormat="1" x14ac:dyDescent="0.3">
      <c r="A143" s="3" t="s">
        <v>194</v>
      </c>
      <c r="B143" s="3" t="s">
        <v>195</v>
      </c>
      <c r="C143" s="3" t="s">
        <v>64</v>
      </c>
      <c r="D143" s="3" t="s">
        <v>245</v>
      </c>
      <c r="E143" s="6">
        <v>0.39027777777777778</v>
      </c>
      <c r="F143" s="6">
        <v>0.85347222222222219</v>
      </c>
      <c r="G143" s="3" t="s">
        <v>20</v>
      </c>
      <c r="H143" s="3" t="s">
        <v>14</v>
      </c>
      <c r="I143" s="3" t="s">
        <v>21</v>
      </c>
    </row>
    <row r="144" spans="1:9" s="3" customFormat="1" x14ac:dyDescent="0.3">
      <c r="A144" s="3" t="s">
        <v>246</v>
      </c>
      <c r="B144" s="3" t="s">
        <v>247</v>
      </c>
      <c r="C144" s="3" t="s">
        <v>42</v>
      </c>
      <c r="D144" s="3" t="s">
        <v>248</v>
      </c>
      <c r="E144" s="6">
        <v>0.37569444444444444</v>
      </c>
      <c r="F144" s="6">
        <v>0.84722222222222221</v>
      </c>
      <c r="G144" s="3" t="s">
        <v>13</v>
      </c>
      <c r="H144" s="3" t="s">
        <v>27</v>
      </c>
      <c r="I144" s="3" t="s">
        <v>15</v>
      </c>
    </row>
    <row r="145" spans="1:9" s="3" customFormat="1" x14ac:dyDescent="0.3">
      <c r="A145" s="3" t="s">
        <v>52</v>
      </c>
      <c r="B145" s="3" t="s">
        <v>53</v>
      </c>
      <c r="C145" s="3" t="s">
        <v>24</v>
      </c>
      <c r="D145" s="3" t="s">
        <v>196</v>
      </c>
      <c r="E145" s="6">
        <v>0.47013888888888888</v>
      </c>
      <c r="F145" s="6">
        <v>0.78472222222222221</v>
      </c>
      <c r="G145" s="3" t="s">
        <v>20</v>
      </c>
      <c r="H145" s="3" t="s">
        <v>14</v>
      </c>
      <c r="I145" s="3" t="s">
        <v>15</v>
      </c>
    </row>
    <row r="146" spans="1:9" s="3" customFormat="1" x14ac:dyDescent="0.3">
      <c r="A146" s="3" t="s">
        <v>16</v>
      </c>
      <c r="B146" s="3" t="s">
        <v>17</v>
      </c>
      <c r="C146" s="3" t="s">
        <v>18</v>
      </c>
      <c r="D146" s="3" t="s">
        <v>249</v>
      </c>
      <c r="E146" s="6">
        <v>0.47986111111111113</v>
      </c>
      <c r="F146" s="6">
        <v>0.6743055555555556</v>
      </c>
      <c r="G146" s="3" t="s">
        <v>26</v>
      </c>
      <c r="H146" s="3" t="s">
        <v>14</v>
      </c>
      <c r="I146" s="3" t="s">
        <v>21</v>
      </c>
    </row>
    <row r="147" spans="1:9" s="3" customFormat="1" x14ac:dyDescent="0.3">
      <c r="A147" s="3" t="s">
        <v>109</v>
      </c>
      <c r="B147" s="3" t="s">
        <v>110</v>
      </c>
      <c r="C147" s="3" t="s">
        <v>60</v>
      </c>
      <c r="D147" s="3" t="s">
        <v>227</v>
      </c>
      <c r="E147" s="6">
        <v>0.41736111111111113</v>
      </c>
      <c r="F147" s="6">
        <v>0.69097222222222221</v>
      </c>
      <c r="G147" s="3" t="s">
        <v>20</v>
      </c>
      <c r="H147" s="3" t="s">
        <v>27</v>
      </c>
      <c r="I147" s="3" t="s">
        <v>21</v>
      </c>
    </row>
    <row r="148" spans="1:9" s="3" customFormat="1" x14ac:dyDescent="0.3">
      <c r="A148" s="3" t="s">
        <v>157</v>
      </c>
      <c r="B148" s="3" t="s">
        <v>158</v>
      </c>
      <c r="C148" s="3" t="s">
        <v>18</v>
      </c>
      <c r="D148" s="3" t="s">
        <v>212</v>
      </c>
      <c r="E148" s="6">
        <v>0.42569444444444443</v>
      </c>
      <c r="F148" s="6">
        <v>0.8256944444444444</v>
      </c>
      <c r="G148" s="3" t="s">
        <v>20</v>
      </c>
      <c r="H148" s="3" t="s">
        <v>27</v>
      </c>
      <c r="I148" s="3" t="s">
        <v>15</v>
      </c>
    </row>
    <row r="149" spans="1:9" s="3" customFormat="1" x14ac:dyDescent="0.3">
      <c r="A149" s="3" t="s">
        <v>138</v>
      </c>
      <c r="B149" s="3" t="s">
        <v>139</v>
      </c>
      <c r="C149" s="3" t="s">
        <v>24</v>
      </c>
      <c r="D149" s="3" t="s">
        <v>215</v>
      </c>
      <c r="E149" s="6">
        <v>0.45347222222222222</v>
      </c>
      <c r="F149" s="6">
        <v>0.77083333333333337</v>
      </c>
      <c r="G149" s="3" t="s">
        <v>26</v>
      </c>
      <c r="H149" s="3" t="s">
        <v>14</v>
      </c>
      <c r="I149" s="3" t="s">
        <v>21</v>
      </c>
    </row>
    <row r="150" spans="1:9" s="3" customFormat="1" x14ac:dyDescent="0.3">
      <c r="A150" s="3" t="s">
        <v>200</v>
      </c>
      <c r="B150" s="3" t="s">
        <v>201</v>
      </c>
      <c r="C150" s="3" t="s">
        <v>18</v>
      </c>
      <c r="D150" s="3" t="s">
        <v>54</v>
      </c>
      <c r="E150" s="6">
        <v>0.42222222222222222</v>
      </c>
      <c r="F150" s="6">
        <v>0.81527777777777777</v>
      </c>
      <c r="G150" s="3" t="s">
        <v>13</v>
      </c>
      <c r="H150" s="3" t="s">
        <v>27</v>
      </c>
      <c r="I150" s="3" t="s">
        <v>15</v>
      </c>
    </row>
    <row r="151" spans="1:9" s="3" customFormat="1" x14ac:dyDescent="0.3">
      <c r="A151" s="3" t="s">
        <v>250</v>
      </c>
      <c r="B151" s="3" t="s">
        <v>251</v>
      </c>
      <c r="C151" s="3" t="s">
        <v>60</v>
      </c>
      <c r="D151" s="3" t="s">
        <v>252</v>
      </c>
      <c r="E151" s="6"/>
      <c r="F151" s="6"/>
      <c r="G151" s="3" t="s">
        <v>44</v>
      </c>
      <c r="H151" s="3" t="s">
        <v>14</v>
      </c>
      <c r="I151" s="3" t="s">
        <v>21</v>
      </c>
    </row>
    <row r="152" spans="1:9" s="3" customFormat="1" x14ac:dyDescent="0.3">
      <c r="A152" s="3" t="s">
        <v>250</v>
      </c>
      <c r="B152" s="3" t="s">
        <v>251</v>
      </c>
      <c r="C152" s="3" t="s">
        <v>60</v>
      </c>
      <c r="D152" s="3" t="s">
        <v>104</v>
      </c>
      <c r="E152" s="6">
        <v>0.43958333333333333</v>
      </c>
      <c r="F152" s="6">
        <v>0.75486111111111109</v>
      </c>
      <c r="G152" s="3" t="s">
        <v>20</v>
      </c>
      <c r="H152" s="3" t="s">
        <v>14</v>
      </c>
      <c r="I152" s="3" t="s">
        <v>15</v>
      </c>
    </row>
    <row r="153" spans="1:9" s="3" customFormat="1" x14ac:dyDescent="0.3">
      <c r="A153" s="3" t="s">
        <v>200</v>
      </c>
      <c r="B153" s="3" t="s">
        <v>201</v>
      </c>
      <c r="C153" s="3" t="s">
        <v>42</v>
      </c>
      <c r="D153" s="3" t="s">
        <v>202</v>
      </c>
      <c r="E153" s="6">
        <v>0.44236111111111109</v>
      </c>
      <c r="F153" s="6">
        <v>0.83125000000000004</v>
      </c>
      <c r="G153" s="3" t="s">
        <v>26</v>
      </c>
      <c r="H153" s="3" t="s">
        <v>14</v>
      </c>
      <c r="I153" s="3" t="s">
        <v>15</v>
      </c>
    </row>
    <row r="154" spans="1:9" s="3" customFormat="1" x14ac:dyDescent="0.3">
      <c r="A154" s="3" t="s">
        <v>250</v>
      </c>
      <c r="B154" s="3" t="s">
        <v>251</v>
      </c>
      <c r="C154" s="3" t="s">
        <v>42</v>
      </c>
      <c r="D154" s="3" t="s">
        <v>238</v>
      </c>
      <c r="E154" s="6">
        <v>0.43055555555555558</v>
      </c>
      <c r="F154" s="6">
        <v>0.74027777777777781</v>
      </c>
      <c r="G154" s="3" t="s">
        <v>26</v>
      </c>
      <c r="H154" s="3" t="s">
        <v>27</v>
      </c>
      <c r="I154" s="3" t="s">
        <v>21</v>
      </c>
    </row>
    <row r="155" spans="1:9" s="3" customFormat="1" x14ac:dyDescent="0.3">
      <c r="A155" s="3" t="s">
        <v>146</v>
      </c>
      <c r="B155" s="3" t="s">
        <v>147</v>
      </c>
      <c r="C155" s="3" t="s">
        <v>18</v>
      </c>
      <c r="D155" s="3" t="s">
        <v>196</v>
      </c>
      <c r="E155" s="6">
        <v>0.4826388888888889</v>
      </c>
      <c r="F155" s="6">
        <v>0.84722222222222221</v>
      </c>
      <c r="G155" s="3" t="s">
        <v>26</v>
      </c>
      <c r="H155" s="3" t="s">
        <v>27</v>
      </c>
      <c r="I155" s="3" t="s">
        <v>21</v>
      </c>
    </row>
    <row r="156" spans="1:9" s="3" customFormat="1" x14ac:dyDescent="0.3">
      <c r="A156" s="3" t="s">
        <v>9</v>
      </c>
      <c r="B156" s="3" t="s">
        <v>10</v>
      </c>
      <c r="C156" s="3" t="s">
        <v>24</v>
      </c>
      <c r="D156" s="3" t="s">
        <v>92</v>
      </c>
      <c r="E156" s="6">
        <v>0.47222222222222221</v>
      </c>
      <c r="F156" s="6">
        <v>0.85277777777777775</v>
      </c>
      <c r="G156" s="3" t="s">
        <v>13</v>
      </c>
      <c r="H156" s="3" t="s">
        <v>14</v>
      </c>
      <c r="I156" s="3" t="s">
        <v>15</v>
      </c>
    </row>
    <row r="157" spans="1:9" s="3" customFormat="1" x14ac:dyDescent="0.3">
      <c r="A157" s="3" t="s">
        <v>154</v>
      </c>
      <c r="B157" s="3" t="s">
        <v>155</v>
      </c>
      <c r="C157" s="3" t="s">
        <v>127</v>
      </c>
      <c r="D157" s="3" t="s">
        <v>253</v>
      </c>
      <c r="E157" s="6">
        <v>0.47638888888888886</v>
      </c>
      <c r="F157" s="6">
        <v>0.82916666666666672</v>
      </c>
      <c r="G157" s="3" t="s">
        <v>13</v>
      </c>
      <c r="H157" s="3" t="s">
        <v>14</v>
      </c>
      <c r="I157" s="3" t="s">
        <v>15</v>
      </c>
    </row>
    <row r="158" spans="1:9" s="3" customFormat="1" x14ac:dyDescent="0.3">
      <c r="A158" s="3" t="s">
        <v>134</v>
      </c>
      <c r="B158" s="3" t="s">
        <v>135</v>
      </c>
      <c r="C158" s="3" t="s">
        <v>24</v>
      </c>
      <c r="D158" s="3" t="s">
        <v>254</v>
      </c>
      <c r="E158" s="6">
        <v>0.47430555555555554</v>
      </c>
      <c r="F158" s="6">
        <v>0.85972222222222228</v>
      </c>
      <c r="G158" s="3" t="s">
        <v>20</v>
      </c>
      <c r="H158" s="3" t="s">
        <v>27</v>
      </c>
      <c r="I158" s="3" t="s">
        <v>15</v>
      </c>
    </row>
    <row r="159" spans="1:9" s="3" customFormat="1" x14ac:dyDescent="0.3">
      <c r="A159" s="3" t="s">
        <v>146</v>
      </c>
      <c r="B159" s="3" t="s">
        <v>147</v>
      </c>
      <c r="C159" s="3" t="s">
        <v>60</v>
      </c>
      <c r="D159" s="3" t="s">
        <v>255</v>
      </c>
      <c r="E159" s="6">
        <v>0.38680555555555557</v>
      </c>
      <c r="F159" s="6">
        <v>0.81319444444444444</v>
      </c>
      <c r="G159" s="3" t="s">
        <v>13</v>
      </c>
      <c r="H159" s="3" t="s">
        <v>14</v>
      </c>
      <c r="I159" s="3" t="s">
        <v>15</v>
      </c>
    </row>
    <row r="160" spans="1:9" s="3" customFormat="1" x14ac:dyDescent="0.3">
      <c r="A160" s="3" t="s">
        <v>22</v>
      </c>
      <c r="B160" s="3" t="s">
        <v>23</v>
      </c>
      <c r="C160" s="3" t="s">
        <v>42</v>
      </c>
      <c r="D160" s="3" t="s">
        <v>71</v>
      </c>
      <c r="E160" s="6">
        <v>0.39097222222222222</v>
      </c>
      <c r="F160" s="6">
        <v>0.68958333333333333</v>
      </c>
      <c r="G160" s="3" t="s">
        <v>20</v>
      </c>
      <c r="H160" s="3" t="s">
        <v>27</v>
      </c>
      <c r="I160" s="3" t="s">
        <v>21</v>
      </c>
    </row>
    <row r="161" spans="1:9" s="3" customFormat="1" x14ac:dyDescent="0.3">
      <c r="A161" s="3" t="s">
        <v>90</v>
      </c>
      <c r="B161" s="3" t="s">
        <v>91</v>
      </c>
      <c r="C161" s="3" t="s">
        <v>24</v>
      </c>
      <c r="D161" s="3" t="s">
        <v>159</v>
      </c>
      <c r="E161" s="6">
        <v>0.36736111111111114</v>
      </c>
      <c r="F161" s="6">
        <v>0.73333333333333328</v>
      </c>
      <c r="G161" s="3" t="s">
        <v>26</v>
      </c>
      <c r="H161" s="3" t="s">
        <v>14</v>
      </c>
      <c r="I161" s="3" t="s">
        <v>15</v>
      </c>
    </row>
    <row r="162" spans="1:9" s="3" customFormat="1" x14ac:dyDescent="0.3">
      <c r="A162" s="3" t="s">
        <v>246</v>
      </c>
      <c r="B162" s="3" t="s">
        <v>247</v>
      </c>
      <c r="C162" s="3" t="s">
        <v>42</v>
      </c>
      <c r="D162" s="3" t="s">
        <v>256</v>
      </c>
      <c r="E162" s="6">
        <v>0.48749999999999999</v>
      </c>
      <c r="F162" s="6">
        <v>0.78888888888888886</v>
      </c>
      <c r="G162" s="3" t="s">
        <v>20</v>
      </c>
      <c r="H162" s="3" t="s">
        <v>27</v>
      </c>
      <c r="I162" s="3" t="s">
        <v>15</v>
      </c>
    </row>
    <row r="163" spans="1:9" s="3" customFormat="1" x14ac:dyDescent="0.3">
      <c r="A163" s="3" t="s">
        <v>99</v>
      </c>
      <c r="B163" s="3" t="s">
        <v>100</v>
      </c>
      <c r="C163" s="3" t="s">
        <v>24</v>
      </c>
      <c r="D163" s="3" t="s">
        <v>161</v>
      </c>
      <c r="E163" s="6">
        <v>0.36041666666666666</v>
      </c>
      <c r="F163" s="6">
        <v>0.77638888888888891</v>
      </c>
      <c r="G163" s="3" t="s">
        <v>26</v>
      </c>
      <c r="H163" s="3" t="s">
        <v>27</v>
      </c>
      <c r="I163" s="3" t="s">
        <v>15</v>
      </c>
    </row>
    <row r="164" spans="1:9" s="3" customFormat="1" x14ac:dyDescent="0.3">
      <c r="A164" s="3" t="s">
        <v>69</v>
      </c>
      <c r="B164" s="3" t="s">
        <v>70</v>
      </c>
      <c r="C164" s="3" t="s">
        <v>42</v>
      </c>
      <c r="D164" s="3" t="s">
        <v>68</v>
      </c>
      <c r="E164" s="6">
        <v>0.40208333333333335</v>
      </c>
      <c r="F164" s="6">
        <v>0.79027777777777775</v>
      </c>
      <c r="G164" s="3" t="s">
        <v>26</v>
      </c>
      <c r="H164" s="3" t="s">
        <v>27</v>
      </c>
      <c r="I164" s="3" t="s">
        <v>15</v>
      </c>
    </row>
    <row r="165" spans="1:9" s="3" customFormat="1" x14ac:dyDescent="0.3">
      <c r="A165" s="3" t="s">
        <v>146</v>
      </c>
      <c r="B165" s="3" t="s">
        <v>147</v>
      </c>
      <c r="C165" s="3" t="s">
        <v>60</v>
      </c>
      <c r="D165" s="3" t="s">
        <v>257</v>
      </c>
      <c r="E165" s="6">
        <v>0.43680555555555556</v>
      </c>
      <c r="F165" s="6">
        <v>0.74930555555555556</v>
      </c>
      <c r="G165" s="3" t="s">
        <v>26</v>
      </c>
      <c r="H165" s="3" t="s">
        <v>27</v>
      </c>
      <c r="I165" s="3" t="s">
        <v>15</v>
      </c>
    </row>
    <row r="166" spans="1:9" s="3" customFormat="1" x14ac:dyDescent="0.3">
      <c r="A166" s="3" t="s">
        <v>45</v>
      </c>
      <c r="B166" s="3" t="s">
        <v>46</v>
      </c>
      <c r="C166" s="3" t="s">
        <v>42</v>
      </c>
      <c r="D166" s="3" t="s">
        <v>258</v>
      </c>
      <c r="E166" s="6"/>
      <c r="F166" s="6"/>
      <c r="G166" s="3" t="s">
        <v>44</v>
      </c>
      <c r="H166" s="3" t="s">
        <v>27</v>
      </c>
      <c r="I166" s="3" t="s">
        <v>15</v>
      </c>
    </row>
    <row r="167" spans="1:9" s="3" customFormat="1" x14ac:dyDescent="0.3">
      <c r="A167" s="3" t="s">
        <v>16</v>
      </c>
      <c r="B167" s="3" t="s">
        <v>17</v>
      </c>
      <c r="C167" s="3" t="s">
        <v>18</v>
      </c>
      <c r="D167" s="3" t="s">
        <v>118</v>
      </c>
      <c r="E167" s="6">
        <v>0.48055555555555557</v>
      </c>
      <c r="F167" s="6">
        <v>0.70833333333333337</v>
      </c>
      <c r="G167" s="3" t="s">
        <v>20</v>
      </c>
      <c r="H167" s="3" t="s">
        <v>14</v>
      </c>
      <c r="I167" s="3" t="s">
        <v>21</v>
      </c>
    </row>
    <row r="168" spans="1:9" s="3" customFormat="1" x14ac:dyDescent="0.3">
      <c r="A168" s="3" t="s">
        <v>200</v>
      </c>
      <c r="B168" s="3" t="s">
        <v>201</v>
      </c>
      <c r="C168" s="3" t="s">
        <v>64</v>
      </c>
      <c r="D168" s="3" t="s">
        <v>259</v>
      </c>
      <c r="E168" s="6"/>
      <c r="F168" s="6"/>
      <c r="G168" s="3" t="s">
        <v>44</v>
      </c>
      <c r="H168" s="3" t="s">
        <v>14</v>
      </c>
      <c r="I168" s="3" t="s">
        <v>21</v>
      </c>
    </row>
    <row r="169" spans="1:9" s="3" customFormat="1" x14ac:dyDescent="0.3">
      <c r="A169" s="3" t="s">
        <v>175</v>
      </c>
      <c r="B169" s="3" t="s">
        <v>176</v>
      </c>
      <c r="C169" s="3" t="s">
        <v>64</v>
      </c>
      <c r="D169" s="3" t="s">
        <v>260</v>
      </c>
      <c r="E169" s="6">
        <v>0.44722222222222224</v>
      </c>
      <c r="F169" s="6">
        <v>0.84791666666666665</v>
      </c>
      <c r="G169" s="3" t="s">
        <v>26</v>
      </c>
      <c r="H169" s="3" t="s">
        <v>27</v>
      </c>
      <c r="I169" s="3" t="s">
        <v>21</v>
      </c>
    </row>
    <row r="170" spans="1:9" s="3" customFormat="1" x14ac:dyDescent="0.3">
      <c r="A170" s="3" t="s">
        <v>191</v>
      </c>
      <c r="B170" s="3" t="s">
        <v>192</v>
      </c>
      <c r="C170" s="3" t="s">
        <v>64</v>
      </c>
      <c r="D170" s="3" t="s">
        <v>261</v>
      </c>
      <c r="E170" s="6"/>
      <c r="F170" s="6"/>
      <c r="G170" s="3" t="s">
        <v>44</v>
      </c>
      <c r="H170" s="3" t="s">
        <v>14</v>
      </c>
      <c r="I170" s="3" t="s">
        <v>21</v>
      </c>
    </row>
    <row r="171" spans="1:9" s="3" customFormat="1" x14ac:dyDescent="0.3">
      <c r="A171" s="3" t="s">
        <v>150</v>
      </c>
      <c r="B171" s="3" t="s">
        <v>151</v>
      </c>
      <c r="C171" s="3" t="s">
        <v>64</v>
      </c>
      <c r="D171" s="3" t="s">
        <v>262</v>
      </c>
      <c r="E171" s="6">
        <v>0.42430555555555555</v>
      </c>
      <c r="F171" s="6">
        <v>0.86736111111111114</v>
      </c>
      <c r="G171" s="3" t="s">
        <v>20</v>
      </c>
      <c r="H171" s="3" t="s">
        <v>27</v>
      </c>
      <c r="I171" s="3" t="s">
        <v>15</v>
      </c>
    </row>
    <row r="172" spans="1:9" s="3" customFormat="1" x14ac:dyDescent="0.3">
      <c r="A172" s="3" t="s">
        <v>102</v>
      </c>
      <c r="B172" s="3" t="s">
        <v>103</v>
      </c>
      <c r="C172" s="3" t="s">
        <v>42</v>
      </c>
      <c r="D172" s="3" t="s">
        <v>258</v>
      </c>
      <c r="E172" s="6">
        <v>0.46250000000000002</v>
      </c>
      <c r="F172" s="6">
        <v>0.76249999999999996</v>
      </c>
      <c r="G172" s="3" t="s">
        <v>13</v>
      </c>
      <c r="H172" s="3" t="s">
        <v>14</v>
      </c>
      <c r="I172" s="3" t="s">
        <v>15</v>
      </c>
    </row>
    <row r="173" spans="1:9" s="3" customFormat="1" x14ac:dyDescent="0.3">
      <c r="A173" s="3" t="s">
        <v>157</v>
      </c>
      <c r="B173" s="3" t="s">
        <v>158</v>
      </c>
      <c r="C173" s="3" t="s">
        <v>60</v>
      </c>
      <c r="D173" s="3" t="s">
        <v>263</v>
      </c>
      <c r="E173" s="6"/>
      <c r="F173" s="6"/>
      <c r="G173" s="3" t="s">
        <v>44</v>
      </c>
      <c r="H173" s="3" t="s">
        <v>14</v>
      </c>
      <c r="I173" s="3" t="s">
        <v>15</v>
      </c>
    </row>
    <row r="174" spans="1:9" s="3" customFormat="1" x14ac:dyDescent="0.3">
      <c r="A174" s="3" t="s">
        <v>102</v>
      </c>
      <c r="B174" s="3" t="s">
        <v>103</v>
      </c>
      <c r="C174" s="3" t="s">
        <v>18</v>
      </c>
      <c r="D174" s="3" t="s">
        <v>248</v>
      </c>
      <c r="E174" s="6">
        <v>0.48680555555555555</v>
      </c>
      <c r="F174" s="6">
        <v>0.76388888888888884</v>
      </c>
      <c r="G174" s="3" t="s">
        <v>26</v>
      </c>
      <c r="H174" s="3" t="s">
        <v>27</v>
      </c>
      <c r="I174" s="3" t="s">
        <v>21</v>
      </c>
    </row>
    <row r="175" spans="1:9" s="3" customFormat="1" x14ac:dyDescent="0.3">
      <c r="A175" s="3" t="s">
        <v>96</v>
      </c>
      <c r="B175" s="3" t="s">
        <v>97</v>
      </c>
      <c r="C175" s="3" t="s">
        <v>42</v>
      </c>
      <c r="D175" s="3" t="s">
        <v>253</v>
      </c>
      <c r="E175" s="6">
        <v>0.45</v>
      </c>
      <c r="F175" s="6">
        <v>0.71527777777777779</v>
      </c>
      <c r="G175" s="3" t="s">
        <v>20</v>
      </c>
      <c r="H175" s="3" t="s">
        <v>27</v>
      </c>
      <c r="I175" s="3" t="s">
        <v>21</v>
      </c>
    </row>
    <row r="176" spans="1:9" s="3" customFormat="1" x14ac:dyDescent="0.3">
      <c r="A176" s="3" t="s">
        <v>55</v>
      </c>
      <c r="B176" s="3" t="s">
        <v>56</v>
      </c>
      <c r="C176" s="3" t="s">
        <v>24</v>
      </c>
      <c r="D176" s="3" t="s">
        <v>249</v>
      </c>
      <c r="E176" s="6">
        <v>0.48680555555555555</v>
      </c>
      <c r="F176" s="6">
        <v>0.75347222222222221</v>
      </c>
      <c r="G176" s="3" t="s">
        <v>13</v>
      </c>
      <c r="H176" s="3" t="s">
        <v>14</v>
      </c>
      <c r="I176" s="3" t="s">
        <v>21</v>
      </c>
    </row>
    <row r="177" spans="1:9" s="3" customFormat="1" x14ac:dyDescent="0.3">
      <c r="A177" s="3" t="s">
        <v>62</v>
      </c>
      <c r="B177" s="3" t="s">
        <v>63</v>
      </c>
      <c r="C177" s="3" t="s">
        <v>24</v>
      </c>
      <c r="D177" s="3" t="s">
        <v>25</v>
      </c>
      <c r="E177" s="6">
        <v>0.39652777777777776</v>
      </c>
      <c r="F177" s="6">
        <v>0.72083333333333333</v>
      </c>
      <c r="G177" s="3" t="s">
        <v>13</v>
      </c>
      <c r="H177" s="3" t="s">
        <v>27</v>
      </c>
      <c r="I177" s="3" t="s">
        <v>15</v>
      </c>
    </row>
    <row r="178" spans="1:9" s="3" customFormat="1" x14ac:dyDescent="0.3">
      <c r="A178" s="3" t="s">
        <v>66</v>
      </c>
      <c r="B178" s="3" t="s">
        <v>67</v>
      </c>
      <c r="C178" s="3" t="s">
        <v>42</v>
      </c>
      <c r="D178" s="3" t="s">
        <v>71</v>
      </c>
      <c r="E178" s="6">
        <v>0.47222222222222221</v>
      </c>
      <c r="F178" s="6">
        <v>0.70902777777777781</v>
      </c>
      <c r="G178" s="3" t="s">
        <v>26</v>
      </c>
      <c r="H178" s="3" t="s">
        <v>27</v>
      </c>
      <c r="I178" s="3" t="s">
        <v>15</v>
      </c>
    </row>
    <row r="179" spans="1:9" s="3" customFormat="1" x14ac:dyDescent="0.3">
      <c r="A179" s="3" t="s">
        <v>112</v>
      </c>
      <c r="B179" s="3" t="s">
        <v>113</v>
      </c>
      <c r="C179" s="3" t="s">
        <v>60</v>
      </c>
      <c r="D179" s="3" t="s">
        <v>264</v>
      </c>
      <c r="E179" s="6">
        <v>0.46666666666666667</v>
      </c>
      <c r="F179" s="6">
        <v>0.85277777777777775</v>
      </c>
      <c r="G179" s="3" t="s">
        <v>26</v>
      </c>
      <c r="H179" s="3" t="s">
        <v>27</v>
      </c>
      <c r="I179" s="3" t="s">
        <v>21</v>
      </c>
    </row>
    <row r="180" spans="1:9" s="3" customFormat="1" x14ac:dyDescent="0.3">
      <c r="A180" s="3" t="s">
        <v>194</v>
      </c>
      <c r="B180" s="3" t="s">
        <v>195</v>
      </c>
      <c r="C180" s="3" t="s">
        <v>18</v>
      </c>
      <c r="D180" s="3" t="s">
        <v>265</v>
      </c>
      <c r="E180" s="6">
        <v>0.47847222222222224</v>
      </c>
      <c r="F180" s="6">
        <v>0.8125</v>
      </c>
      <c r="G180" s="3" t="s">
        <v>20</v>
      </c>
      <c r="H180" s="3" t="s">
        <v>27</v>
      </c>
      <c r="I180" s="3" t="s">
        <v>15</v>
      </c>
    </row>
    <row r="181" spans="1:9" s="3" customFormat="1" x14ac:dyDescent="0.3">
      <c r="A181" s="3" t="s">
        <v>66</v>
      </c>
      <c r="B181" s="3" t="s">
        <v>67</v>
      </c>
      <c r="C181" s="3" t="s">
        <v>60</v>
      </c>
      <c r="D181" s="3" t="s">
        <v>266</v>
      </c>
      <c r="E181" s="6">
        <v>0.42430555555555555</v>
      </c>
      <c r="F181" s="6">
        <v>0.72291666666666665</v>
      </c>
      <c r="G181" s="3" t="s">
        <v>20</v>
      </c>
      <c r="H181" s="3" t="s">
        <v>27</v>
      </c>
      <c r="I181" s="3" t="s">
        <v>15</v>
      </c>
    </row>
    <row r="182" spans="1:9" s="3" customFormat="1" x14ac:dyDescent="0.3">
      <c r="A182" s="3" t="s">
        <v>250</v>
      </c>
      <c r="B182" s="3" t="s">
        <v>251</v>
      </c>
      <c r="C182" s="3" t="s">
        <v>64</v>
      </c>
      <c r="D182" s="3" t="s">
        <v>267</v>
      </c>
      <c r="E182" s="6">
        <v>0.44791666666666669</v>
      </c>
      <c r="F182" s="6">
        <v>0.73333333333333328</v>
      </c>
      <c r="G182" s="3" t="s">
        <v>13</v>
      </c>
      <c r="H182" s="3" t="s">
        <v>14</v>
      </c>
      <c r="I182" s="3" t="s">
        <v>21</v>
      </c>
    </row>
    <row r="183" spans="1:9" s="3" customFormat="1" x14ac:dyDescent="0.3">
      <c r="A183" s="3" t="s">
        <v>130</v>
      </c>
      <c r="B183" s="3" t="s">
        <v>131</v>
      </c>
      <c r="C183" s="3" t="s">
        <v>24</v>
      </c>
      <c r="D183" s="3" t="s">
        <v>163</v>
      </c>
      <c r="E183" s="6"/>
      <c r="F183" s="6"/>
      <c r="G183" s="3" t="s">
        <v>44</v>
      </c>
      <c r="H183" s="3" t="s">
        <v>27</v>
      </c>
      <c r="I183" s="3" t="s">
        <v>15</v>
      </c>
    </row>
    <row r="184" spans="1:9" s="3" customFormat="1" x14ac:dyDescent="0.3">
      <c r="A184" s="3" t="s">
        <v>157</v>
      </c>
      <c r="B184" s="3" t="s">
        <v>158</v>
      </c>
      <c r="C184" s="3" t="s">
        <v>64</v>
      </c>
      <c r="D184" s="3" t="s">
        <v>258</v>
      </c>
      <c r="E184" s="6">
        <v>0.44444444444444442</v>
      </c>
      <c r="F184" s="6">
        <v>0.74375000000000002</v>
      </c>
      <c r="G184" s="3" t="s">
        <v>26</v>
      </c>
      <c r="H184" s="3" t="s">
        <v>27</v>
      </c>
      <c r="I184" s="3" t="s">
        <v>21</v>
      </c>
    </row>
    <row r="185" spans="1:9" s="3" customFormat="1" x14ac:dyDescent="0.3">
      <c r="A185" s="3" t="s">
        <v>146</v>
      </c>
      <c r="B185" s="3" t="s">
        <v>147</v>
      </c>
      <c r="C185" s="3" t="s">
        <v>64</v>
      </c>
      <c r="D185" s="3" t="s">
        <v>268</v>
      </c>
      <c r="E185" s="6">
        <v>0.36944444444444446</v>
      </c>
      <c r="F185" s="6">
        <v>0.78055555555555556</v>
      </c>
      <c r="G185" s="3" t="s">
        <v>13</v>
      </c>
      <c r="H185" s="3" t="s">
        <v>27</v>
      </c>
      <c r="I185" s="3" t="s">
        <v>21</v>
      </c>
    </row>
    <row r="186" spans="1:9" s="3" customFormat="1" x14ac:dyDescent="0.3">
      <c r="A186" s="3" t="s">
        <v>269</v>
      </c>
      <c r="B186" s="3" t="s">
        <v>270</v>
      </c>
      <c r="C186" s="3" t="s">
        <v>42</v>
      </c>
      <c r="D186" s="3" t="s">
        <v>233</v>
      </c>
      <c r="E186" s="6"/>
      <c r="F186" s="6"/>
      <c r="G186" s="3" t="s">
        <v>44</v>
      </c>
      <c r="H186" s="3" t="s">
        <v>14</v>
      </c>
      <c r="I186" s="3" t="s">
        <v>15</v>
      </c>
    </row>
    <row r="187" spans="1:9" s="3" customFormat="1" x14ac:dyDescent="0.3">
      <c r="A187" s="3" t="s">
        <v>75</v>
      </c>
      <c r="B187" s="3" t="s">
        <v>76</v>
      </c>
      <c r="C187" s="3" t="s">
        <v>24</v>
      </c>
      <c r="D187" s="3" t="s">
        <v>271</v>
      </c>
      <c r="E187" s="6">
        <v>0.43541666666666667</v>
      </c>
      <c r="F187" s="6">
        <v>0.8041666666666667</v>
      </c>
      <c r="G187" s="3" t="s">
        <v>20</v>
      </c>
      <c r="H187" s="3" t="s">
        <v>14</v>
      </c>
      <c r="I187" s="3" t="s">
        <v>21</v>
      </c>
    </row>
    <row r="188" spans="1:9" s="3" customFormat="1" x14ac:dyDescent="0.3">
      <c r="A188" s="3" t="s">
        <v>224</v>
      </c>
      <c r="B188" s="3" t="s">
        <v>225</v>
      </c>
      <c r="C188" s="3" t="s">
        <v>64</v>
      </c>
      <c r="D188" s="3" t="s">
        <v>272</v>
      </c>
      <c r="E188" s="6">
        <v>0.37152777777777779</v>
      </c>
      <c r="F188" s="6">
        <v>0.69722222222222219</v>
      </c>
      <c r="G188" s="3" t="s">
        <v>20</v>
      </c>
      <c r="H188" s="3" t="s">
        <v>14</v>
      </c>
      <c r="I188" s="3" t="s">
        <v>15</v>
      </c>
    </row>
    <row r="189" spans="1:9" s="3" customFormat="1" x14ac:dyDescent="0.3">
      <c r="A189" s="3" t="s">
        <v>269</v>
      </c>
      <c r="B189" s="3" t="s">
        <v>270</v>
      </c>
      <c r="C189" s="3" t="s">
        <v>64</v>
      </c>
      <c r="D189" s="3" t="s">
        <v>273</v>
      </c>
      <c r="E189" s="6">
        <v>0.36180555555555555</v>
      </c>
      <c r="F189" s="6">
        <v>0.77430555555555558</v>
      </c>
      <c r="G189" s="3" t="s">
        <v>274</v>
      </c>
      <c r="H189" s="3" t="s">
        <v>27</v>
      </c>
      <c r="I189" s="3" t="s">
        <v>15</v>
      </c>
    </row>
    <row r="190" spans="1:9" s="3" customFormat="1" x14ac:dyDescent="0.3">
      <c r="A190" s="3" t="s">
        <v>48</v>
      </c>
      <c r="B190" s="3" t="s">
        <v>49</v>
      </c>
      <c r="C190" s="3" t="s">
        <v>24</v>
      </c>
      <c r="D190" s="3" t="s">
        <v>275</v>
      </c>
      <c r="E190" s="6">
        <v>0.3659722222222222</v>
      </c>
      <c r="F190" s="6">
        <v>0.75138888888888888</v>
      </c>
      <c r="G190" s="3" t="s">
        <v>26</v>
      </c>
      <c r="H190" s="3" t="s">
        <v>14</v>
      </c>
      <c r="I190" s="3" t="s">
        <v>15</v>
      </c>
    </row>
    <row r="191" spans="1:9" s="3" customFormat="1" x14ac:dyDescent="0.3">
      <c r="A191" s="3" t="s">
        <v>175</v>
      </c>
      <c r="B191" s="3" t="s">
        <v>176</v>
      </c>
      <c r="C191" s="3" t="s">
        <v>42</v>
      </c>
      <c r="D191" s="3" t="s">
        <v>276</v>
      </c>
      <c r="E191" s="6">
        <v>0.375</v>
      </c>
      <c r="F191" s="6">
        <v>0.73819444444444449</v>
      </c>
      <c r="G191" s="3" t="s">
        <v>26</v>
      </c>
      <c r="H191" s="3" t="s">
        <v>14</v>
      </c>
      <c r="I191" s="3" t="s">
        <v>21</v>
      </c>
    </row>
    <row r="192" spans="1:9" s="3" customFormat="1" x14ac:dyDescent="0.3">
      <c r="A192" s="3" t="s">
        <v>81</v>
      </c>
      <c r="B192" s="3" t="s">
        <v>82</v>
      </c>
      <c r="C192" s="3" t="s">
        <v>60</v>
      </c>
      <c r="D192" s="3" t="s">
        <v>132</v>
      </c>
      <c r="E192" s="6">
        <v>0.34513888888888888</v>
      </c>
      <c r="F192" s="6">
        <v>0.68611111111111112</v>
      </c>
      <c r="G192" s="3" t="s">
        <v>26</v>
      </c>
      <c r="H192" s="3" t="s">
        <v>27</v>
      </c>
      <c r="I192" s="3" t="s">
        <v>15</v>
      </c>
    </row>
    <row r="193" spans="1:9" s="3" customFormat="1" x14ac:dyDescent="0.3">
      <c r="A193" s="3" t="s">
        <v>213</v>
      </c>
      <c r="B193" s="3" t="s">
        <v>214</v>
      </c>
      <c r="C193" s="3" t="s">
        <v>42</v>
      </c>
      <c r="D193" s="3" t="s">
        <v>277</v>
      </c>
      <c r="E193" s="6">
        <v>0.43958333333333333</v>
      </c>
      <c r="F193" s="6">
        <v>0.76875000000000004</v>
      </c>
      <c r="G193" s="3" t="s">
        <v>26</v>
      </c>
      <c r="H193" s="3" t="s">
        <v>14</v>
      </c>
      <c r="I193" s="3" t="s">
        <v>21</v>
      </c>
    </row>
    <row r="194" spans="1:9" s="3" customFormat="1" x14ac:dyDescent="0.3">
      <c r="A194" s="3" t="s">
        <v>93</v>
      </c>
      <c r="B194" s="3" t="s">
        <v>94</v>
      </c>
      <c r="C194" s="3" t="s">
        <v>64</v>
      </c>
      <c r="D194" s="3" t="s">
        <v>278</v>
      </c>
      <c r="E194" s="6"/>
      <c r="F194" s="6"/>
      <c r="G194" s="3" t="s">
        <v>44</v>
      </c>
      <c r="H194" s="3" t="s">
        <v>14</v>
      </c>
      <c r="I194" s="3" t="s">
        <v>21</v>
      </c>
    </row>
    <row r="195" spans="1:9" s="3" customFormat="1" x14ac:dyDescent="0.3">
      <c r="A195" s="3" t="s">
        <v>134</v>
      </c>
      <c r="B195" s="3" t="s">
        <v>135</v>
      </c>
      <c r="C195" s="3" t="s">
        <v>64</v>
      </c>
      <c r="D195" s="3" t="s">
        <v>65</v>
      </c>
      <c r="E195" s="6">
        <v>0.47291666666666665</v>
      </c>
      <c r="F195" s="6">
        <v>0.85486111111111107</v>
      </c>
      <c r="G195" s="3" t="s">
        <v>26</v>
      </c>
      <c r="H195" s="3" t="s">
        <v>14</v>
      </c>
      <c r="I195" s="3" t="s">
        <v>21</v>
      </c>
    </row>
    <row r="196" spans="1:9" s="3" customFormat="1" x14ac:dyDescent="0.3">
      <c r="A196" s="3" t="s">
        <v>191</v>
      </c>
      <c r="B196" s="3" t="s">
        <v>192</v>
      </c>
      <c r="C196" s="3" t="s">
        <v>64</v>
      </c>
      <c r="D196" s="3" t="s">
        <v>279</v>
      </c>
      <c r="E196" s="6">
        <v>0.48819444444444443</v>
      </c>
      <c r="F196" s="6">
        <v>0.76875000000000004</v>
      </c>
      <c r="G196" s="3" t="s">
        <v>149</v>
      </c>
      <c r="H196" s="3" t="s">
        <v>14</v>
      </c>
      <c r="I196" s="3" t="s">
        <v>21</v>
      </c>
    </row>
    <row r="197" spans="1:9" s="3" customFormat="1" x14ac:dyDescent="0.3">
      <c r="A197" s="3" t="s">
        <v>109</v>
      </c>
      <c r="B197" s="3" t="s">
        <v>110</v>
      </c>
      <c r="C197" s="3" t="s">
        <v>42</v>
      </c>
      <c r="D197" s="3" t="s">
        <v>280</v>
      </c>
      <c r="E197" s="6"/>
      <c r="F197" s="6"/>
      <c r="G197" s="3" t="s">
        <v>44</v>
      </c>
      <c r="H197" s="3" t="s">
        <v>14</v>
      </c>
      <c r="I197" s="3" t="s">
        <v>15</v>
      </c>
    </row>
    <row r="198" spans="1:9" s="3" customFormat="1" x14ac:dyDescent="0.3">
      <c r="A198" s="3" t="s">
        <v>171</v>
      </c>
      <c r="B198" s="3" t="s">
        <v>172</v>
      </c>
      <c r="C198" s="3" t="s">
        <v>24</v>
      </c>
      <c r="D198" s="3" t="s">
        <v>281</v>
      </c>
      <c r="E198" s="6">
        <v>0.39097222222222222</v>
      </c>
      <c r="F198" s="6">
        <v>0.67361111111111116</v>
      </c>
      <c r="G198" s="3" t="s">
        <v>26</v>
      </c>
      <c r="H198" s="3" t="s">
        <v>27</v>
      </c>
      <c r="I198" s="3" t="s">
        <v>15</v>
      </c>
    </row>
    <row r="199" spans="1:9" s="3" customFormat="1" x14ac:dyDescent="0.3">
      <c r="A199" s="3" t="s">
        <v>102</v>
      </c>
      <c r="B199" s="3" t="s">
        <v>103</v>
      </c>
      <c r="C199" s="3" t="s">
        <v>18</v>
      </c>
      <c r="D199" s="3" t="s">
        <v>282</v>
      </c>
      <c r="E199" s="6"/>
      <c r="F199" s="6"/>
      <c r="G199" s="3" t="s">
        <v>44</v>
      </c>
      <c r="H199" s="3" t="s">
        <v>14</v>
      </c>
      <c r="I199" s="3" t="s">
        <v>15</v>
      </c>
    </row>
    <row r="200" spans="1:9" s="3" customFormat="1" x14ac:dyDescent="0.3">
      <c r="A200" s="3" t="s">
        <v>87</v>
      </c>
      <c r="B200" s="3" t="s">
        <v>88</v>
      </c>
      <c r="C200" s="3" t="s">
        <v>64</v>
      </c>
      <c r="D200" s="3" t="s">
        <v>184</v>
      </c>
      <c r="E200" s="6"/>
      <c r="F200" s="6"/>
      <c r="G200" s="3" t="s">
        <v>44</v>
      </c>
      <c r="H200" s="3" t="s">
        <v>27</v>
      </c>
      <c r="I200" s="3" t="s">
        <v>21</v>
      </c>
    </row>
    <row r="201" spans="1:9" s="3" customFormat="1" x14ac:dyDescent="0.3">
      <c r="A201" s="3" t="s">
        <v>58</v>
      </c>
      <c r="B201" s="3" t="s">
        <v>59</v>
      </c>
      <c r="C201" s="3" t="s">
        <v>18</v>
      </c>
      <c r="D201" s="3" t="s">
        <v>234</v>
      </c>
      <c r="E201" s="6">
        <v>0.38472222222222224</v>
      </c>
      <c r="F201" s="6">
        <v>0.79027777777777775</v>
      </c>
      <c r="G201" s="3" t="s">
        <v>20</v>
      </c>
      <c r="H201" s="3" t="s">
        <v>27</v>
      </c>
      <c r="I201" s="3" t="s">
        <v>21</v>
      </c>
    </row>
    <row r="202" spans="1:9" s="3" customFormat="1" x14ac:dyDescent="0.3">
      <c r="A202" s="3" t="s">
        <v>69</v>
      </c>
      <c r="B202" s="3" t="s">
        <v>70</v>
      </c>
      <c r="C202" s="3" t="s">
        <v>42</v>
      </c>
      <c r="D202" s="3" t="s">
        <v>264</v>
      </c>
      <c r="E202" s="6">
        <v>0.42638888888888887</v>
      </c>
      <c r="F202" s="6">
        <v>0.69097222222222221</v>
      </c>
      <c r="G202" s="3" t="s">
        <v>26</v>
      </c>
      <c r="H202" s="3" t="s">
        <v>14</v>
      </c>
      <c r="I202" s="3" t="s">
        <v>21</v>
      </c>
    </row>
    <row r="203" spans="1:9" s="3" customFormat="1" x14ac:dyDescent="0.3">
      <c r="A203" s="3" t="s">
        <v>115</v>
      </c>
      <c r="B203" s="3" t="s">
        <v>116</v>
      </c>
      <c r="C203" s="3" t="s">
        <v>18</v>
      </c>
      <c r="D203" s="3" t="s">
        <v>283</v>
      </c>
      <c r="E203" s="6">
        <v>0.46805555555555556</v>
      </c>
      <c r="F203" s="6">
        <v>0.67777777777777781</v>
      </c>
      <c r="G203" s="3" t="s">
        <v>26</v>
      </c>
      <c r="H203" s="3" t="s">
        <v>14</v>
      </c>
      <c r="I203" s="3" t="s">
        <v>21</v>
      </c>
    </row>
    <row r="204" spans="1:9" s="3" customFormat="1" x14ac:dyDescent="0.3">
      <c r="A204" s="3" t="s">
        <v>157</v>
      </c>
      <c r="B204" s="3" t="s">
        <v>158</v>
      </c>
      <c r="C204" s="3" t="s">
        <v>60</v>
      </c>
      <c r="D204" s="3" t="s">
        <v>47</v>
      </c>
      <c r="E204" s="6">
        <v>0.34444444444444444</v>
      </c>
      <c r="F204" s="6">
        <v>0.80972222222222223</v>
      </c>
      <c r="G204" s="3" t="s">
        <v>13</v>
      </c>
      <c r="H204" s="3" t="s">
        <v>27</v>
      </c>
      <c r="I204" s="3" t="s">
        <v>21</v>
      </c>
    </row>
    <row r="205" spans="1:9" s="3" customFormat="1" x14ac:dyDescent="0.3">
      <c r="A205" s="3" t="s">
        <v>16</v>
      </c>
      <c r="B205" s="3" t="s">
        <v>17</v>
      </c>
      <c r="C205" s="3" t="s">
        <v>60</v>
      </c>
      <c r="D205" s="3" t="s">
        <v>284</v>
      </c>
      <c r="E205" s="6">
        <v>0.34444444444444444</v>
      </c>
      <c r="F205" s="6">
        <v>0.71458333333333335</v>
      </c>
      <c r="G205" s="3" t="s">
        <v>13</v>
      </c>
      <c r="H205" s="3" t="s">
        <v>14</v>
      </c>
      <c r="I205" s="3" t="s">
        <v>21</v>
      </c>
    </row>
    <row r="206" spans="1:9" s="3" customFormat="1" x14ac:dyDescent="0.3">
      <c r="A206" s="3" t="s">
        <v>99</v>
      </c>
      <c r="B206" s="3" t="s">
        <v>100</v>
      </c>
      <c r="C206" s="3" t="s">
        <v>18</v>
      </c>
      <c r="D206" s="3" t="s">
        <v>285</v>
      </c>
      <c r="E206" s="6"/>
      <c r="F206" s="6"/>
      <c r="G206" s="3" t="s">
        <v>44</v>
      </c>
      <c r="H206" s="3" t="s">
        <v>27</v>
      </c>
      <c r="I206" s="3" t="s">
        <v>21</v>
      </c>
    </row>
    <row r="207" spans="1:9" s="3" customFormat="1" x14ac:dyDescent="0.3">
      <c r="A207" s="3" t="s">
        <v>246</v>
      </c>
      <c r="B207" s="3" t="s">
        <v>247</v>
      </c>
      <c r="C207" s="3" t="s">
        <v>143</v>
      </c>
      <c r="D207" s="3" t="s">
        <v>286</v>
      </c>
      <c r="E207" s="6"/>
      <c r="F207" s="6"/>
      <c r="G207" s="3" t="s">
        <v>44</v>
      </c>
      <c r="H207" s="3" t="s">
        <v>27</v>
      </c>
      <c r="I207" s="3" t="s">
        <v>21</v>
      </c>
    </row>
    <row r="208" spans="1:9" s="3" customFormat="1" x14ac:dyDescent="0.3">
      <c r="A208" s="3" t="s">
        <v>236</v>
      </c>
      <c r="B208" s="3" t="s">
        <v>237</v>
      </c>
      <c r="C208" s="3" t="s">
        <v>42</v>
      </c>
      <c r="D208" s="3" t="s">
        <v>233</v>
      </c>
      <c r="E208" s="6">
        <v>0.43680555555555556</v>
      </c>
      <c r="F208" s="6">
        <v>0.72569444444444442</v>
      </c>
      <c r="G208" s="3" t="s">
        <v>20</v>
      </c>
      <c r="H208" s="3" t="s">
        <v>14</v>
      </c>
      <c r="I208" s="3" t="s">
        <v>21</v>
      </c>
    </row>
    <row r="209" spans="1:9" s="3" customFormat="1" x14ac:dyDescent="0.3">
      <c r="A209" s="3" t="s">
        <v>102</v>
      </c>
      <c r="B209" s="3" t="s">
        <v>103</v>
      </c>
      <c r="C209" s="3" t="s">
        <v>64</v>
      </c>
      <c r="D209" s="3" t="s">
        <v>287</v>
      </c>
      <c r="E209" s="6">
        <v>0.47847222222222224</v>
      </c>
      <c r="F209" s="6">
        <v>0.76666666666666672</v>
      </c>
      <c r="G209" s="3" t="s">
        <v>26</v>
      </c>
      <c r="H209" s="3" t="s">
        <v>14</v>
      </c>
      <c r="I209" s="3" t="s">
        <v>21</v>
      </c>
    </row>
    <row r="210" spans="1:9" s="3" customFormat="1" x14ac:dyDescent="0.3">
      <c r="A210" s="3" t="s">
        <v>197</v>
      </c>
      <c r="B210" s="3" t="s">
        <v>198</v>
      </c>
      <c r="C210" s="3" t="s">
        <v>18</v>
      </c>
      <c r="D210" s="3" t="s">
        <v>288</v>
      </c>
      <c r="E210" s="6">
        <v>0.46388888888888891</v>
      </c>
      <c r="F210" s="6">
        <v>0.6743055555555556</v>
      </c>
      <c r="G210" s="3" t="s">
        <v>26</v>
      </c>
      <c r="H210" s="3" t="s">
        <v>14</v>
      </c>
      <c r="I210" s="3" t="s">
        <v>21</v>
      </c>
    </row>
    <row r="211" spans="1:9" s="3" customFormat="1" x14ac:dyDescent="0.3">
      <c r="A211" s="3" t="s">
        <v>119</v>
      </c>
      <c r="B211" s="3" t="s">
        <v>120</v>
      </c>
      <c r="C211" s="3" t="s">
        <v>42</v>
      </c>
      <c r="D211" s="3" t="s">
        <v>289</v>
      </c>
      <c r="E211" s="6"/>
      <c r="F211" s="6"/>
      <c r="G211" s="3" t="s">
        <v>44</v>
      </c>
      <c r="H211" s="3" t="s">
        <v>27</v>
      </c>
      <c r="I211" s="3" t="s">
        <v>15</v>
      </c>
    </row>
    <row r="212" spans="1:9" s="3" customFormat="1" x14ac:dyDescent="0.3">
      <c r="A212" s="3" t="s">
        <v>93</v>
      </c>
      <c r="B212" s="3" t="s">
        <v>94</v>
      </c>
      <c r="C212" s="3" t="s">
        <v>42</v>
      </c>
      <c r="D212" s="3" t="s">
        <v>108</v>
      </c>
      <c r="E212" s="6">
        <v>0.49027777777777776</v>
      </c>
      <c r="F212" s="6">
        <v>0.69097222222222221</v>
      </c>
      <c r="G212" s="3" t="s">
        <v>13</v>
      </c>
      <c r="H212" s="3" t="s">
        <v>14</v>
      </c>
      <c r="I212" s="3" t="s">
        <v>21</v>
      </c>
    </row>
    <row r="213" spans="1:9" s="3" customFormat="1" x14ac:dyDescent="0.3">
      <c r="A213" s="3" t="s">
        <v>55</v>
      </c>
      <c r="B213" s="3" t="s">
        <v>56</v>
      </c>
      <c r="C213" s="3" t="s">
        <v>127</v>
      </c>
      <c r="D213" s="3" t="s">
        <v>290</v>
      </c>
      <c r="E213" s="6"/>
      <c r="F213" s="6"/>
      <c r="G213" s="3" t="s">
        <v>44</v>
      </c>
      <c r="H213" s="3" t="s">
        <v>14</v>
      </c>
      <c r="I213" s="3" t="s">
        <v>21</v>
      </c>
    </row>
    <row r="214" spans="1:9" s="3" customFormat="1" x14ac:dyDescent="0.3">
      <c r="A214" s="3" t="s">
        <v>204</v>
      </c>
      <c r="B214" s="3" t="s">
        <v>205</v>
      </c>
      <c r="C214" s="3" t="s">
        <v>143</v>
      </c>
      <c r="D214" s="3" t="s">
        <v>43</v>
      </c>
      <c r="E214" s="6">
        <v>0.41597222222222224</v>
      </c>
      <c r="F214" s="6">
        <v>0.73611111111111116</v>
      </c>
      <c r="G214" s="3" t="s">
        <v>125</v>
      </c>
      <c r="H214" s="3" t="s">
        <v>14</v>
      </c>
      <c r="I214" s="3" t="s">
        <v>21</v>
      </c>
    </row>
    <row r="215" spans="1:9" s="3" customFormat="1" x14ac:dyDescent="0.3">
      <c r="A215" s="3" t="s">
        <v>187</v>
      </c>
      <c r="B215" s="3" t="s">
        <v>188</v>
      </c>
      <c r="C215" s="3" t="s">
        <v>64</v>
      </c>
      <c r="D215" s="3" t="s">
        <v>182</v>
      </c>
      <c r="E215" s="6">
        <v>0.47916666666666669</v>
      </c>
      <c r="F215" s="6">
        <v>0.70763888888888893</v>
      </c>
      <c r="G215" s="3" t="s">
        <v>20</v>
      </c>
      <c r="H215" s="3" t="s">
        <v>14</v>
      </c>
      <c r="I215" s="3" t="s">
        <v>21</v>
      </c>
    </row>
    <row r="216" spans="1:9" s="3" customFormat="1" x14ac:dyDescent="0.3">
      <c r="A216" s="3" t="s">
        <v>291</v>
      </c>
      <c r="B216" s="3" t="s">
        <v>292</v>
      </c>
      <c r="C216" s="3" t="s">
        <v>42</v>
      </c>
      <c r="D216" s="3" t="s">
        <v>293</v>
      </c>
      <c r="E216" s="6"/>
      <c r="F216" s="6"/>
      <c r="G216" s="3" t="s">
        <v>44</v>
      </c>
      <c r="H216" s="3" t="s">
        <v>14</v>
      </c>
      <c r="I216" s="3" t="s">
        <v>15</v>
      </c>
    </row>
    <row r="217" spans="1:9" s="3" customFormat="1" x14ac:dyDescent="0.3">
      <c r="A217" s="3" t="s">
        <v>122</v>
      </c>
      <c r="B217" s="3" t="s">
        <v>123</v>
      </c>
      <c r="C217" s="3" t="s">
        <v>18</v>
      </c>
      <c r="D217" s="3" t="s">
        <v>180</v>
      </c>
      <c r="E217" s="6"/>
      <c r="F217" s="6"/>
      <c r="G217" s="3" t="s">
        <v>44</v>
      </c>
      <c r="H217" s="3" t="s">
        <v>27</v>
      </c>
      <c r="I217" s="3" t="s">
        <v>15</v>
      </c>
    </row>
    <row r="218" spans="1:9" s="3" customFormat="1" x14ac:dyDescent="0.3">
      <c r="A218" s="3" t="s">
        <v>250</v>
      </c>
      <c r="B218" s="3" t="s">
        <v>251</v>
      </c>
      <c r="C218" s="3" t="s">
        <v>60</v>
      </c>
      <c r="D218" s="3" t="s">
        <v>294</v>
      </c>
      <c r="E218" s="6">
        <v>0.4284722222222222</v>
      </c>
      <c r="F218" s="6">
        <v>0.85486111111111107</v>
      </c>
      <c r="G218" s="3" t="s">
        <v>26</v>
      </c>
      <c r="H218" s="3" t="s">
        <v>27</v>
      </c>
      <c r="I218" s="3" t="s">
        <v>15</v>
      </c>
    </row>
    <row r="219" spans="1:9" s="3" customFormat="1" x14ac:dyDescent="0.3">
      <c r="A219" s="3" t="s">
        <v>69</v>
      </c>
      <c r="B219" s="3" t="s">
        <v>70</v>
      </c>
      <c r="C219" s="3" t="s">
        <v>42</v>
      </c>
      <c r="D219" s="3" t="s">
        <v>283</v>
      </c>
      <c r="E219" s="6">
        <v>0.48333333333333334</v>
      </c>
      <c r="F219" s="6">
        <v>0.75486111111111109</v>
      </c>
      <c r="G219" s="3" t="s">
        <v>20</v>
      </c>
      <c r="H219" s="3" t="s">
        <v>14</v>
      </c>
      <c r="I219" s="3" t="s">
        <v>21</v>
      </c>
    </row>
    <row r="220" spans="1:9" s="3" customFormat="1" x14ac:dyDescent="0.3">
      <c r="A220" s="3" t="s">
        <v>134</v>
      </c>
      <c r="B220" s="3" t="s">
        <v>135</v>
      </c>
      <c r="C220" s="3" t="s">
        <v>42</v>
      </c>
      <c r="D220" s="3" t="s">
        <v>295</v>
      </c>
      <c r="E220" s="6"/>
      <c r="F220" s="6"/>
      <c r="G220" s="3" t="s">
        <v>44</v>
      </c>
      <c r="H220" s="3" t="s">
        <v>27</v>
      </c>
      <c r="I220" s="3" t="s">
        <v>15</v>
      </c>
    </row>
    <row r="221" spans="1:9" s="3" customFormat="1" x14ac:dyDescent="0.3">
      <c r="A221" s="3" t="s">
        <v>102</v>
      </c>
      <c r="B221" s="3" t="s">
        <v>103</v>
      </c>
      <c r="C221" s="3" t="s">
        <v>18</v>
      </c>
      <c r="D221" s="3" t="s">
        <v>296</v>
      </c>
      <c r="E221" s="6"/>
      <c r="F221" s="6"/>
      <c r="G221" s="3" t="s">
        <v>44</v>
      </c>
      <c r="H221" s="3" t="s">
        <v>27</v>
      </c>
      <c r="I221" s="3" t="s">
        <v>15</v>
      </c>
    </row>
    <row r="222" spans="1:9" s="3" customFormat="1" x14ac:dyDescent="0.3">
      <c r="A222" s="3" t="s">
        <v>69</v>
      </c>
      <c r="B222" s="3" t="s">
        <v>70</v>
      </c>
      <c r="C222" s="3" t="s">
        <v>42</v>
      </c>
      <c r="D222" s="3" t="s">
        <v>162</v>
      </c>
      <c r="E222" s="6">
        <v>0.39027777777777778</v>
      </c>
      <c r="F222" s="6">
        <v>0.81180555555555556</v>
      </c>
      <c r="G222" s="3" t="s">
        <v>26</v>
      </c>
      <c r="H222" s="3" t="s">
        <v>14</v>
      </c>
      <c r="I222" s="3" t="s">
        <v>21</v>
      </c>
    </row>
    <row r="223" spans="1:9" s="3" customFormat="1" x14ac:dyDescent="0.3">
      <c r="A223" s="3" t="s">
        <v>31</v>
      </c>
      <c r="B223" s="3" t="s">
        <v>32</v>
      </c>
      <c r="C223" s="3" t="s">
        <v>60</v>
      </c>
      <c r="D223" s="3" t="s">
        <v>257</v>
      </c>
      <c r="E223" s="6">
        <v>0.45833333333333331</v>
      </c>
      <c r="F223" s="6">
        <v>0.75069444444444444</v>
      </c>
      <c r="G223" s="3" t="s">
        <v>274</v>
      </c>
      <c r="H223" s="3" t="s">
        <v>27</v>
      </c>
      <c r="I223" s="3" t="s">
        <v>21</v>
      </c>
    </row>
    <row r="224" spans="1:9" s="3" customFormat="1" x14ac:dyDescent="0.3">
      <c r="A224" s="3" t="s">
        <v>45</v>
      </c>
      <c r="B224" s="3" t="s">
        <v>46</v>
      </c>
      <c r="C224" s="3" t="s">
        <v>42</v>
      </c>
      <c r="D224" s="3" t="s">
        <v>297</v>
      </c>
      <c r="E224" s="6"/>
      <c r="F224" s="6"/>
      <c r="G224" s="3" t="s">
        <v>44</v>
      </c>
      <c r="H224" s="3" t="s">
        <v>27</v>
      </c>
      <c r="I224" s="3" t="s">
        <v>15</v>
      </c>
    </row>
    <row r="225" spans="1:9" s="3" customFormat="1" x14ac:dyDescent="0.3">
      <c r="A225" s="3" t="s">
        <v>194</v>
      </c>
      <c r="B225" s="3" t="s">
        <v>195</v>
      </c>
      <c r="C225" s="3" t="s">
        <v>60</v>
      </c>
      <c r="D225" s="3" t="s">
        <v>298</v>
      </c>
      <c r="E225" s="6"/>
      <c r="F225" s="6"/>
      <c r="G225" s="3" t="s">
        <v>44</v>
      </c>
      <c r="H225" s="3" t="s">
        <v>14</v>
      </c>
      <c r="I225" s="3" t="s">
        <v>15</v>
      </c>
    </row>
    <row r="226" spans="1:9" s="3" customFormat="1" x14ac:dyDescent="0.3">
      <c r="A226" s="3" t="s">
        <v>138</v>
      </c>
      <c r="B226" s="3" t="s">
        <v>139</v>
      </c>
      <c r="C226" s="3" t="s">
        <v>127</v>
      </c>
      <c r="D226" s="3" t="s">
        <v>293</v>
      </c>
      <c r="E226" s="6"/>
      <c r="F226" s="6"/>
      <c r="G226" s="3" t="s">
        <v>44</v>
      </c>
      <c r="H226" s="3" t="s">
        <v>27</v>
      </c>
      <c r="I226" s="3" t="s">
        <v>15</v>
      </c>
    </row>
    <row r="227" spans="1:9" s="3" customFormat="1" x14ac:dyDescent="0.3">
      <c r="A227" s="3" t="s">
        <v>99</v>
      </c>
      <c r="B227" s="3" t="s">
        <v>100</v>
      </c>
      <c r="C227" s="3" t="s">
        <v>18</v>
      </c>
      <c r="D227" s="3" t="s">
        <v>152</v>
      </c>
      <c r="E227" s="6">
        <v>0.49791666666666667</v>
      </c>
      <c r="F227" s="6">
        <v>0.81597222222222221</v>
      </c>
      <c r="G227" s="3" t="s">
        <v>26</v>
      </c>
      <c r="H227" s="3" t="s">
        <v>27</v>
      </c>
      <c r="I227" s="3" t="s">
        <v>21</v>
      </c>
    </row>
    <row r="228" spans="1:9" s="3" customFormat="1" x14ac:dyDescent="0.3">
      <c r="A228" s="3" t="s">
        <v>28</v>
      </c>
      <c r="B228" s="3" t="s">
        <v>29</v>
      </c>
      <c r="C228" s="3" t="s">
        <v>42</v>
      </c>
      <c r="D228" s="3" t="s">
        <v>299</v>
      </c>
      <c r="E228" s="6"/>
      <c r="F228" s="6"/>
      <c r="G228" s="3" t="s">
        <v>44</v>
      </c>
      <c r="H228" s="3" t="s">
        <v>27</v>
      </c>
      <c r="I228" s="3" t="s">
        <v>15</v>
      </c>
    </row>
    <row r="229" spans="1:9" s="3" customFormat="1" x14ac:dyDescent="0.3">
      <c r="A229" s="3" t="s">
        <v>194</v>
      </c>
      <c r="B229" s="3" t="s">
        <v>195</v>
      </c>
      <c r="C229" s="3" t="s">
        <v>42</v>
      </c>
      <c r="D229" s="3" t="s">
        <v>19</v>
      </c>
      <c r="E229" s="6">
        <v>0.48055555555555557</v>
      </c>
      <c r="F229" s="6">
        <v>0.7993055555555556</v>
      </c>
      <c r="G229" s="3" t="s">
        <v>26</v>
      </c>
      <c r="H229" s="3" t="s">
        <v>27</v>
      </c>
      <c r="I229" s="3" t="s">
        <v>21</v>
      </c>
    </row>
    <row r="230" spans="1:9" s="3" customFormat="1" x14ac:dyDescent="0.3">
      <c r="A230" s="3" t="s">
        <v>119</v>
      </c>
      <c r="B230" s="3" t="s">
        <v>120</v>
      </c>
      <c r="C230" s="3" t="s">
        <v>42</v>
      </c>
      <c r="D230" s="3" t="s">
        <v>196</v>
      </c>
      <c r="E230" s="6">
        <v>0.48958333333333331</v>
      </c>
      <c r="F230" s="6">
        <v>0.70625000000000004</v>
      </c>
      <c r="G230" s="3" t="s">
        <v>13</v>
      </c>
      <c r="H230" s="3" t="s">
        <v>14</v>
      </c>
      <c r="I230" s="3" t="s">
        <v>21</v>
      </c>
    </row>
    <row r="231" spans="1:9" s="3" customFormat="1" x14ac:dyDescent="0.3">
      <c r="A231" s="3" t="s">
        <v>28</v>
      </c>
      <c r="B231" s="3" t="s">
        <v>29</v>
      </c>
      <c r="C231" s="3" t="s">
        <v>42</v>
      </c>
      <c r="D231" s="3" t="s">
        <v>300</v>
      </c>
      <c r="E231" s="6">
        <v>0.3576388888888889</v>
      </c>
      <c r="F231" s="6">
        <v>0.72291666666666665</v>
      </c>
      <c r="G231" s="3" t="s">
        <v>13</v>
      </c>
      <c r="H231" s="3" t="s">
        <v>27</v>
      </c>
      <c r="I231" s="3" t="s">
        <v>15</v>
      </c>
    </row>
    <row r="232" spans="1:9" s="3" customFormat="1" x14ac:dyDescent="0.3">
      <c r="A232" s="3" t="s">
        <v>55</v>
      </c>
      <c r="B232" s="3" t="s">
        <v>56</v>
      </c>
      <c r="C232" s="3" t="s">
        <v>60</v>
      </c>
      <c r="D232" s="3" t="s">
        <v>215</v>
      </c>
      <c r="E232" s="6">
        <v>0.47152777777777777</v>
      </c>
      <c r="F232" s="6">
        <v>0.80347222222222225</v>
      </c>
      <c r="G232" s="3" t="s">
        <v>20</v>
      </c>
      <c r="H232" s="3" t="s">
        <v>27</v>
      </c>
      <c r="I232" s="3" t="s">
        <v>15</v>
      </c>
    </row>
    <row r="233" spans="1:9" s="3" customFormat="1" x14ac:dyDescent="0.3">
      <c r="A233" s="3" t="s">
        <v>48</v>
      </c>
      <c r="B233" s="3" t="s">
        <v>49</v>
      </c>
      <c r="C233" s="3" t="s">
        <v>24</v>
      </c>
      <c r="D233" s="3" t="s">
        <v>43</v>
      </c>
      <c r="E233" s="6">
        <v>0.41944444444444445</v>
      </c>
      <c r="F233" s="6">
        <v>0.83472222222222225</v>
      </c>
      <c r="G233" s="3" t="s">
        <v>13</v>
      </c>
      <c r="H233" s="3" t="s">
        <v>14</v>
      </c>
      <c r="I233" s="3" t="s">
        <v>21</v>
      </c>
    </row>
    <row r="234" spans="1:9" s="3" customFormat="1" x14ac:dyDescent="0.3">
      <c r="A234" s="3" t="s">
        <v>75</v>
      </c>
      <c r="B234" s="3" t="s">
        <v>76</v>
      </c>
      <c r="C234" s="3" t="s">
        <v>64</v>
      </c>
      <c r="D234" s="3" t="s">
        <v>301</v>
      </c>
      <c r="E234" s="6">
        <v>0.44444444444444442</v>
      </c>
      <c r="F234" s="6">
        <v>0.78194444444444444</v>
      </c>
      <c r="G234" s="3" t="s">
        <v>26</v>
      </c>
      <c r="H234" s="3" t="s">
        <v>14</v>
      </c>
      <c r="I234" s="3" t="s">
        <v>21</v>
      </c>
    </row>
    <row r="235" spans="1:9" s="3" customFormat="1" x14ac:dyDescent="0.3">
      <c r="A235" s="3" t="s">
        <v>81</v>
      </c>
      <c r="B235" s="3" t="s">
        <v>82</v>
      </c>
      <c r="C235" s="3" t="s">
        <v>24</v>
      </c>
      <c r="D235" s="3" t="s">
        <v>65</v>
      </c>
      <c r="E235" s="6">
        <v>0.4597222222222222</v>
      </c>
      <c r="F235" s="6">
        <v>0.75416666666666665</v>
      </c>
      <c r="G235" s="3" t="s">
        <v>26</v>
      </c>
      <c r="H235" s="3" t="s">
        <v>14</v>
      </c>
      <c r="I235" s="3" t="s">
        <v>21</v>
      </c>
    </row>
    <row r="236" spans="1:9" s="3" customFormat="1" x14ac:dyDescent="0.3">
      <c r="A236" s="3" t="s">
        <v>224</v>
      </c>
      <c r="B236" s="3" t="s">
        <v>225</v>
      </c>
      <c r="C236" s="3" t="s">
        <v>60</v>
      </c>
      <c r="D236" s="3" t="s">
        <v>252</v>
      </c>
      <c r="E236" s="6">
        <v>0.37083333333333335</v>
      </c>
      <c r="F236" s="6">
        <v>0.82013888888888886</v>
      </c>
      <c r="G236" s="3" t="s">
        <v>125</v>
      </c>
      <c r="H236" s="3" t="s">
        <v>27</v>
      </c>
      <c r="I236" s="3" t="s">
        <v>21</v>
      </c>
    </row>
    <row r="237" spans="1:9" s="3" customFormat="1" x14ac:dyDescent="0.3">
      <c r="A237" s="3" t="s">
        <v>75</v>
      </c>
      <c r="B237" s="3" t="s">
        <v>76</v>
      </c>
      <c r="C237" s="3" t="s">
        <v>60</v>
      </c>
      <c r="D237" s="3" t="s">
        <v>137</v>
      </c>
      <c r="E237" s="6"/>
      <c r="F237" s="6"/>
      <c r="G237" s="3" t="s">
        <v>44</v>
      </c>
      <c r="H237" s="3" t="s">
        <v>27</v>
      </c>
      <c r="I237" s="3" t="s">
        <v>15</v>
      </c>
    </row>
    <row r="238" spans="1:9" s="3" customFormat="1" x14ac:dyDescent="0.3">
      <c r="A238" s="3" t="s">
        <v>84</v>
      </c>
      <c r="B238" s="3" t="s">
        <v>85</v>
      </c>
      <c r="C238" s="3" t="s">
        <v>24</v>
      </c>
      <c r="D238" s="3" t="s">
        <v>302</v>
      </c>
      <c r="E238" s="6">
        <v>0.45</v>
      </c>
      <c r="F238" s="6">
        <v>0.69722222222222219</v>
      </c>
      <c r="G238" s="3" t="s">
        <v>26</v>
      </c>
      <c r="H238" s="3" t="s">
        <v>27</v>
      </c>
      <c r="I238" s="3" t="s">
        <v>15</v>
      </c>
    </row>
    <row r="239" spans="1:9" s="3" customFormat="1" x14ac:dyDescent="0.3">
      <c r="A239" s="3" t="s">
        <v>72</v>
      </c>
      <c r="B239" s="3" t="s">
        <v>73</v>
      </c>
      <c r="C239" s="3" t="s">
        <v>42</v>
      </c>
      <c r="D239" s="3" t="s">
        <v>185</v>
      </c>
      <c r="E239" s="6">
        <v>0.37638888888888888</v>
      </c>
      <c r="F239" s="6">
        <v>0.67500000000000004</v>
      </c>
      <c r="G239" s="3" t="s">
        <v>26</v>
      </c>
      <c r="H239" s="3" t="s">
        <v>27</v>
      </c>
      <c r="I239" s="3" t="s">
        <v>21</v>
      </c>
    </row>
    <row r="240" spans="1:9" s="3" customFormat="1" x14ac:dyDescent="0.3">
      <c r="A240" s="3" t="s">
        <v>204</v>
      </c>
      <c r="B240" s="3" t="s">
        <v>205</v>
      </c>
      <c r="C240" s="3" t="s">
        <v>64</v>
      </c>
      <c r="D240" s="3" t="s">
        <v>303</v>
      </c>
      <c r="E240" s="6">
        <v>0.35347222222222224</v>
      </c>
      <c r="F240" s="6">
        <v>0.86805555555555558</v>
      </c>
      <c r="G240" s="3" t="s">
        <v>170</v>
      </c>
      <c r="H240" s="3" t="s">
        <v>27</v>
      </c>
      <c r="I240" s="3" t="s">
        <v>15</v>
      </c>
    </row>
    <row r="241" spans="1:9" s="3" customFormat="1" x14ac:dyDescent="0.3">
      <c r="A241" s="3" t="s">
        <v>109</v>
      </c>
      <c r="B241" s="3" t="s">
        <v>110</v>
      </c>
      <c r="C241" s="3" t="s">
        <v>64</v>
      </c>
      <c r="D241" s="3" t="s">
        <v>95</v>
      </c>
      <c r="E241" s="6">
        <v>0.45902777777777776</v>
      </c>
      <c r="F241" s="6">
        <v>0.71111111111111114</v>
      </c>
      <c r="G241" s="3" t="s">
        <v>13</v>
      </c>
      <c r="H241" s="3" t="s">
        <v>27</v>
      </c>
      <c r="I241" s="3" t="s">
        <v>15</v>
      </c>
    </row>
    <row r="242" spans="1:9" s="3" customFormat="1" x14ac:dyDescent="0.3">
      <c r="A242" s="3" t="s">
        <v>102</v>
      </c>
      <c r="B242" s="3" t="s">
        <v>103</v>
      </c>
      <c r="C242" s="3" t="s">
        <v>18</v>
      </c>
      <c r="D242" s="3" t="s">
        <v>304</v>
      </c>
      <c r="E242" s="6">
        <v>0.42291666666666666</v>
      </c>
      <c r="F242" s="6">
        <v>0.79166666666666663</v>
      </c>
      <c r="G242" s="3" t="s">
        <v>20</v>
      </c>
      <c r="H242" s="3" t="s">
        <v>14</v>
      </c>
      <c r="I242" s="3" t="s">
        <v>15</v>
      </c>
    </row>
    <row r="243" spans="1:9" s="3" customFormat="1" x14ac:dyDescent="0.3">
      <c r="A243" s="3" t="s">
        <v>90</v>
      </c>
      <c r="B243" s="3" t="s">
        <v>91</v>
      </c>
      <c r="C243" s="3" t="s">
        <v>42</v>
      </c>
      <c r="D243" s="3" t="s">
        <v>266</v>
      </c>
      <c r="E243" s="6"/>
      <c r="F243" s="6"/>
      <c r="G243" s="3" t="s">
        <v>44</v>
      </c>
      <c r="H243" s="3" t="s">
        <v>14</v>
      </c>
      <c r="I243" s="3" t="s">
        <v>15</v>
      </c>
    </row>
    <row r="244" spans="1:9" s="3" customFormat="1" x14ac:dyDescent="0.3">
      <c r="A244" s="3" t="s">
        <v>28</v>
      </c>
      <c r="B244" s="3" t="s">
        <v>29</v>
      </c>
      <c r="C244" s="3" t="s">
        <v>24</v>
      </c>
      <c r="D244" s="3" t="s">
        <v>283</v>
      </c>
      <c r="E244" s="6">
        <v>0.4826388888888889</v>
      </c>
      <c r="F244" s="6">
        <v>0.76736111111111116</v>
      </c>
      <c r="G244" s="3" t="s">
        <v>20</v>
      </c>
      <c r="H244" s="3" t="s">
        <v>14</v>
      </c>
      <c r="I244" s="3" t="s">
        <v>15</v>
      </c>
    </row>
    <row r="245" spans="1:9" s="3" customFormat="1" x14ac:dyDescent="0.3">
      <c r="A245" s="3" t="s">
        <v>146</v>
      </c>
      <c r="B245" s="3" t="s">
        <v>147</v>
      </c>
      <c r="C245" s="3" t="s">
        <v>60</v>
      </c>
      <c r="D245" s="3" t="s">
        <v>305</v>
      </c>
      <c r="E245" s="6">
        <v>0.42083333333333334</v>
      </c>
      <c r="F245" s="6">
        <v>0.81319444444444444</v>
      </c>
      <c r="G245" s="3" t="s">
        <v>13</v>
      </c>
      <c r="H245" s="3" t="s">
        <v>27</v>
      </c>
      <c r="I245" s="3" t="s">
        <v>21</v>
      </c>
    </row>
    <row r="246" spans="1:9" s="3" customFormat="1" x14ac:dyDescent="0.3">
      <c r="A246" s="3" t="s">
        <v>66</v>
      </c>
      <c r="B246" s="3" t="s">
        <v>67</v>
      </c>
      <c r="C246" s="3" t="s">
        <v>42</v>
      </c>
      <c r="D246" s="3" t="s">
        <v>306</v>
      </c>
      <c r="E246" s="6"/>
      <c r="F246" s="6"/>
      <c r="G246" s="3" t="s">
        <v>44</v>
      </c>
      <c r="H246" s="3" t="s">
        <v>27</v>
      </c>
      <c r="I246" s="3" t="s">
        <v>15</v>
      </c>
    </row>
    <row r="247" spans="1:9" s="3" customFormat="1" x14ac:dyDescent="0.3">
      <c r="A247" s="3" t="s">
        <v>187</v>
      </c>
      <c r="B247" s="3" t="s">
        <v>188</v>
      </c>
      <c r="C247" s="3" t="s">
        <v>42</v>
      </c>
      <c r="D247" s="3" t="s">
        <v>307</v>
      </c>
      <c r="E247" s="6">
        <v>0.34652777777777777</v>
      </c>
      <c r="F247" s="6">
        <v>0.72430555555555554</v>
      </c>
      <c r="G247" s="3" t="s">
        <v>26</v>
      </c>
      <c r="H247" s="3" t="s">
        <v>27</v>
      </c>
      <c r="I247" s="3" t="s">
        <v>15</v>
      </c>
    </row>
    <row r="248" spans="1:9" s="3" customFormat="1" x14ac:dyDescent="0.3">
      <c r="A248" s="3" t="s">
        <v>99</v>
      </c>
      <c r="B248" s="3" t="s">
        <v>100</v>
      </c>
      <c r="C248" s="3" t="s">
        <v>60</v>
      </c>
      <c r="D248" s="3" t="s">
        <v>308</v>
      </c>
      <c r="E248" s="6">
        <v>0.4909722222222222</v>
      </c>
      <c r="F248" s="6">
        <v>0.84444444444444444</v>
      </c>
      <c r="G248" s="3" t="s">
        <v>20</v>
      </c>
      <c r="H248" s="3" t="s">
        <v>27</v>
      </c>
      <c r="I248" s="3" t="s">
        <v>21</v>
      </c>
    </row>
    <row r="249" spans="1:9" s="3" customFormat="1" x14ac:dyDescent="0.3">
      <c r="A249" s="3" t="s">
        <v>96</v>
      </c>
      <c r="B249" s="3" t="s">
        <v>97</v>
      </c>
      <c r="C249" s="3" t="s">
        <v>18</v>
      </c>
      <c r="D249" s="3" t="s">
        <v>309</v>
      </c>
      <c r="E249" s="6">
        <v>0.43194444444444446</v>
      </c>
      <c r="F249" s="6">
        <v>0.79305555555555551</v>
      </c>
      <c r="G249" s="3" t="s">
        <v>20</v>
      </c>
      <c r="H249" s="3" t="s">
        <v>14</v>
      </c>
      <c r="I249" s="3" t="s">
        <v>21</v>
      </c>
    </row>
    <row r="250" spans="1:9" s="3" customFormat="1" x14ac:dyDescent="0.3">
      <c r="A250" s="3" t="s">
        <v>81</v>
      </c>
      <c r="B250" s="3" t="s">
        <v>82</v>
      </c>
      <c r="C250" s="3" t="s">
        <v>24</v>
      </c>
      <c r="D250" s="3" t="s">
        <v>310</v>
      </c>
      <c r="E250" s="6"/>
      <c r="F250" s="6"/>
      <c r="G250" s="3" t="s">
        <v>44</v>
      </c>
      <c r="H250" s="3" t="s">
        <v>14</v>
      </c>
      <c r="I250" s="3" t="s">
        <v>15</v>
      </c>
    </row>
    <row r="251" spans="1:9" s="3" customFormat="1" x14ac:dyDescent="0.3">
      <c r="A251" s="3" t="s">
        <v>191</v>
      </c>
      <c r="B251" s="3" t="s">
        <v>192</v>
      </c>
      <c r="C251" s="3" t="s">
        <v>18</v>
      </c>
      <c r="D251" s="3" t="s">
        <v>128</v>
      </c>
      <c r="E251" s="6">
        <v>0.44444444444444442</v>
      </c>
      <c r="F251" s="6">
        <v>0.86805555555555558</v>
      </c>
      <c r="G251" s="3" t="s">
        <v>20</v>
      </c>
      <c r="H251" s="3" t="s">
        <v>27</v>
      </c>
      <c r="I251" s="3" t="s">
        <v>15</v>
      </c>
    </row>
    <row r="252" spans="1:9" s="3" customFormat="1" x14ac:dyDescent="0.3">
      <c r="A252" s="3" t="s">
        <v>150</v>
      </c>
      <c r="B252" s="3" t="s">
        <v>151</v>
      </c>
      <c r="C252" s="3" t="s">
        <v>18</v>
      </c>
      <c r="D252" s="3" t="s">
        <v>268</v>
      </c>
      <c r="E252" s="6">
        <v>0.46527777777777779</v>
      </c>
      <c r="F252" s="6">
        <v>0.69652777777777775</v>
      </c>
      <c r="G252" s="3" t="s">
        <v>13</v>
      </c>
      <c r="H252" s="3" t="s">
        <v>27</v>
      </c>
      <c r="I252" s="3" t="s">
        <v>21</v>
      </c>
    </row>
    <row r="253" spans="1:9" s="3" customFormat="1" x14ac:dyDescent="0.3">
      <c r="A253" s="3" t="s">
        <v>216</v>
      </c>
      <c r="B253" s="3" t="s">
        <v>217</v>
      </c>
      <c r="C253" s="3" t="s">
        <v>60</v>
      </c>
      <c r="D253" s="3" t="s">
        <v>311</v>
      </c>
      <c r="E253" s="6">
        <v>0.34513888888888888</v>
      </c>
      <c r="F253" s="6">
        <v>0.83125000000000004</v>
      </c>
      <c r="G253" s="3" t="s">
        <v>20</v>
      </c>
      <c r="H253" s="3" t="s">
        <v>27</v>
      </c>
      <c r="I253" s="3" t="s">
        <v>15</v>
      </c>
    </row>
    <row r="254" spans="1:9" s="3" customFormat="1" x14ac:dyDescent="0.3">
      <c r="A254" s="3" t="s">
        <v>246</v>
      </c>
      <c r="B254" s="3" t="s">
        <v>247</v>
      </c>
      <c r="C254" s="3" t="s">
        <v>18</v>
      </c>
      <c r="D254" s="3" t="s">
        <v>312</v>
      </c>
      <c r="E254" s="6">
        <v>0.45624999999999999</v>
      </c>
      <c r="F254" s="6">
        <v>0.78194444444444444</v>
      </c>
      <c r="G254" s="3" t="s">
        <v>13</v>
      </c>
      <c r="H254" s="3" t="s">
        <v>27</v>
      </c>
      <c r="I254" s="3" t="s">
        <v>21</v>
      </c>
    </row>
    <row r="255" spans="1:9" s="3" customFormat="1" x14ac:dyDescent="0.3">
      <c r="A255" s="3" t="s">
        <v>191</v>
      </c>
      <c r="B255" s="3" t="s">
        <v>192</v>
      </c>
      <c r="C255" s="3" t="s">
        <v>64</v>
      </c>
      <c r="D255" s="3" t="s">
        <v>299</v>
      </c>
      <c r="E255" s="6">
        <v>0.40972222222222221</v>
      </c>
      <c r="F255" s="6">
        <v>0.69722222222222219</v>
      </c>
      <c r="G255" s="3" t="s">
        <v>20</v>
      </c>
      <c r="H255" s="3" t="s">
        <v>14</v>
      </c>
      <c r="I255" s="3" t="s">
        <v>21</v>
      </c>
    </row>
    <row r="256" spans="1:9" s="3" customFormat="1" x14ac:dyDescent="0.3">
      <c r="A256" s="3" t="s">
        <v>9</v>
      </c>
      <c r="B256" s="3" t="s">
        <v>10</v>
      </c>
      <c r="C256" s="3" t="s">
        <v>42</v>
      </c>
      <c r="D256" s="3" t="s">
        <v>313</v>
      </c>
      <c r="E256" s="6">
        <v>0.36944444444444446</v>
      </c>
      <c r="F256" s="6">
        <v>0.7319444444444444</v>
      </c>
      <c r="G256" s="3" t="s">
        <v>20</v>
      </c>
      <c r="H256" s="3" t="s">
        <v>14</v>
      </c>
      <c r="I256" s="3" t="s">
        <v>21</v>
      </c>
    </row>
    <row r="257" spans="1:9" s="3" customFormat="1" x14ac:dyDescent="0.3">
      <c r="A257" s="3" t="s">
        <v>115</v>
      </c>
      <c r="B257" s="3" t="s">
        <v>116</v>
      </c>
      <c r="C257" s="3" t="s">
        <v>60</v>
      </c>
      <c r="D257" s="3" t="s">
        <v>314</v>
      </c>
      <c r="E257" s="6">
        <v>0.45208333333333334</v>
      </c>
      <c r="F257" s="6">
        <v>0.82430555555555551</v>
      </c>
      <c r="G257" s="3" t="s">
        <v>13</v>
      </c>
      <c r="H257" s="3" t="s">
        <v>27</v>
      </c>
      <c r="I257" s="3" t="s">
        <v>21</v>
      </c>
    </row>
    <row r="258" spans="1:9" s="3" customFormat="1" x14ac:dyDescent="0.3">
      <c r="A258" s="3" t="s">
        <v>315</v>
      </c>
      <c r="B258" s="3" t="s">
        <v>316</v>
      </c>
      <c r="C258" s="3" t="s">
        <v>42</v>
      </c>
      <c r="D258" s="3" t="s">
        <v>83</v>
      </c>
      <c r="E258" s="6"/>
      <c r="F258" s="6"/>
      <c r="G258" s="3" t="s">
        <v>44</v>
      </c>
      <c r="H258" s="3" t="s">
        <v>14</v>
      </c>
      <c r="I258" s="3" t="s">
        <v>15</v>
      </c>
    </row>
    <row r="259" spans="1:9" s="3" customFormat="1" x14ac:dyDescent="0.3">
      <c r="A259" s="3" t="s">
        <v>48</v>
      </c>
      <c r="B259" s="3" t="s">
        <v>49</v>
      </c>
      <c r="C259" s="3" t="s">
        <v>24</v>
      </c>
      <c r="D259" s="3" t="s">
        <v>235</v>
      </c>
      <c r="E259" s="6">
        <v>0.4513888888888889</v>
      </c>
      <c r="F259" s="6">
        <v>0.85416666666666663</v>
      </c>
      <c r="G259" s="3" t="s">
        <v>20</v>
      </c>
      <c r="H259" s="3" t="s">
        <v>27</v>
      </c>
      <c r="I259" s="3" t="s">
        <v>21</v>
      </c>
    </row>
    <row r="260" spans="1:9" s="3" customFormat="1" x14ac:dyDescent="0.3">
      <c r="A260" s="3" t="s">
        <v>66</v>
      </c>
      <c r="B260" s="3" t="s">
        <v>67</v>
      </c>
      <c r="C260" s="3" t="s">
        <v>60</v>
      </c>
      <c r="D260" s="3" t="s">
        <v>101</v>
      </c>
      <c r="E260" s="6"/>
      <c r="F260" s="6"/>
      <c r="G260" s="3" t="s">
        <v>44</v>
      </c>
      <c r="H260" s="3" t="s">
        <v>14</v>
      </c>
      <c r="I260" s="3" t="s">
        <v>21</v>
      </c>
    </row>
    <row r="261" spans="1:9" s="3" customFormat="1" x14ac:dyDescent="0.3">
      <c r="A261" s="3" t="s">
        <v>34</v>
      </c>
      <c r="B261" s="3" t="s">
        <v>35</v>
      </c>
      <c r="C261" s="3" t="s">
        <v>42</v>
      </c>
      <c r="D261" s="3" t="s">
        <v>317</v>
      </c>
      <c r="E261" s="6">
        <v>0.375</v>
      </c>
      <c r="F261" s="6">
        <v>0.80277777777777781</v>
      </c>
      <c r="G261" s="3" t="s">
        <v>13</v>
      </c>
      <c r="H261" s="3" t="s">
        <v>14</v>
      </c>
      <c r="I261" s="3" t="s">
        <v>21</v>
      </c>
    </row>
    <row r="262" spans="1:9" s="3" customFormat="1" x14ac:dyDescent="0.3">
      <c r="A262" s="3" t="s">
        <v>134</v>
      </c>
      <c r="B262" s="3" t="s">
        <v>135</v>
      </c>
      <c r="C262" s="3" t="s">
        <v>42</v>
      </c>
      <c r="D262" s="3" t="s">
        <v>318</v>
      </c>
      <c r="E262" s="6">
        <v>0.49513888888888891</v>
      </c>
      <c r="F262" s="6">
        <v>0.69305555555555554</v>
      </c>
      <c r="G262" s="3" t="s">
        <v>26</v>
      </c>
      <c r="H262" s="3" t="s">
        <v>14</v>
      </c>
      <c r="I262" s="3" t="s">
        <v>21</v>
      </c>
    </row>
    <row r="263" spans="1:9" s="3" customFormat="1" x14ac:dyDescent="0.3">
      <c r="A263" s="3" t="s">
        <v>78</v>
      </c>
      <c r="B263" s="3" t="s">
        <v>79</v>
      </c>
      <c r="C263" s="3" t="s">
        <v>18</v>
      </c>
      <c r="D263" s="3" t="s">
        <v>319</v>
      </c>
      <c r="E263" s="6">
        <v>0.38819444444444445</v>
      </c>
      <c r="F263" s="6">
        <v>0.87222222222222223</v>
      </c>
      <c r="G263" s="3" t="s">
        <v>13</v>
      </c>
      <c r="H263" s="3" t="s">
        <v>14</v>
      </c>
      <c r="I263" s="3" t="s">
        <v>15</v>
      </c>
    </row>
    <row r="264" spans="1:9" s="3" customFormat="1" x14ac:dyDescent="0.3">
      <c r="A264" s="3" t="s">
        <v>187</v>
      </c>
      <c r="B264" s="3" t="s">
        <v>188</v>
      </c>
      <c r="C264" s="3" t="s">
        <v>60</v>
      </c>
      <c r="D264" s="3" t="s">
        <v>307</v>
      </c>
      <c r="E264" s="6">
        <v>0.34097222222222223</v>
      </c>
      <c r="F264" s="6">
        <v>0.76527777777777772</v>
      </c>
      <c r="G264" s="3" t="s">
        <v>13</v>
      </c>
      <c r="H264" s="3" t="s">
        <v>14</v>
      </c>
      <c r="I264" s="3" t="s">
        <v>15</v>
      </c>
    </row>
    <row r="265" spans="1:9" s="3" customFormat="1" x14ac:dyDescent="0.3">
      <c r="A265" s="3" t="s">
        <v>87</v>
      </c>
      <c r="B265" s="3" t="s">
        <v>88</v>
      </c>
      <c r="C265" s="3" t="s">
        <v>18</v>
      </c>
      <c r="D265" s="3" t="s">
        <v>320</v>
      </c>
      <c r="E265" s="6">
        <v>0.47916666666666669</v>
      </c>
      <c r="F265" s="6">
        <v>0.70416666666666672</v>
      </c>
      <c r="G265" s="3" t="s">
        <v>13</v>
      </c>
      <c r="H265" s="3" t="s">
        <v>27</v>
      </c>
      <c r="I265" s="3" t="s">
        <v>15</v>
      </c>
    </row>
    <row r="266" spans="1:9" s="3" customFormat="1" x14ac:dyDescent="0.3">
      <c r="A266" s="3" t="s">
        <v>119</v>
      </c>
      <c r="B266" s="3" t="s">
        <v>120</v>
      </c>
      <c r="C266" s="3" t="s">
        <v>64</v>
      </c>
      <c r="D266" s="3" t="s">
        <v>321</v>
      </c>
      <c r="E266" s="6">
        <v>0.35347222222222224</v>
      </c>
      <c r="F266" s="6">
        <v>0.67847222222222225</v>
      </c>
      <c r="G266" s="3" t="s">
        <v>13</v>
      </c>
      <c r="H266" s="3" t="s">
        <v>27</v>
      </c>
      <c r="I266" s="3" t="s">
        <v>21</v>
      </c>
    </row>
    <row r="267" spans="1:9" s="3" customFormat="1" x14ac:dyDescent="0.3">
      <c r="A267" s="3" t="s">
        <v>31</v>
      </c>
      <c r="B267" s="3" t="s">
        <v>32</v>
      </c>
      <c r="C267" s="3" t="s">
        <v>64</v>
      </c>
      <c r="D267" s="3" t="s">
        <v>61</v>
      </c>
      <c r="E267" s="6">
        <v>0.33333333333333331</v>
      </c>
      <c r="F267" s="6">
        <v>0.81736111111111109</v>
      </c>
      <c r="G267" s="3" t="s">
        <v>13</v>
      </c>
      <c r="H267" s="3" t="s">
        <v>14</v>
      </c>
      <c r="I267" s="3" t="s">
        <v>15</v>
      </c>
    </row>
    <row r="268" spans="1:9" s="3" customFormat="1" x14ac:dyDescent="0.3">
      <c r="A268" s="3" t="s">
        <v>16</v>
      </c>
      <c r="B268" s="3" t="s">
        <v>17</v>
      </c>
      <c r="C268" s="3" t="s">
        <v>24</v>
      </c>
      <c r="D268" s="3" t="s">
        <v>322</v>
      </c>
      <c r="E268" s="6"/>
      <c r="F268" s="6"/>
      <c r="G268" s="3" t="s">
        <v>44</v>
      </c>
      <c r="H268" s="3" t="s">
        <v>14</v>
      </c>
      <c r="I268" s="3" t="s">
        <v>15</v>
      </c>
    </row>
    <row r="269" spans="1:9" s="3" customFormat="1" x14ac:dyDescent="0.3">
      <c r="A269" s="3" t="s">
        <v>134</v>
      </c>
      <c r="B269" s="3" t="s">
        <v>135</v>
      </c>
      <c r="C269" s="3" t="s">
        <v>64</v>
      </c>
      <c r="D269" s="3" t="s">
        <v>241</v>
      </c>
      <c r="E269" s="6">
        <v>0.4152777777777778</v>
      </c>
      <c r="F269" s="6">
        <v>0.72222222222222221</v>
      </c>
      <c r="G269" s="3" t="s">
        <v>13</v>
      </c>
      <c r="H269" s="3" t="s">
        <v>14</v>
      </c>
      <c r="I269" s="3" t="s">
        <v>21</v>
      </c>
    </row>
    <row r="270" spans="1:9" s="3" customFormat="1" x14ac:dyDescent="0.3">
      <c r="A270" s="3" t="s">
        <v>109</v>
      </c>
      <c r="B270" s="3" t="s">
        <v>110</v>
      </c>
      <c r="C270" s="3" t="s">
        <v>64</v>
      </c>
      <c r="D270" s="3" t="s">
        <v>323</v>
      </c>
      <c r="E270" s="6"/>
      <c r="F270" s="6"/>
      <c r="G270" s="3" t="s">
        <v>44</v>
      </c>
      <c r="H270" s="3" t="s">
        <v>27</v>
      </c>
      <c r="I270" s="3" t="s">
        <v>15</v>
      </c>
    </row>
    <row r="271" spans="1:9" s="3" customFormat="1" x14ac:dyDescent="0.3">
      <c r="A271" s="3" t="s">
        <v>16</v>
      </c>
      <c r="B271" s="3" t="s">
        <v>17</v>
      </c>
      <c r="C271" s="3" t="s">
        <v>64</v>
      </c>
      <c r="D271" s="3" t="s">
        <v>273</v>
      </c>
      <c r="E271" s="6">
        <v>0.37361111111111112</v>
      </c>
      <c r="F271" s="6">
        <v>0.81597222222222221</v>
      </c>
      <c r="G271" s="3" t="s">
        <v>13</v>
      </c>
      <c r="H271" s="3" t="s">
        <v>14</v>
      </c>
      <c r="I271" s="3" t="s">
        <v>21</v>
      </c>
    </row>
    <row r="272" spans="1:9" s="3" customFormat="1" x14ac:dyDescent="0.3">
      <c r="A272" s="3" t="s">
        <v>93</v>
      </c>
      <c r="B272" s="3" t="s">
        <v>94</v>
      </c>
      <c r="C272" s="3" t="s">
        <v>42</v>
      </c>
      <c r="D272" s="3" t="s">
        <v>206</v>
      </c>
      <c r="E272" s="6">
        <v>0.48819444444444443</v>
      </c>
      <c r="F272" s="6">
        <v>0.8256944444444444</v>
      </c>
      <c r="G272" s="3" t="s">
        <v>26</v>
      </c>
      <c r="H272" s="3" t="s">
        <v>27</v>
      </c>
      <c r="I272" s="3" t="s">
        <v>15</v>
      </c>
    </row>
    <row r="273" spans="1:9" s="3" customFormat="1" x14ac:dyDescent="0.3">
      <c r="A273" s="3" t="s">
        <v>96</v>
      </c>
      <c r="B273" s="3" t="s">
        <v>97</v>
      </c>
      <c r="C273" s="3" t="s">
        <v>24</v>
      </c>
      <c r="D273" s="3" t="s">
        <v>324</v>
      </c>
      <c r="E273" s="6">
        <v>0.38750000000000001</v>
      </c>
      <c r="F273" s="6">
        <v>0.81527777777777777</v>
      </c>
      <c r="G273" s="3" t="s">
        <v>26</v>
      </c>
      <c r="H273" s="3" t="s">
        <v>14</v>
      </c>
      <c r="I273" s="3" t="s">
        <v>21</v>
      </c>
    </row>
    <row r="274" spans="1:9" s="3" customFormat="1" x14ac:dyDescent="0.3">
      <c r="A274" s="3" t="s">
        <v>34</v>
      </c>
      <c r="B274" s="3" t="s">
        <v>35</v>
      </c>
      <c r="C274" s="3" t="s">
        <v>60</v>
      </c>
      <c r="D274" s="3" t="s">
        <v>325</v>
      </c>
      <c r="E274" s="6">
        <v>0.33680555555555558</v>
      </c>
      <c r="F274" s="6">
        <v>0.87361111111111112</v>
      </c>
      <c r="G274" s="3" t="s">
        <v>26</v>
      </c>
      <c r="H274" s="3" t="s">
        <v>14</v>
      </c>
      <c r="I274" s="3" t="s">
        <v>21</v>
      </c>
    </row>
    <row r="275" spans="1:9" s="3" customFormat="1" x14ac:dyDescent="0.3">
      <c r="A275" s="3" t="s">
        <v>72</v>
      </c>
      <c r="B275" s="3" t="s">
        <v>73</v>
      </c>
      <c r="C275" s="3" t="s">
        <v>18</v>
      </c>
      <c r="D275" s="3" t="s">
        <v>326</v>
      </c>
      <c r="E275" s="6">
        <v>0.34652777777777777</v>
      </c>
      <c r="F275" s="6">
        <v>0.68055555555555558</v>
      </c>
      <c r="G275" s="3" t="s">
        <v>26</v>
      </c>
      <c r="H275" s="3" t="s">
        <v>27</v>
      </c>
      <c r="I275" s="3" t="s">
        <v>21</v>
      </c>
    </row>
    <row r="276" spans="1:9" s="3" customFormat="1" x14ac:dyDescent="0.3">
      <c r="A276" s="3" t="s">
        <v>75</v>
      </c>
      <c r="B276" s="3" t="s">
        <v>76</v>
      </c>
      <c r="C276" s="3" t="s">
        <v>18</v>
      </c>
      <c r="D276" s="3" t="s">
        <v>264</v>
      </c>
      <c r="E276" s="6">
        <v>0.40208333333333335</v>
      </c>
      <c r="F276" s="6">
        <v>0.75069444444444444</v>
      </c>
      <c r="G276" s="3" t="s">
        <v>26</v>
      </c>
      <c r="H276" s="3" t="s">
        <v>14</v>
      </c>
      <c r="I276" s="3" t="s">
        <v>21</v>
      </c>
    </row>
    <row r="277" spans="1:9" s="3" customFormat="1" x14ac:dyDescent="0.3">
      <c r="A277" s="3" t="s">
        <v>291</v>
      </c>
      <c r="B277" s="3" t="s">
        <v>292</v>
      </c>
      <c r="C277" s="3" t="s">
        <v>42</v>
      </c>
      <c r="D277" s="3" t="s">
        <v>140</v>
      </c>
      <c r="E277" s="6">
        <v>0.43333333333333335</v>
      </c>
      <c r="F277" s="6">
        <v>0.76875000000000004</v>
      </c>
      <c r="G277" s="3" t="s">
        <v>13</v>
      </c>
      <c r="H277" s="3" t="s">
        <v>14</v>
      </c>
      <c r="I277" s="3" t="s">
        <v>15</v>
      </c>
    </row>
    <row r="278" spans="1:9" s="3" customFormat="1" x14ac:dyDescent="0.3">
      <c r="A278" s="3" t="s">
        <v>22</v>
      </c>
      <c r="B278" s="3" t="s">
        <v>23</v>
      </c>
      <c r="C278" s="3" t="s">
        <v>18</v>
      </c>
      <c r="D278" s="3" t="s">
        <v>256</v>
      </c>
      <c r="E278" s="6">
        <v>0.44930555555555557</v>
      </c>
      <c r="F278" s="6">
        <v>0.67777777777777781</v>
      </c>
      <c r="G278" s="3" t="s">
        <v>20</v>
      </c>
      <c r="H278" s="3" t="s">
        <v>14</v>
      </c>
      <c r="I278" s="3" t="s">
        <v>21</v>
      </c>
    </row>
    <row r="279" spans="1:9" s="3" customFormat="1" x14ac:dyDescent="0.3">
      <c r="A279" s="3" t="s">
        <v>48</v>
      </c>
      <c r="B279" s="3" t="s">
        <v>49</v>
      </c>
      <c r="C279" s="3" t="s">
        <v>24</v>
      </c>
      <c r="D279" s="3" t="s">
        <v>327</v>
      </c>
      <c r="E279" s="6"/>
      <c r="F279" s="6"/>
      <c r="G279" s="3" t="s">
        <v>44</v>
      </c>
      <c r="H279" s="3" t="s">
        <v>27</v>
      </c>
      <c r="I279" s="3" t="s">
        <v>15</v>
      </c>
    </row>
    <row r="280" spans="1:9" s="3" customFormat="1" x14ac:dyDescent="0.3">
      <c r="A280" s="3" t="s">
        <v>102</v>
      </c>
      <c r="B280" s="3" t="s">
        <v>103</v>
      </c>
      <c r="C280" s="3" t="s">
        <v>42</v>
      </c>
      <c r="D280" s="3" t="s">
        <v>328</v>
      </c>
      <c r="E280" s="6"/>
      <c r="F280" s="6"/>
      <c r="G280" s="3" t="s">
        <v>44</v>
      </c>
      <c r="H280" s="3" t="s">
        <v>27</v>
      </c>
      <c r="I280" s="3" t="s">
        <v>21</v>
      </c>
    </row>
    <row r="281" spans="1:9" s="3" customFormat="1" x14ac:dyDescent="0.3">
      <c r="A281" s="3" t="s">
        <v>66</v>
      </c>
      <c r="B281" s="3" t="s">
        <v>67</v>
      </c>
      <c r="C281" s="3" t="s">
        <v>239</v>
      </c>
      <c r="D281" s="3" t="s">
        <v>255</v>
      </c>
      <c r="E281" s="6">
        <v>0.39513888888888887</v>
      </c>
      <c r="F281" s="6">
        <v>0.78472222222222221</v>
      </c>
      <c r="G281" s="3" t="s">
        <v>13</v>
      </c>
      <c r="H281" s="3" t="s">
        <v>27</v>
      </c>
      <c r="I281" s="3" t="s">
        <v>21</v>
      </c>
    </row>
    <row r="282" spans="1:9" s="3" customFormat="1" x14ac:dyDescent="0.3">
      <c r="A282" s="3" t="s">
        <v>78</v>
      </c>
      <c r="B282" s="3" t="s">
        <v>79</v>
      </c>
      <c r="C282" s="3" t="s">
        <v>60</v>
      </c>
      <c r="D282" s="3" t="s">
        <v>280</v>
      </c>
      <c r="E282" s="6">
        <v>0.42916666666666664</v>
      </c>
      <c r="F282" s="6">
        <v>0.77222222222222225</v>
      </c>
      <c r="G282" s="3" t="s">
        <v>13</v>
      </c>
      <c r="H282" s="3" t="s">
        <v>27</v>
      </c>
      <c r="I282" s="3" t="s">
        <v>15</v>
      </c>
    </row>
    <row r="283" spans="1:9" s="3" customFormat="1" x14ac:dyDescent="0.3">
      <c r="A283" s="3" t="s">
        <v>154</v>
      </c>
      <c r="B283" s="3" t="s">
        <v>155</v>
      </c>
      <c r="C283" s="3" t="s">
        <v>60</v>
      </c>
      <c r="D283" s="3" t="s">
        <v>304</v>
      </c>
      <c r="E283" s="6">
        <v>0.38263888888888886</v>
      </c>
      <c r="F283" s="6">
        <v>0.67361111111111116</v>
      </c>
      <c r="G283" s="3" t="s">
        <v>26</v>
      </c>
      <c r="H283" s="3" t="s">
        <v>14</v>
      </c>
      <c r="I283" s="3" t="s">
        <v>15</v>
      </c>
    </row>
    <row r="284" spans="1:9" s="3" customFormat="1" x14ac:dyDescent="0.3">
      <c r="A284" s="3" t="s">
        <v>194</v>
      </c>
      <c r="B284" s="3" t="s">
        <v>195</v>
      </c>
      <c r="C284" s="3" t="s">
        <v>18</v>
      </c>
      <c r="D284" s="3" t="s">
        <v>329</v>
      </c>
      <c r="E284" s="6"/>
      <c r="F284" s="6"/>
      <c r="G284" s="3" t="s">
        <v>44</v>
      </c>
      <c r="H284" s="3" t="s">
        <v>27</v>
      </c>
      <c r="I284" s="3" t="s">
        <v>15</v>
      </c>
    </row>
    <row r="285" spans="1:9" s="3" customFormat="1" x14ac:dyDescent="0.3">
      <c r="A285" s="3" t="s">
        <v>224</v>
      </c>
      <c r="B285" s="3" t="s">
        <v>225</v>
      </c>
      <c r="C285" s="3" t="s">
        <v>60</v>
      </c>
      <c r="D285" s="3" t="s">
        <v>330</v>
      </c>
      <c r="E285" s="6">
        <v>0.47152777777777777</v>
      </c>
      <c r="F285" s="6">
        <v>0.80625000000000002</v>
      </c>
      <c r="G285" s="3" t="s">
        <v>20</v>
      </c>
      <c r="H285" s="3" t="s">
        <v>27</v>
      </c>
      <c r="I285" s="3" t="s">
        <v>21</v>
      </c>
    </row>
    <row r="286" spans="1:9" s="3" customFormat="1" x14ac:dyDescent="0.3">
      <c r="A286" s="3" t="s">
        <v>187</v>
      </c>
      <c r="B286" s="3" t="s">
        <v>188</v>
      </c>
      <c r="C286" s="3" t="s">
        <v>42</v>
      </c>
      <c r="D286" s="3" t="s">
        <v>305</v>
      </c>
      <c r="E286" s="6"/>
      <c r="F286" s="6"/>
      <c r="G286" s="3" t="s">
        <v>44</v>
      </c>
      <c r="H286" s="3" t="s">
        <v>27</v>
      </c>
      <c r="I286" s="3" t="s">
        <v>21</v>
      </c>
    </row>
    <row r="287" spans="1:9" s="3" customFormat="1" x14ac:dyDescent="0.3">
      <c r="A287" s="3" t="s">
        <v>78</v>
      </c>
      <c r="B287" s="3" t="s">
        <v>79</v>
      </c>
      <c r="C287" s="3" t="s">
        <v>64</v>
      </c>
      <c r="D287" s="3" t="s">
        <v>121</v>
      </c>
      <c r="E287" s="6">
        <v>0.39861111111111114</v>
      </c>
      <c r="F287" s="6">
        <v>0.85833333333333328</v>
      </c>
      <c r="G287" s="3" t="s">
        <v>26</v>
      </c>
      <c r="H287" s="3" t="s">
        <v>14</v>
      </c>
      <c r="I287" s="3" t="s">
        <v>15</v>
      </c>
    </row>
    <row r="288" spans="1:9" s="3" customFormat="1" x14ac:dyDescent="0.3">
      <c r="A288" s="3" t="s">
        <v>109</v>
      </c>
      <c r="B288" s="3" t="s">
        <v>110</v>
      </c>
      <c r="C288" s="3" t="s">
        <v>64</v>
      </c>
      <c r="D288" s="3" t="s">
        <v>114</v>
      </c>
      <c r="E288" s="6">
        <v>0.47569444444444442</v>
      </c>
      <c r="F288" s="6">
        <v>0.85347222222222219</v>
      </c>
      <c r="G288" s="3" t="s">
        <v>13</v>
      </c>
      <c r="H288" s="3" t="s">
        <v>27</v>
      </c>
      <c r="I288" s="3" t="s">
        <v>21</v>
      </c>
    </row>
    <row r="289" spans="1:9" s="3" customFormat="1" x14ac:dyDescent="0.3">
      <c r="A289" s="3" t="s">
        <v>122</v>
      </c>
      <c r="B289" s="3" t="s">
        <v>123</v>
      </c>
      <c r="C289" s="3" t="s">
        <v>42</v>
      </c>
      <c r="D289" s="3" t="s">
        <v>189</v>
      </c>
      <c r="E289" s="6">
        <v>0.48402777777777778</v>
      </c>
      <c r="F289" s="6">
        <v>0.82777777777777772</v>
      </c>
      <c r="G289" s="3" t="s">
        <v>20</v>
      </c>
      <c r="H289" s="3" t="s">
        <v>27</v>
      </c>
      <c r="I289" s="3" t="s">
        <v>15</v>
      </c>
    </row>
    <row r="290" spans="1:9" s="3" customFormat="1" x14ac:dyDescent="0.3">
      <c r="A290" s="3" t="s">
        <v>72</v>
      </c>
      <c r="B290" s="3" t="s">
        <v>73</v>
      </c>
      <c r="C290" s="3" t="s">
        <v>60</v>
      </c>
      <c r="D290" s="3" t="s">
        <v>61</v>
      </c>
      <c r="E290" s="6"/>
      <c r="F290" s="6"/>
      <c r="G290" s="3" t="s">
        <v>44</v>
      </c>
      <c r="H290" s="3" t="s">
        <v>27</v>
      </c>
      <c r="I290" s="3" t="s">
        <v>15</v>
      </c>
    </row>
    <row r="291" spans="1:9" s="3" customFormat="1" x14ac:dyDescent="0.3">
      <c r="A291" s="3" t="s">
        <v>216</v>
      </c>
      <c r="B291" s="3" t="s">
        <v>217</v>
      </c>
      <c r="C291" s="3" t="s">
        <v>64</v>
      </c>
      <c r="D291" s="3" t="s">
        <v>326</v>
      </c>
      <c r="E291" s="6">
        <v>0.35069444444444442</v>
      </c>
      <c r="F291" s="6">
        <v>0.85902777777777772</v>
      </c>
      <c r="G291" s="3" t="s">
        <v>13</v>
      </c>
      <c r="H291" s="3" t="s">
        <v>27</v>
      </c>
      <c r="I291" s="3" t="s">
        <v>15</v>
      </c>
    </row>
    <row r="292" spans="1:9" s="3" customFormat="1" x14ac:dyDescent="0.3">
      <c r="A292" s="3" t="s">
        <v>146</v>
      </c>
      <c r="B292" s="3" t="s">
        <v>147</v>
      </c>
      <c r="C292" s="3" t="s">
        <v>42</v>
      </c>
      <c r="D292" s="3" t="s">
        <v>98</v>
      </c>
      <c r="E292" s="6">
        <v>0.49027777777777776</v>
      </c>
      <c r="F292" s="6">
        <v>0.82986111111111116</v>
      </c>
      <c r="G292" s="3" t="s">
        <v>13</v>
      </c>
      <c r="H292" s="3" t="s">
        <v>27</v>
      </c>
      <c r="I292" s="3" t="s">
        <v>21</v>
      </c>
    </row>
    <row r="293" spans="1:9" s="3" customFormat="1" x14ac:dyDescent="0.3">
      <c r="A293" s="3" t="s">
        <v>45</v>
      </c>
      <c r="B293" s="3" t="s">
        <v>46</v>
      </c>
      <c r="C293" s="3" t="s">
        <v>42</v>
      </c>
      <c r="D293" s="3" t="s">
        <v>288</v>
      </c>
      <c r="E293" s="6">
        <v>0.42777777777777776</v>
      </c>
      <c r="F293" s="6">
        <v>0.71875</v>
      </c>
      <c r="G293" s="3" t="s">
        <v>13</v>
      </c>
      <c r="H293" s="3" t="s">
        <v>14</v>
      </c>
      <c r="I293" s="3" t="s">
        <v>21</v>
      </c>
    </row>
    <row r="294" spans="1:9" s="3" customFormat="1" x14ac:dyDescent="0.3">
      <c r="A294" s="3" t="s">
        <v>99</v>
      </c>
      <c r="B294" s="3" t="s">
        <v>100</v>
      </c>
      <c r="C294" s="3" t="s">
        <v>60</v>
      </c>
      <c r="D294" s="3" t="s">
        <v>206</v>
      </c>
      <c r="E294" s="6">
        <v>0.40555555555555556</v>
      </c>
      <c r="F294" s="6">
        <v>0.87013888888888891</v>
      </c>
      <c r="G294" s="3" t="s">
        <v>26</v>
      </c>
      <c r="H294" s="3" t="s">
        <v>14</v>
      </c>
      <c r="I294" s="3" t="s">
        <v>21</v>
      </c>
    </row>
    <row r="295" spans="1:9" s="3" customFormat="1" x14ac:dyDescent="0.3">
      <c r="A295" s="3" t="s">
        <v>115</v>
      </c>
      <c r="B295" s="3" t="s">
        <v>116</v>
      </c>
      <c r="C295" s="3" t="s">
        <v>64</v>
      </c>
      <c r="D295" s="3" t="s">
        <v>153</v>
      </c>
      <c r="E295" s="6">
        <v>0.41597222222222224</v>
      </c>
      <c r="F295" s="6">
        <v>0.73472222222222228</v>
      </c>
      <c r="G295" s="3" t="s">
        <v>26</v>
      </c>
      <c r="H295" s="3" t="s">
        <v>27</v>
      </c>
      <c r="I295" s="3" t="s">
        <v>15</v>
      </c>
    </row>
    <row r="296" spans="1:9" s="3" customFormat="1" x14ac:dyDescent="0.3">
      <c r="A296" s="3" t="s">
        <v>90</v>
      </c>
      <c r="B296" s="3" t="s">
        <v>91</v>
      </c>
      <c r="C296" s="3" t="s">
        <v>60</v>
      </c>
      <c r="D296" s="3" t="s">
        <v>43</v>
      </c>
      <c r="E296" s="6">
        <v>0.43472222222222223</v>
      </c>
      <c r="F296" s="6">
        <v>0.74027777777777781</v>
      </c>
      <c r="G296" s="3" t="s">
        <v>20</v>
      </c>
      <c r="H296" s="3" t="s">
        <v>27</v>
      </c>
      <c r="I296" s="3" t="s">
        <v>15</v>
      </c>
    </row>
    <row r="297" spans="1:9" s="3" customFormat="1" x14ac:dyDescent="0.3">
      <c r="A297" s="3" t="s">
        <v>175</v>
      </c>
      <c r="B297" s="3" t="s">
        <v>176</v>
      </c>
      <c r="C297" s="3" t="s">
        <v>18</v>
      </c>
      <c r="D297" s="3" t="s">
        <v>185</v>
      </c>
      <c r="E297" s="6">
        <v>0.41458333333333336</v>
      </c>
      <c r="F297" s="6">
        <v>0.7944444444444444</v>
      </c>
      <c r="G297" s="3" t="s">
        <v>13</v>
      </c>
      <c r="H297" s="3" t="s">
        <v>27</v>
      </c>
      <c r="I297" s="3" t="s">
        <v>15</v>
      </c>
    </row>
    <row r="298" spans="1:9" s="3" customFormat="1" x14ac:dyDescent="0.3">
      <c r="A298" s="3" t="s">
        <v>115</v>
      </c>
      <c r="B298" s="3" t="s">
        <v>116</v>
      </c>
      <c r="C298" s="3" t="s">
        <v>18</v>
      </c>
      <c r="D298" s="3" t="s">
        <v>331</v>
      </c>
      <c r="E298" s="6">
        <v>0.42222222222222222</v>
      </c>
      <c r="F298" s="6">
        <v>0.67847222222222225</v>
      </c>
      <c r="G298" s="3" t="s">
        <v>20</v>
      </c>
      <c r="H298" s="3" t="s">
        <v>14</v>
      </c>
      <c r="I298" s="3" t="s">
        <v>15</v>
      </c>
    </row>
    <row r="299" spans="1:9" s="3" customFormat="1" x14ac:dyDescent="0.3">
      <c r="A299" s="3" t="s">
        <v>130</v>
      </c>
      <c r="B299" s="3" t="s">
        <v>131</v>
      </c>
      <c r="C299" s="3" t="s">
        <v>64</v>
      </c>
      <c r="D299" s="3" t="s">
        <v>294</v>
      </c>
      <c r="E299" s="6">
        <v>0.4375</v>
      </c>
      <c r="F299" s="6">
        <v>0.71736111111111112</v>
      </c>
      <c r="G299" s="3" t="s">
        <v>20</v>
      </c>
      <c r="H299" s="3" t="s">
        <v>14</v>
      </c>
      <c r="I299" s="3" t="s">
        <v>15</v>
      </c>
    </row>
    <row r="300" spans="1:9" s="3" customFormat="1" x14ac:dyDescent="0.3">
      <c r="A300" s="3" t="s">
        <v>93</v>
      </c>
      <c r="B300" s="3" t="s">
        <v>94</v>
      </c>
      <c r="C300" s="3" t="s">
        <v>64</v>
      </c>
      <c r="D300" s="3" t="s">
        <v>227</v>
      </c>
      <c r="E300" s="6">
        <v>0.47430555555555554</v>
      </c>
      <c r="F300" s="6">
        <v>0.70694444444444449</v>
      </c>
      <c r="G300" s="3" t="s">
        <v>13</v>
      </c>
      <c r="H300" s="3" t="s">
        <v>14</v>
      </c>
      <c r="I300" s="3" t="s">
        <v>21</v>
      </c>
    </row>
    <row r="301" spans="1:9" s="3" customFormat="1" x14ac:dyDescent="0.3">
      <c r="A301" s="3" t="s">
        <v>138</v>
      </c>
      <c r="B301" s="3" t="s">
        <v>139</v>
      </c>
      <c r="C301" s="3" t="s">
        <v>64</v>
      </c>
      <c r="D301" s="3" t="s">
        <v>54</v>
      </c>
      <c r="E301" s="6"/>
      <c r="F301" s="6"/>
      <c r="G301" s="3" t="s">
        <v>44</v>
      </c>
      <c r="H301" s="3" t="s">
        <v>14</v>
      </c>
      <c r="I301" s="3" t="s">
        <v>21</v>
      </c>
    </row>
    <row r="302" spans="1:9" s="3" customFormat="1" x14ac:dyDescent="0.3">
      <c r="A302" s="3" t="s">
        <v>236</v>
      </c>
      <c r="B302" s="3" t="s">
        <v>237</v>
      </c>
      <c r="C302" s="3" t="s">
        <v>239</v>
      </c>
      <c r="D302" s="3" t="s">
        <v>332</v>
      </c>
      <c r="E302" s="6">
        <v>0.38194444444444442</v>
      </c>
      <c r="F302" s="6">
        <v>0.82430555555555551</v>
      </c>
      <c r="G302" s="3" t="s">
        <v>13</v>
      </c>
      <c r="H302" s="3" t="s">
        <v>27</v>
      </c>
      <c r="I302" s="3" t="s">
        <v>21</v>
      </c>
    </row>
    <row r="303" spans="1:9" s="3" customFormat="1" x14ac:dyDescent="0.3">
      <c r="A303" s="3" t="s">
        <v>204</v>
      </c>
      <c r="B303" s="3" t="s">
        <v>205</v>
      </c>
      <c r="C303" s="3" t="s">
        <v>60</v>
      </c>
      <c r="D303" s="3" t="s">
        <v>169</v>
      </c>
      <c r="E303" s="6">
        <v>0.37152777777777779</v>
      </c>
      <c r="F303" s="6">
        <v>0.80625000000000002</v>
      </c>
      <c r="G303" s="3" t="s">
        <v>26</v>
      </c>
      <c r="H303" s="3" t="s">
        <v>14</v>
      </c>
      <c r="I303" s="3" t="s">
        <v>21</v>
      </c>
    </row>
    <row r="304" spans="1:9" s="3" customFormat="1" x14ac:dyDescent="0.3">
      <c r="A304" s="3" t="s">
        <v>90</v>
      </c>
      <c r="B304" s="3" t="s">
        <v>91</v>
      </c>
      <c r="C304" s="3" t="s">
        <v>42</v>
      </c>
      <c r="D304" s="3" t="s">
        <v>284</v>
      </c>
      <c r="E304" s="6"/>
      <c r="F304" s="6"/>
      <c r="G304" s="3" t="s">
        <v>44</v>
      </c>
      <c r="H304" s="3" t="s">
        <v>27</v>
      </c>
      <c r="I304" s="3" t="s">
        <v>15</v>
      </c>
    </row>
    <row r="305" spans="1:9" s="3" customFormat="1" x14ac:dyDescent="0.3">
      <c r="A305" s="3" t="s">
        <v>109</v>
      </c>
      <c r="B305" s="3" t="s">
        <v>110</v>
      </c>
      <c r="C305" s="3" t="s">
        <v>64</v>
      </c>
      <c r="D305" s="3" t="s">
        <v>293</v>
      </c>
      <c r="E305" s="6">
        <v>0.41875000000000001</v>
      </c>
      <c r="F305" s="6">
        <v>0.8618055555555556</v>
      </c>
      <c r="G305" s="3" t="s">
        <v>26</v>
      </c>
      <c r="H305" s="3" t="s">
        <v>27</v>
      </c>
      <c r="I305" s="3" t="s">
        <v>21</v>
      </c>
    </row>
    <row r="306" spans="1:9" s="3" customFormat="1" x14ac:dyDescent="0.3">
      <c r="A306" s="3" t="s">
        <v>66</v>
      </c>
      <c r="B306" s="3" t="s">
        <v>67</v>
      </c>
      <c r="C306" s="3" t="s">
        <v>42</v>
      </c>
      <c r="D306" s="3" t="s">
        <v>333</v>
      </c>
      <c r="E306" s="6">
        <v>0.49791666666666667</v>
      </c>
      <c r="F306" s="6">
        <v>0.75902777777777775</v>
      </c>
      <c r="G306" s="3" t="s">
        <v>26</v>
      </c>
      <c r="H306" s="3" t="s">
        <v>14</v>
      </c>
      <c r="I306" s="3" t="s">
        <v>21</v>
      </c>
    </row>
    <row r="307" spans="1:9" s="3" customFormat="1" x14ac:dyDescent="0.3">
      <c r="A307" s="3" t="s">
        <v>109</v>
      </c>
      <c r="B307" s="3" t="s">
        <v>110</v>
      </c>
      <c r="C307" s="3" t="s">
        <v>24</v>
      </c>
      <c r="D307" s="3" t="s">
        <v>332</v>
      </c>
      <c r="E307" s="6">
        <v>0.3972222222222222</v>
      </c>
      <c r="F307" s="6">
        <v>0.85624999999999996</v>
      </c>
      <c r="G307" s="3" t="s">
        <v>13</v>
      </c>
      <c r="H307" s="3" t="s">
        <v>27</v>
      </c>
      <c r="I307" s="3" t="s">
        <v>21</v>
      </c>
    </row>
    <row r="308" spans="1:9" s="3" customFormat="1" x14ac:dyDescent="0.3">
      <c r="A308" s="3" t="s">
        <v>146</v>
      </c>
      <c r="B308" s="3" t="s">
        <v>147</v>
      </c>
      <c r="C308" s="3" t="s">
        <v>42</v>
      </c>
      <c r="D308" s="3" t="s">
        <v>257</v>
      </c>
      <c r="E308" s="6">
        <v>0.47638888888888886</v>
      </c>
      <c r="F308" s="6">
        <v>0.82916666666666672</v>
      </c>
      <c r="G308" s="3" t="s">
        <v>13</v>
      </c>
      <c r="H308" s="3" t="s">
        <v>14</v>
      </c>
      <c r="I308" s="3" t="s">
        <v>21</v>
      </c>
    </row>
    <row r="309" spans="1:9" s="3" customFormat="1" x14ac:dyDescent="0.3">
      <c r="A309" s="3" t="s">
        <v>55</v>
      </c>
      <c r="B309" s="3" t="s">
        <v>56</v>
      </c>
      <c r="C309" s="3" t="s">
        <v>60</v>
      </c>
      <c r="D309" s="3" t="s">
        <v>107</v>
      </c>
      <c r="E309" s="6">
        <v>0.43055555555555558</v>
      </c>
      <c r="F309" s="6">
        <v>0.75763888888888886</v>
      </c>
      <c r="G309" s="3" t="s">
        <v>26</v>
      </c>
      <c r="H309" s="3" t="s">
        <v>14</v>
      </c>
      <c r="I309" s="3" t="s">
        <v>15</v>
      </c>
    </row>
    <row r="310" spans="1:9" s="3" customFormat="1" x14ac:dyDescent="0.3">
      <c r="A310" s="3" t="s">
        <v>75</v>
      </c>
      <c r="B310" s="3" t="s">
        <v>76</v>
      </c>
      <c r="C310" s="3" t="s">
        <v>60</v>
      </c>
      <c r="D310" s="3" t="s">
        <v>206</v>
      </c>
      <c r="E310" s="6">
        <v>0.41111111111111109</v>
      </c>
      <c r="F310" s="6">
        <v>0.85833333333333328</v>
      </c>
      <c r="G310" s="3" t="s">
        <v>20</v>
      </c>
      <c r="H310" s="3" t="s">
        <v>27</v>
      </c>
      <c r="I310" s="3" t="s">
        <v>15</v>
      </c>
    </row>
    <row r="311" spans="1:9" s="3" customFormat="1" x14ac:dyDescent="0.3">
      <c r="A311" s="3" t="s">
        <v>246</v>
      </c>
      <c r="B311" s="3" t="s">
        <v>247</v>
      </c>
      <c r="C311" s="3" t="s">
        <v>24</v>
      </c>
      <c r="D311" s="3" t="s">
        <v>334</v>
      </c>
      <c r="E311" s="6">
        <v>0.35</v>
      </c>
      <c r="F311" s="6">
        <v>0.76180555555555551</v>
      </c>
      <c r="G311" s="3" t="s">
        <v>26</v>
      </c>
      <c r="H311" s="3" t="s">
        <v>14</v>
      </c>
      <c r="I311" s="3" t="s">
        <v>15</v>
      </c>
    </row>
    <row r="312" spans="1:9" s="3" customFormat="1" x14ac:dyDescent="0.3">
      <c r="A312" s="3" t="s">
        <v>157</v>
      </c>
      <c r="B312" s="3" t="s">
        <v>158</v>
      </c>
      <c r="C312" s="3" t="s">
        <v>18</v>
      </c>
      <c r="D312" s="3" t="s">
        <v>307</v>
      </c>
      <c r="E312" s="6">
        <v>0.40208333333333335</v>
      </c>
      <c r="F312" s="6">
        <v>0.71736111111111112</v>
      </c>
      <c r="G312" s="3" t="s">
        <v>26</v>
      </c>
      <c r="H312" s="3" t="s">
        <v>14</v>
      </c>
      <c r="I312" s="3" t="s">
        <v>21</v>
      </c>
    </row>
    <row r="313" spans="1:9" s="3" customFormat="1" x14ac:dyDescent="0.3">
      <c r="A313" s="3" t="s">
        <v>58</v>
      </c>
      <c r="B313" s="3" t="s">
        <v>59</v>
      </c>
      <c r="C313" s="3" t="s">
        <v>60</v>
      </c>
      <c r="D313" s="3" t="s">
        <v>332</v>
      </c>
      <c r="E313" s="6">
        <v>0.37569444444444444</v>
      </c>
      <c r="F313" s="6">
        <v>0.78680555555555554</v>
      </c>
      <c r="G313" s="3" t="s">
        <v>26</v>
      </c>
      <c r="H313" s="3" t="s">
        <v>14</v>
      </c>
      <c r="I313" s="3" t="s">
        <v>21</v>
      </c>
    </row>
    <row r="314" spans="1:9" s="3" customFormat="1" x14ac:dyDescent="0.3">
      <c r="A314" s="3" t="s">
        <v>150</v>
      </c>
      <c r="B314" s="3" t="s">
        <v>151</v>
      </c>
      <c r="C314" s="3" t="s">
        <v>24</v>
      </c>
      <c r="D314" s="3" t="s">
        <v>335</v>
      </c>
      <c r="E314" s="6">
        <v>0.39027777777777778</v>
      </c>
      <c r="F314" s="6">
        <v>0.72499999999999998</v>
      </c>
      <c r="G314" s="3" t="s">
        <v>13</v>
      </c>
      <c r="H314" s="3" t="s">
        <v>14</v>
      </c>
      <c r="I314" s="3" t="s">
        <v>15</v>
      </c>
    </row>
    <row r="315" spans="1:9" s="3" customFormat="1" x14ac:dyDescent="0.3">
      <c r="A315" s="3" t="s">
        <v>194</v>
      </c>
      <c r="B315" s="3" t="s">
        <v>195</v>
      </c>
      <c r="C315" s="3" t="s">
        <v>60</v>
      </c>
      <c r="D315" s="3" t="s">
        <v>47</v>
      </c>
      <c r="E315" s="6"/>
      <c r="F315" s="6"/>
      <c r="G315" s="3" t="s">
        <v>44</v>
      </c>
      <c r="H315" s="3" t="s">
        <v>27</v>
      </c>
      <c r="I315" s="3" t="s">
        <v>15</v>
      </c>
    </row>
    <row r="316" spans="1:9" s="3" customFormat="1" x14ac:dyDescent="0.3">
      <c r="A316" s="3" t="s">
        <v>45</v>
      </c>
      <c r="B316" s="3" t="s">
        <v>46</v>
      </c>
      <c r="C316" s="3" t="s">
        <v>24</v>
      </c>
      <c r="D316" s="3" t="s">
        <v>336</v>
      </c>
      <c r="E316" s="6">
        <v>0.47361111111111109</v>
      </c>
      <c r="F316" s="6">
        <v>0.84791666666666665</v>
      </c>
      <c r="G316" s="3" t="s">
        <v>26</v>
      </c>
      <c r="H316" s="3" t="s">
        <v>14</v>
      </c>
      <c r="I316" s="3" t="s">
        <v>21</v>
      </c>
    </row>
    <row r="317" spans="1:9" s="3" customFormat="1" x14ac:dyDescent="0.3">
      <c r="A317" s="3" t="s">
        <v>93</v>
      </c>
      <c r="B317" s="3" t="s">
        <v>94</v>
      </c>
      <c r="C317" s="3" t="s">
        <v>18</v>
      </c>
      <c r="D317" s="3" t="s">
        <v>222</v>
      </c>
      <c r="E317" s="6"/>
      <c r="F317" s="6"/>
      <c r="G317" s="3" t="s">
        <v>44</v>
      </c>
      <c r="H317" s="3" t="s">
        <v>14</v>
      </c>
      <c r="I317" s="3" t="s">
        <v>15</v>
      </c>
    </row>
    <row r="318" spans="1:9" s="3" customFormat="1" x14ac:dyDescent="0.3">
      <c r="A318" s="3" t="s">
        <v>34</v>
      </c>
      <c r="B318" s="3" t="s">
        <v>35</v>
      </c>
      <c r="C318" s="3" t="s">
        <v>24</v>
      </c>
      <c r="D318" s="3" t="s">
        <v>219</v>
      </c>
      <c r="E318" s="6">
        <v>0.39444444444444443</v>
      </c>
      <c r="F318" s="6">
        <v>0.7104166666666667</v>
      </c>
      <c r="G318" s="3" t="s">
        <v>13</v>
      </c>
      <c r="H318" s="3" t="s">
        <v>14</v>
      </c>
      <c r="I318" s="3" t="s">
        <v>15</v>
      </c>
    </row>
    <row r="319" spans="1:9" s="3" customFormat="1" x14ac:dyDescent="0.3">
      <c r="A319" s="3" t="s">
        <v>204</v>
      </c>
      <c r="B319" s="3" t="s">
        <v>205</v>
      </c>
      <c r="C319" s="3" t="s">
        <v>42</v>
      </c>
      <c r="D319" s="3" t="s">
        <v>124</v>
      </c>
      <c r="E319" s="6">
        <v>0.36319444444444443</v>
      </c>
      <c r="F319" s="6">
        <v>0.72499999999999998</v>
      </c>
      <c r="G319" s="3" t="s">
        <v>13</v>
      </c>
      <c r="H319" s="3" t="s">
        <v>14</v>
      </c>
      <c r="I319" s="3" t="s">
        <v>21</v>
      </c>
    </row>
    <row r="320" spans="1:9" s="3" customFormat="1" x14ac:dyDescent="0.3">
      <c r="A320" s="3" t="s">
        <v>87</v>
      </c>
      <c r="B320" s="3" t="s">
        <v>88</v>
      </c>
      <c r="C320" s="3" t="s">
        <v>60</v>
      </c>
      <c r="D320" s="3" t="s">
        <v>337</v>
      </c>
      <c r="E320" s="6">
        <v>0.34652777777777777</v>
      </c>
      <c r="F320" s="6">
        <v>0.75694444444444442</v>
      </c>
      <c r="G320" s="3" t="s">
        <v>26</v>
      </c>
      <c r="H320" s="3" t="s">
        <v>27</v>
      </c>
      <c r="I320" s="3" t="s">
        <v>21</v>
      </c>
    </row>
    <row r="321" spans="1:9" s="3" customFormat="1" x14ac:dyDescent="0.3">
      <c r="A321" s="3" t="s">
        <v>224</v>
      </c>
      <c r="B321" s="3" t="s">
        <v>225</v>
      </c>
      <c r="C321" s="3" t="s">
        <v>60</v>
      </c>
      <c r="D321" s="3" t="s">
        <v>287</v>
      </c>
      <c r="E321" s="6">
        <v>0.36458333333333331</v>
      </c>
      <c r="F321" s="6">
        <v>0.81388888888888888</v>
      </c>
      <c r="G321" s="3" t="s">
        <v>13</v>
      </c>
      <c r="H321" s="3" t="s">
        <v>14</v>
      </c>
      <c r="I321" s="3" t="s">
        <v>21</v>
      </c>
    </row>
    <row r="322" spans="1:9" s="3" customFormat="1" x14ac:dyDescent="0.3">
      <c r="A322" s="3" t="s">
        <v>130</v>
      </c>
      <c r="B322" s="3" t="s">
        <v>131</v>
      </c>
      <c r="C322" s="3" t="s">
        <v>60</v>
      </c>
      <c r="D322" s="3" t="s">
        <v>219</v>
      </c>
      <c r="E322" s="6">
        <v>0.41388888888888886</v>
      </c>
      <c r="F322" s="6">
        <v>0.80277777777777781</v>
      </c>
      <c r="G322" s="3" t="s">
        <v>26</v>
      </c>
      <c r="H322" s="3" t="s">
        <v>27</v>
      </c>
      <c r="I322" s="3" t="s">
        <v>15</v>
      </c>
    </row>
    <row r="323" spans="1:9" s="3" customFormat="1" x14ac:dyDescent="0.3">
      <c r="A323" s="3" t="s">
        <v>109</v>
      </c>
      <c r="B323" s="3" t="s">
        <v>110</v>
      </c>
      <c r="C323" s="3" t="s">
        <v>64</v>
      </c>
      <c r="D323" s="3" t="s">
        <v>106</v>
      </c>
      <c r="E323" s="6">
        <v>0.47986111111111113</v>
      </c>
      <c r="F323" s="6">
        <v>0.84861111111111109</v>
      </c>
      <c r="G323" s="3" t="s">
        <v>13</v>
      </c>
      <c r="H323" s="3" t="s">
        <v>14</v>
      </c>
      <c r="I323" s="3" t="s">
        <v>15</v>
      </c>
    </row>
    <row r="324" spans="1:9" s="3" customFormat="1" x14ac:dyDescent="0.3">
      <c r="A324" s="3" t="s">
        <v>141</v>
      </c>
      <c r="B324" s="3" t="s">
        <v>142</v>
      </c>
      <c r="C324" s="3" t="s">
        <v>60</v>
      </c>
      <c r="D324" s="3" t="s">
        <v>243</v>
      </c>
      <c r="E324" s="6">
        <v>0.35694444444444445</v>
      </c>
      <c r="F324" s="6">
        <v>0.74236111111111114</v>
      </c>
      <c r="G324" s="3" t="s">
        <v>13</v>
      </c>
      <c r="H324" s="3" t="s">
        <v>14</v>
      </c>
      <c r="I324" s="3" t="s">
        <v>15</v>
      </c>
    </row>
    <row r="325" spans="1:9" s="3" customFormat="1" x14ac:dyDescent="0.3">
      <c r="A325" s="3" t="s">
        <v>138</v>
      </c>
      <c r="B325" s="3" t="s">
        <v>139</v>
      </c>
      <c r="C325" s="3" t="s">
        <v>64</v>
      </c>
      <c r="D325" s="3" t="s">
        <v>25</v>
      </c>
      <c r="E325" s="6">
        <v>0.37430555555555556</v>
      </c>
      <c r="F325" s="6">
        <v>0.71666666666666667</v>
      </c>
      <c r="G325" s="3" t="s">
        <v>20</v>
      </c>
      <c r="H325" s="3" t="s">
        <v>27</v>
      </c>
      <c r="I325" s="3" t="s">
        <v>21</v>
      </c>
    </row>
    <row r="326" spans="1:9" s="3" customFormat="1" x14ac:dyDescent="0.3">
      <c r="A326" s="3" t="s">
        <v>40</v>
      </c>
      <c r="B326" s="3" t="s">
        <v>41</v>
      </c>
      <c r="C326" s="3" t="s">
        <v>60</v>
      </c>
      <c r="D326" s="3" t="s">
        <v>253</v>
      </c>
      <c r="E326" s="6"/>
      <c r="F326" s="6"/>
      <c r="G326" s="3" t="s">
        <v>44</v>
      </c>
      <c r="H326" s="3" t="s">
        <v>27</v>
      </c>
      <c r="I326" s="3" t="s">
        <v>15</v>
      </c>
    </row>
    <row r="327" spans="1:9" s="3" customFormat="1" x14ac:dyDescent="0.3">
      <c r="A327" s="3" t="s">
        <v>194</v>
      </c>
      <c r="B327" s="3" t="s">
        <v>195</v>
      </c>
      <c r="C327" s="3" t="s">
        <v>42</v>
      </c>
      <c r="D327" s="3" t="s">
        <v>161</v>
      </c>
      <c r="E327" s="6"/>
      <c r="F327" s="6"/>
      <c r="G327" s="3" t="s">
        <v>44</v>
      </c>
      <c r="H327" s="3" t="s">
        <v>14</v>
      </c>
      <c r="I327" s="3" t="s">
        <v>15</v>
      </c>
    </row>
    <row r="328" spans="1:9" s="3" customFormat="1" x14ac:dyDescent="0.3">
      <c r="A328" s="3" t="s">
        <v>338</v>
      </c>
      <c r="B328" s="3" t="s">
        <v>339</v>
      </c>
      <c r="C328" s="3" t="s">
        <v>60</v>
      </c>
      <c r="D328" s="3" t="s">
        <v>340</v>
      </c>
      <c r="E328" s="6">
        <v>0.39097222222222222</v>
      </c>
      <c r="F328" s="6">
        <v>0.70138888888888884</v>
      </c>
      <c r="G328" s="3" t="s">
        <v>13</v>
      </c>
      <c r="H328" s="3" t="s">
        <v>27</v>
      </c>
      <c r="I328" s="3" t="s">
        <v>15</v>
      </c>
    </row>
    <row r="329" spans="1:9" s="3" customFormat="1" x14ac:dyDescent="0.3">
      <c r="A329" s="3" t="s">
        <v>224</v>
      </c>
      <c r="B329" s="3" t="s">
        <v>225</v>
      </c>
      <c r="C329" s="3" t="s">
        <v>18</v>
      </c>
      <c r="D329" s="3" t="s">
        <v>273</v>
      </c>
      <c r="E329" s="6"/>
      <c r="F329" s="6"/>
      <c r="G329" s="3" t="s">
        <v>44</v>
      </c>
      <c r="H329" s="3" t="s">
        <v>14</v>
      </c>
      <c r="I329" s="3" t="s">
        <v>15</v>
      </c>
    </row>
    <row r="330" spans="1:9" s="3" customFormat="1" x14ac:dyDescent="0.3">
      <c r="A330" s="3" t="s">
        <v>138</v>
      </c>
      <c r="B330" s="3" t="s">
        <v>139</v>
      </c>
      <c r="C330" s="3" t="s">
        <v>64</v>
      </c>
      <c r="D330" s="3" t="s">
        <v>283</v>
      </c>
      <c r="E330" s="6">
        <v>0.47222222222222221</v>
      </c>
      <c r="F330" s="6">
        <v>0.79652777777777772</v>
      </c>
      <c r="G330" s="3" t="s">
        <v>13</v>
      </c>
      <c r="H330" s="3" t="s">
        <v>14</v>
      </c>
      <c r="I330" s="3" t="s">
        <v>15</v>
      </c>
    </row>
    <row r="331" spans="1:9" s="3" customFormat="1" x14ac:dyDescent="0.3">
      <c r="A331" s="3" t="s">
        <v>34</v>
      </c>
      <c r="B331" s="3" t="s">
        <v>35</v>
      </c>
      <c r="C331" s="3" t="s">
        <v>18</v>
      </c>
      <c r="D331" s="3" t="s">
        <v>314</v>
      </c>
      <c r="E331" s="6"/>
      <c r="F331" s="6"/>
      <c r="G331" s="3" t="s">
        <v>44</v>
      </c>
      <c r="H331" s="3" t="s">
        <v>14</v>
      </c>
      <c r="I331" s="3" t="s">
        <v>15</v>
      </c>
    </row>
    <row r="332" spans="1:9" s="3" customFormat="1" x14ac:dyDescent="0.3">
      <c r="A332" s="3" t="s">
        <v>72</v>
      </c>
      <c r="B332" s="3" t="s">
        <v>73</v>
      </c>
      <c r="C332" s="3" t="s">
        <v>24</v>
      </c>
      <c r="D332" s="3" t="s">
        <v>282</v>
      </c>
      <c r="E332" s="6"/>
      <c r="F332" s="6"/>
      <c r="G332" s="3" t="s">
        <v>44</v>
      </c>
      <c r="H332" s="3" t="s">
        <v>14</v>
      </c>
      <c r="I332" s="3" t="s">
        <v>15</v>
      </c>
    </row>
    <row r="333" spans="1:9" s="3" customFormat="1" x14ac:dyDescent="0.3">
      <c r="A333" s="3" t="s">
        <v>291</v>
      </c>
      <c r="B333" s="3" t="s">
        <v>292</v>
      </c>
      <c r="C333" s="3" t="s">
        <v>64</v>
      </c>
      <c r="D333" s="3" t="s">
        <v>43</v>
      </c>
      <c r="E333" s="6"/>
      <c r="F333" s="6"/>
      <c r="G333" s="3" t="s">
        <v>44</v>
      </c>
      <c r="H333" s="3" t="s">
        <v>14</v>
      </c>
      <c r="I333" s="3" t="s">
        <v>15</v>
      </c>
    </row>
    <row r="334" spans="1:9" s="3" customFormat="1" x14ac:dyDescent="0.3">
      <c r="A334" s="3" t="s">
        <v>22</v>
      </c>
      <c r="B334" s="3" t="s">
        <v>23</v>
      </c>
      <c r="C334" s="3" t="s">
        <v>64</v>
      </c>
      <c r="D334" s="3" t="s">
        <v>54</v>
      </c>
      <c r="E334" s="6">
        <v>0.36041666666666666</v>
      </c>
      <c r="F334" s="6">
        <v>0.71180555555555558</v>
      </c>
      <c r="G334" s="3" t="s">
        <v>13</v>
      </c>
      <c r="H334" s="3" t="s">
        <v>27</v>
      </c>
      <c r="I334" s="3" t="s">
        <v>15</v>
      </c>
    </row>
    <row r="335" spans="1:9" s="3" customFormat="1" x14ac:dyDescent="0.3">
      <c r="A335" s="3" t="s">
        <v>213</v>
      </c>
      <c r="B335" s="3" t="s">
        <v>214</v>
      </c>
      <c r="C335" s="3" t="s">
        <v>60</v>
      </c>
      <c r="D335" s="3" t="s">
        <v>162</v>
      </c>
      <c r="E335" s="6">
        <v>0.40208333333333335</v>
      </c>
      <c r="F335" s="6">
        <v>0.69791666666666663</v>
      </c>
      <c r="G335" s="3" t="s">
        <v>13</v>
      </c>
      <c r="H335" s="3" t="s">
        <v>14</v>
      </c>
      <c r="I335" s="3" t="s">
        <v>21</v>
      </c>
    </row>
    <row r="336" spans="1:9" s="3" customFormat="1" x14ac:dyDescent="0.3">
      <c r="A336" s="3" t="s">
        <v>115</v>
      </c>
      <c r="B336" s="3" t="s">
        <v>116</v>
      </c>
      <c r="C336" s="3" t="s">
        <v>24</v>
      </c>
      <c r="D336" s="3" t="s">
        <v>297</v>
      </c>
      <c r="E336" s="6">
        <v>0.35486111111111113</v>
      </c>
      <c r="F336" s="6">
        <v>0.70833333333333337</v>
      </c>
      <c r="G336" s="3" t="s">
        <v>20</v>
      </c>
      <c r="H336" s="3" t="s">
        <v>27</v>
      </c>
      <c r="I336" s="3" t="s">
        <v>15</v>
      </c>
    </row>
    <row r="337" spans="1:9" s="3" customFormat="1" x14ac:dyDescent="0.3">
      <c r="A337" s="3" t="s">
        <v>194</v>
      </c>
      <c r="B337" s="3" t="s">
        <v>195</v>
      </c>
      <c r="C337" s="3" t="s">
        <v>60</v>
      </c>
      <c r="D337" s="3" t="s">
        <v>162</v>
      </c>
      <c r="E337" s="6">
        <v>0.37986111111111109</v>
      </c>
      <c r="F337" s="6">
        <v>0.69305555555555554</v>
      </c>
      <c r="G337" s="3" t="s">
        <v>26</v>
      </c>
      <c r="H337" s="3" t="s">
        <v>14</v>
      </c>
      <c r="I337" s="3" t="s">
        <v>15</v>
      </c>
    </row>
    <row r="338" spans="1:9" s="3" customFormat="1" x14ac:dyDescent="0.3">
      <c r="A338" s="3" t="s">
        <v>122</v>
      </c>
      <c r="B338" s="3" t="s">
        <v>123</v>
      </c>
      <c r="C338" s="3" t="s">
        <v>18</v>
      </c>
      <c r="D338" s="3" t="s">
        <v>293</v>
      </c>
      <c r="E338" s="6">
        <v>0.48402777777777778</v>
      </c>
      <c r="F338" s="6">
        <v>0.67500000000000004</v>
      </c>
      <c r="G338" s="3" t="s">
        <v>20</v>
      </c>
      <c r="H338" s="3" t="s">
        <v>14</v>
      </c>
      <c r="I338" s="3" t="s">
        <v>15</v>
      </c>
    </row>
    <row r="339" spans="1:9" s="3" customFormat="1" x14ac:dyDescent="0.3">
      <c r="A339" s="3" t="s">
        <v>93</v>
      </c>
      <c r="B339" s="3" t="s">
        <v>94</v>
      </c>
      <c r="C339" s="3" t="s">
        <v>60</v>
      </c>
      <c r="D339" s="3" t="s">
        <v>341</v>
      </c>
      <c r="E339" s="6">
        <v>0.3923611111111111</v>
      </c>
      <c r="F339" s="6">
        <v>0.81458333333333333</v>
      </c>
      <c r="G339" s="3" t="s">
        <v>274</v>
      </c>
      <c r="H339" s="3" t="s">
        <v>27</v>
      </c>
      <c r="I339" s="3" t="s">
        <v>21</v>
      </c>
    </row>
    <row r="340" spans="1:9" s="3" customFormat="1" x14ac:dyDescent="0.3">
      <c r="A340" s="3" t="s">
        <v>134</v>
      </c>
      <c r="B340" s="3" t="s">
        <v>135</v>
      </c>
      <c r="C340" s="3" t="s">
        <v>60</v>
      </c>
      <c r="D340" s="3" t="s">
        <v>342</v>
      </c>
      <c r="E340" s="6">
        <v>0.34930555555555554</v>
      </c>
      <c r="F340" s="6">
        <v>0.81319444444444444</v>
      </c>
      <c r="G340" s="3" t="s">
        <v>13</v>
      </c>
      <c r="H340" s="3" t="s">
        <v>14</v>
      </c>
      <c r="I340" s="3" t="s">
        <v>15</v>
      </c>
    </row>
    <row r="341" spans="1:9" s="3" customFormat="1" x14ac:dyDescent="0.3">
      <c r="A341" s="3" t="s">
        <v>90</v>
      </c>
      <c r="B341" s="3" t="s">
        <v>91</v>
      </c>
      <c r="C341" s="3" t="s">
        <v>64</v>
      </c>
      <c r="D341" s="3" t="s">
        <v>343</v>
      </c>
      <c r="E341" s="6">
        <v>0.37638888888888888</v>
      </c>
      <c r="F341" s="6">
        <v>0.82777777777777772</v>
      </c>
      <c r="G341" s="3" t="s">
        <v>20</v>
      </c>
      <c r="H341" s="3" t="s">
        <v>14</v>
      </c>
      <c r="I341" s="3" t="s">
        <v>15</v>
      </c>
    </row>
    <row r="342" spans="1:9" s="3" customFormat="1" x14ac:dyDescent="0.3">
      <c r="A342" s="3" t="s">
        <v>75</v>
      </c>
      <c r="B342" s="3" t="s">
        <v>76</v>
      </c>
      <c r="C342" s="3" t="s">
        <v>60</v>
      </c>
      <c r="D342" s="3" t="s">
        <v>344</v>
      </c>
      <c r="E342" s="6">
        <v>0.40069444444444446</v>
      </c>
      <c r="F342" s="6">
        <v>0.73611111111111116</v>
      </c>
      <c r="G342" s="3" t="s">
        <v>20</v>
      </c>
      <c r="H342" s="3" t="s">
        <v>14</v>
      </c>
      <c r="I342" s="3" t="s">
        <v>15</v>
      </c>
    </row>
    <row r="343" spans="1:9" s="3" customFormat="1" x14ac:dyDescent="0.3">
      <c r="A343" s="3" t="s">
        <v>171</v>
      </c>
      <c r="B343" s="3" t="s">
        <v>172</v>
      </c>
      <c r="C343" s="3" t="s">
        <v>64</v>
      </c>
      <c r="D343" s="3" t="s">
        <v>345</v>
      </c>
      <c r="E343" s="6"/>
      <c r="F343" s="6"/>
      <c r="G343" s="3" t="s">
        <v>44</v>
      </c>
      <c r="H343" s="3" t="s">
        <v>14</v>
      </c>
      <c r="I343" s="3" t="s">
        <v>21</v>
      </c>
    </row>
    <row r="344" spans="1:9" s="3" customFormat="1" x14ac:dyDescent="0.3">
      <c r="A344" s="3" t="s">
        <v>16</v>
      </c>
      <c r="B344" s="3" t="s">
        <v>17</v>
      </c>
      <c r="C344" s="3" t="s">
        <v>42</v>
      </c>
      <c r="D344" s="3" t="s">
        <v>340</v>
      </c>
      <c r="E344" s="6">
        <v>0.47152777777777777</v>
      </c>
      <c r="F344" s="6">
        <v>0.68333333333333335</v>
      </c>
      <c r="G344" s="3" t="s">
        <v>20</v>
      </c>
      <c r="H344" s="3" t="s">
        <v>14</v>
      </c>
      <c r="I344" s="3" t="s">
        <v>21</v>
      </c>
    </row>
    <row r="345" spans="1:9" s="3" customFormat="1" x14ac:dyDescent="0.3">
      <c r="A345" s="3" t="s">
        <v>48</v>
      </c>
      <c r="B345" s="3" t="s">
        <v>49</v>
      </c>
      <c r="C345" s="3" t="s">
        <v>24</v>
      </c>
      <c r="D345" s="3" t="s">
        <v>234</v>
      </c>
      <c r="E345" s="6">
        <v>0.43263888888888891</v>
      </c>
      <c r="F345" s="6">
        <v>0.86736111111111114</v>
      </c>
      <c r="G345" s="3" t="s">
        <v>26</v>
      </c>
      <c r="H345" s="3" t="s">
        <v>27</v>
      </c>
      <c r="I345" s="3" t="s">
        <v>21</v>
      </c>
    </row>
    <row r="346" spans="1:9" s="3" customFormat="1" x14ac:dyDescent="0.3">
      <c r="A346" s="3" t="s">
        <v>28</v>
      </c>
      <c r="B346" s="3" t="s">
        <v>29</v>
      </c>
      <c r="C346" s="3" t="s">
        <v>64</v>
      </c>
      <c r="D346" s="3" t="s">
        <v>329</v>
      </c>
      <c r="E346" s="6"/>
      <c r="F346" s="6"/>
      <c r="G346" s="3" t="s">
        <v>44</v>
      </c>
      <c r="H346" s="3" t="s">
        <v>14</v>
      </c>
      <c r="I346" s="3" t="s">
        <v>21</v>
      </c>
    </row>
    <row r="347" spans="1:9" s="3" customFormat="1" x14ac:dyDescent="0.3">
      <c r="A347" s="3" t="s">
        <v>99</v>
      </c>
      <c r="B347" s="3" t="s">
        <v>100</v>
      </c>
      <c r="C347" s="3" t="s">
        <v>60</v>
      </c>
      <c r="D347" s="3" t="s">
        <v>260</v>
      </c>
      <c r="E347" s="6"/>
      <c r="F347" s="6"/>
      <c r="G347" s="3" t="s">
        <v>44</v>
      </c>
      <c r="H347" s="3" t="s">
        <v>14</v>
      </c>
      <c r="I347" s="3" t="s">
        <v>21</v>
      </c>
    </row>
    <row r="348" spans="1:9" s="3" customFormat="1" x14ac:dyDescent="0.3">
      <c r="A348" s="3" t="s">
        <v>78</v>
      </c>
      <c r="B348" s="3" t="s">
        <v>79</v>
      </c>
      <c r="C348" s="3" t="s">
        <v>42</v>
      </c>
      <c r="D348" s="3" t="s">
        <v>346</v>
      </c>
      <c r="E348" s="6">
        <v>0.48194444444444445</v>
      </c>
      <c r="F348" s="6">
        <v>0.74444444444444446</v>
      </c>
      <c r="G348" s="3" t="s">
        <v>26</v>
      </c>
      <c r="H348" s="3" t="s">
        <v>14</v>
      </c>
      <c r="I348" s="3" t="s">
        <v>21</v>
      </c>
    </row>
    <row r="349" spans="1:9" s="3" customFormat="1" x14ac:dyDescent="0.3">
      <c r="A349" s="3" t="s">
        <v>99</v>
      </c>
      <c r="B349" s="3" t="s">
        <v>100</v>
      </c>
      <c r="C349" s="3" t="s">
        <v>60</v>
      </c>
      <c r="D349" s="3" t="s">
        <v>280</v>
      </c>
      <c r="E349" s="6">
        <v>0.42083333333333334</v>
      </c>
      <c r="F349" s="6">
        <v>0.81180555555555556</v>
      </c>
      <c r="G349" s="3" t="s">
        <v>26</v>
      </c>
      <c r="H349" s="3" t="s">
        <v>27</v>
      </c>
      <c r="I349" s="3" t="s">
        <v>21</v>
      </c>
    </row>
    <row r="350" spans="1:9" s="3" customFormat="1" x14ac:dyDescent="0.3">
      <c r="A350" s="3" t="s">
        <v>134</v>
      </c>
      <c r="B350" s="3" t="s">
        <v>135</v>
      </c>
      <c r="C350" s="3" t="s">
        <v>24</v>
      </c>
      <c r="D350" s="3" t="s">
        <v>12</v>
      </c>
      <c r="E350" s="6"/>
      <c r="F350" s="6"/>
      <c r="G350" s="3" t="s">
        <v>44</v>
      </c>
      <c r="H350" s="3" t="s">
        <v>27</v>
      </c>
      <c r="I350" s="3" t="s">
        <v>21</v>
      </c>
    </row>
    <row r="351" spans="1:9" s="3" customFormat="1" x14ac:dyDescent="0.3">
      <c r="A351" s="3" t="s">
        <v>109</v>
      </c>
      <c r="B351" s="3" t="s">
        <v>110</v>
      </c>
      <c r="C351" s="3" t="s">
        <v>18</v>
      </c>
      <c r="D351" s="3" t="s">
        <v>320</v>
      </c>
      <c r="E351" s="6">
        <v>0.42986111111111114</v>
      </c>
      <c r="F351" s="6">
        <v>0.81388888888888888</v>
      </c>
      <c r="G351" s="3" t="s">
        <v>13</v>
      </c>
      <c r="H351" s="3" t="s">
        <v>14</v>
      </c>
      <c r="I351" s="3" t="s">
        <v>21</v>
      </c>
    </row>
    <row r="352" spans="1:9" s="3" customFormat="1" x14ac:dyDescent="0.3">
      <c r="A352" s="3" t="s">
        <v>171</v>
      </c>
      <c r="B352" s="3" t="s">
        <v>172</v>
      </c>
      <c r="C352" s="3" t="s">
        <v>18</v>
      </c>
      <c r="D352" s="3" t="s">
        <v>257</v>
      </c>
      <c r="E352" s="6"/>
      <c r="F352" s="6"/>
      <c r="G352" s="3" t="s">
        <v>44</v>
      </c>
      <c r="H352" s="3" t="s">
        <v>14</v>
      </c>
      <c r="I352" s="3" t="s">
        <v>21</v>
      </c>
    </row>
    <row r="353" spans="1:9" s="3" customFormat="1" x14ac:dyDescent="0.3">
      <c r="A353" s="3" t="s">
        <v>338</v>
      </c>
      <c r="B353" s="3" t="s">
        <v>339</v>
      </c>
      <c r="C353" s="3" t="s">
        <v>24</v>
      </c>
      <c r="D353" s="3" t="s">
        <v>105</v>
      </c>
      <c r="E353" s="6">
        <v>0.3347222222222222</v>
      </c>
      <c r="F353" s="6">
        <v>0.75347222222222221</v>
      </c>
      <c r="G353" s="3" t="s">
        <v>26</v>
      </c>
      <c r="H353" s="3" t="s">
        <v>14</v>
      </c>
      <c r="I353" s="3" t="s">
        <v>15</v>
      </c>
    </row>
    <row r="354" spans="1:9" s="3" customFormat="1" x14ac:dyDescent="0.3">
      <c r="A354" s="3" t="s">
        <v>146</v>
      </c>
      <c r="B354" s="3" t="s">
        <v>147</v>
      </c>
      <c r="C354" s="3" t="s">
        <v>42</v>
      </c>
      <c r="D354" s="3" t="s">
        <v>302</v>
      </c>
      <c r="E354" s="6">
        <v>0.44236111111111109</v>
      </c>
      <c r="F354" s="6">
        <v>0.80208333333333337</v>
      </c>
      <c r="G354" s="3" t="s">
        <v>26</v>
      </c>
      <c r="H354" s="3" t="s">
        <v>14</v>
      </c>
      <c r="I354" s="3" t="s">
        <v>15</v>
      </c>
    </row>
    <row r="355" spans="1:9" s="3" customFormat="1" x14ac:dyDescent="0.3">
      <c r="A355" s="3" t="s">
        <v>130</v>
      </c>
      <c r="B355" s="3" t="s">
        <v>131</v>
      </c>
      <c r="C355" s="3" t="s">
        <v>64</v>
      </c>
      <c r="D355" s="3" t="s">
        <v>111</v>
      </c>
      <c r="E355" s="6">
        <v>0.4236111111111111</v>
      </c>
      <c r="F355" s="6">
        <v>0.78680555555555554</v>
      </c>
      <c r="G355" s="3" t="s">
        <v>13</v>
      </c>
      <c r="H355" s="3" t="s">
        <v>27</v>
      </c>
      <c r="I355" s="3" t="s">
        <v>15</v>
      </c>
    </row>
    <row r="356" spans="1:9" s="3" customFormat="1" x14ac:dyDescent="0.3">
      <c r="A356" s="3" t="s">
        <v>16</v>
      </c>
      <c r="B356" s="3" t="s">
        <v>17</v>
      </c>
      <c r="C356" s="3" t="s">
        <v>60</v>
      </c>
      <c r="D356" s="3" t="s">
        <v>347</v>
      </c>
      <c r="E356" s="6">
        <v>0.41666666666666669</v>
      </c>
      <c r="F356" s="6">
        <v>0.79722222222222228</v>
      </c>
      <c r="G356" s="3" t="s">
        <v>20</v>
      </c>
      <c r="H356" s="3" t="s">
        <v>27</v>
      </c>
      <c r="I356" s="3" t="s">
        <v>15</v>
      </c>
    </row>
    <row r="357" spans="1:9" s="3" customFormat="1" x14ac:dyDescent="0.3">
      <c r="A357" s="3" t="s">
        <v>34</v>
      </c>
      <c r="B357" s="3" t="s">
        <v>35</v>
      </c>
      <c r="C357" s="3" t="s">
        <v>24</v>
      </c>
      <c r="D357" s="3" t="s">
        <v>186</v>
      </c>
      <c r="E357" s="6">
        <v>0.41666666666666669</v>
      </c>
      <c r="F357" s="6">
        <v>0.8569444444444444</v>
      </c>
      <c r="G357" s="3" t="s">
        <v>13</v>
      </c>
      <c r="H357" s="3" t="s">
        <v>14</v>
      </c>
      <c r="I357" s="3" t="s">
        <v>15</v>
      </c>
    </row>
    <row r="358" spans="1:9" s="3" customFormat="1" x14ac:dyDescent="0.3">
      <c r="A358" s="3" t="s">
        <v>224</v>
      </c>
      <c r="B358" s="3" t="s">
        <v>225</v>
      </c>
      <c r="C358" s="3" t="s">
        <v>64</v>
      </c>
      <c r="D358" s="3" t="s">
        <v>226</v>
      </c>
      <c r="E358" s="6"/>
      <c r="F358" s="6"/>
      <c r="G358" s="3" t="s">
        <v>44</v>
      </c>
      <c r="H358" s="3" t="s">
        <v>27</v>
      </c>
      <c r="I358" s="3" t="s">
        <v>21</v>
      </c>
    </row>
    <row r="359" spans="1:9" s="3" customFormat="1" x14ac:dyDescent="0.3">
      <c r="A359" s="3" t="s">
        <v>197</v>
      </c>
      <c r="B359" s="3" t="s">
        <v>198</v>
      </c>
      <c r="C359" s="3" t="s">
        <v>42</v>
      </c>
      <c r="D359" s="3" t="s">
        <v>348</v>
      </c>
      <c r="E359" s="6"/>
      <c r="F359" s="6"/>
      <c r="G359" s="3" t="s">
        <v>44</v>
      </c>
      <c r="H359" s="3" t="s">
        <v>14</v>
      </c>
      <c r="I359" s="3" t="s">
        <v>21</v>
      </c>
    </row>
    <row r="360" spans="1:9" s="3" customFormat="1" x14ac:dyDescent="0.3">
      <c r="A360" s="3" t="s">
        <v>66</v>
      </c>
      <c r="B360" s="3" t="s">
        <v>67</v>
      </c>
      <c r="C360" s="3" t="s">
        <v>24</v>
      </c>
      <c r="D360" s="3" t="s">
        <v>218</v>
      </c>
      <c r="E360" s="6">
        <v>0.46736111111111112</v>
      </c>
      <c r="F360" s="6">
        <v>0.72222222222222221</v>
      </c>
      <c r="G360" s="3" t="s">
        <v>26</v>
      </c>
      <c r="H360" s="3" t="s">
        <v>27</v>
      </c>
      <c r="I360" s="3" t="s">
        <v>21</v>
      </c>
    </row>
    <row r="361" spans="1:9" s="3" customFormat="1" x14ac:dyDescent="0.3">
      <c r="A361" s="3" t="s">
        <v>269</v>
      </c>
      <c r="B361" s="3" t="s">
        <v>270</v>
      </c>
      <c r="C361" s="3" t="s">
        <v>42</v>
      </c>
      <c r="D361" s="3" t="s">
        <v>229</v>
      </c>
      <c r="E361" s="6">
        <v>0.49513888888888891</v>
      </c>
      <c r="F361" s="6">
        <v>0.85763888888888884</v>
      </c>
      <c r="G361" s="3" t="s">
        <v>26</v>
      </c>
      <c r="H361" s="3" t="s">
        <v>14</v>
      </c>
      <c r="I361" s="3" t="s">
        <v>15</v>
      </c>
    </row>
    <row r="362" spans="1:9" s="3" customFormat="1" x14ac:dyDescent="0.3">
      <c r="A362" s="3" t="s">
        <v>58</v>
      </c>
      <c r="B362" s="3" t="s">
        <v>59</v>
      </c>
      <c r="C362" s="3" t="s">
        <v>60</v>
      </c>
      <c r="D362" s="3" t="s">
        <v>264</v>
      </c>
      <c r="E362" s="6">
        <v>0.46388888888888891</v>
      </c>
      <c r="F362" s="6">
        <v>0.74791666666666667</v>
      </c>
      <c r="G362" s="3" t="s">
        <v>26</v>
      </c>
      <c r="H362" s="3" t="s">
        <v>27</v>
      </c>
      <c r="I362" s="3" t="s">
        <v>21</v>
      </c>
    </row>
    <row r="363" spans="1:9" s="3" customFormat="1" x14ac:dyDescent="0.3">
      <c r="A363" s="3" t="s">
        <v>16</v>
      </c>
      <c r="B363" s="3" t="s">
        <v>17</v>
      </c>
      <c r="C363" s="3" t="s">
        <v>60</v>
      </c>
      <c r="D363" s="3" t="s">
        <v>349</v>
      </c>
      <c r="E363" s="6">
        <v>0.44791666666666669</v>
      </c>
      <c r="F363" s="6">
        <v>0.72152777777777777</v>
      </c>
      <c r="G363" s="3" t="s">
        <v>26</v>
      </c>
      <c r="H363" s="3" t="s">
        <v>14</v>
      </c>
      <c r="I363" s="3" t="s">
        <v>15</v>
      </c>
    </row>
    <row r="364" spans="1:9" s="3" customFormat="1" x14ac:dyDescent="0.3">
      <c r="A364" s="3" t="s">
        <v>115</v>
      </c>
      <c r="B364" s="3" t="s">
        <v>116</v>
      </c>
      <c r="C364" s="3" t="s">
        <v>60</v>
      </c>
      <c r="D364" s="3" t="s">
        <v>350</v>
      </c>
      <c r="E364" s="6"/>
      <c r="F364" s="6"/>
      <c r="G364" s="3" t="s">
        <v>44</v>
      </c>
      <c r="H364" s="3" t="s">
        <v>14</v>
      </c>
      <c r="I364" s="3" t="s">
        <v>15</v>
      </c>
    </row>
    <row r="365" spans="1:9" s="3" customFormat="1" x14ac:dyDescent="0.3">
      <c r="A365" s="3" t="s">
        <v>165</v>
      </c>
      <c r="B365" s="3" t="s">
        <v>166</v>
      </c>
      <c r="C365" s="3" t="s">
        <v>64</v>
      </c>
      <c r="D365" s="3" t="s">
        <v>327</v>
      </c>
      <c r="E365" s="6"/>
      <c r="F365" s="6"/>
      <c r="G365" s="3" t="s">
        <v>44</v>
      </c>
      <c r="H365" s="3" t="s">
        <v>14</v>
      </c>
      <c r="I365" s="3" t="s">
        <v>21</v>
      </c>
    </row>
    <row r="366" spans="1:9" s="3" customFormat="1" x14ac:dyDescent="0.3">
      <c r="A366" s="3" t="s">
        <v>87</v>
      </c>
      <c r="B366" s="3" t="s">
        <v>88</v>
      </c>
      <c r="C366" s="3" t="s">
        <v>64</v>
      </c>
      <c r="D366" s="3" t="s">
        <v>265</v>
      </c>
      <c r="E366" s="6">
        <v>0.40277777777777779</v>
      </c>
      <c r="F366" s="6">
        <v>0.82638888888888884</v>
      </c>
      <c r="G366" s="3" t="s">
        <v>20</v>
      </c>
      <c r="H366" s="3" t="s">
        <v>27</v>
      </c>
      <c r="I366" s="3" t="s">
        <v>15</v>
      </c>
    </row>
    <row r="367" spans="1:9" s="3" customFormat="1" x14ac:dyDescent="0.3">
      <c r="A367" s="3" t="s">
        <v>109</v>
      </c>
      <c r="B367" s="3" t="s">
        <v>110</v>
      </c>
      <c r="C367" s="3" t="s">
        <v>24</v>
      </c>
      <c r="D367" s="3" t="s">
        <v>351</v>
      </c>
      <c r="E367" s="6"/>
      <c r="F367" s="6"/>
      <c r="G367" s="3" t="s">
        <v>44</v>
      </c>
      <c r="H367" s="3" t="s">
        <v>27</v>
      </c>
      <c r="I367" s="3" t="s">
        <v>21</v>
      </c>
    </row>
    <row r="368" spans="1:9" s="3" customFormat="1" x14ac:dyDescent="0.3">
      <c r="A368" s="3" t="s">
        <v>75</v>
      </c>
      <c r="B368" s="3" t="s">
        <v>76</v>
      </c>
      <c r="C368" s="3" t="s">
        <v>60</v>
      </c>
      <c r="D368" s="3" t="s">
        <v>352</v>
      </c>
      <c r="E368" s="6">
        <v>0.42430555555555555</v>
      </c>
      <c r="F368" s="6">
        <v>0.75972222222222219</v>
      </c>
      <c r="G368" s="3" t="s">
        <v>26</v>
      </c>
      <c r="H368" s="3" t="s">
        <v>14</v>
      </c>
      <c r="I368" s="3" t="s">
        <v>21</v>
      </c>
    </row>
    <row r="369" spans="1:9" s="3" customFormat="1" x14ac:dyDescent="0.3">
      <c r="A369" s="3" t="s">
        <v>138</v>
      </c>
      <c r="B369" s="3" t="s">
        <v>139</v>
      </c>
      <c r="C369" s="3" t="s">
        <v>42</v>
      </c>
      <c r="D369" s="3" t="s">
        <v>262</v>
      </c>
      <c r="E369" s="6"/>
      <c r="F369" s="6"/>
      <c r="G369" s="3" t="s">
        <v>44</v>
      </c>
      <c r="H369" s="3" t="s">
        <v>14</v>
      </c>
      <c r="I369" s="3" t="s">
        <v>21</v>
      </c>
    </row>
    <row r="370" spans="1:9" s="3" customFormat="1" x14ac:dyDescent="0.3">
      <c r="A370" s="3" t="s">
        <v>9</v>
      </c>
      <c r="B370" s="3" t="s">
        <v>10</v>
      </c>
      <c r="C370" s="3" t="s">
        <v>60</v>
      </c>
      <c r="D370" s="3" t="s">
        <v>253</v>
      </c>
      <c r="E370" s="6">
        <v>0.46111111111111114</v>
      </c>
      <c r="F370" s="6">
        <v>0.76111111111111107</v>
      </c>
      <c r="G370" s="3" t="s">
        <v>26</v>
      </c>
      <c r="H370" s="3" t="s">
        <v>27</v>
      </c>
      <c r="I370" s="3" t="s">
        <v>21</v>
      </c>
    </row>
    <row r="371" spans="1:9" s="3" customFormat="1" x14ac:dyDescent="0.3">
      <c r="A371" s="3" t="s">
        <v>72</v>
      </c>
      <c r="B371" s="3" t="s">
        <v>73</v>
      </c>
      <c r="C371" s="3" t="s">
        <v>24</v>
      </c>
      <c r="D371" s="3" t="s">
        <v>174</v>
      </c>
      <c r="E371" s="6"/>
      <c r="F371" s="6"/>
      <c r="G371" s="3" t="s">
        <v>51</v>
      </c>
      <c r="H371" s="3" t="s">
        <v>27</v>
      </c>
      <c r="I371" s="3" t="s">
        <v>21</v>
      </c>
    </row>
    <row r="372" spans="1:9" s="3" customFormat="1" x14ac:dyDescent="0.3">
      <c r="A372" s="3" t="s">
        <v>187</v>
      </c>
      <c r="B372" s="3" t="s">
        <v>188</v>
      </c>
      <c r="C372" s="3" t="s">
        <v>64</v>
      </c>
      <c r="D372" s="3" t="s">
        <v>279</v>
      </c>
      <c r="E372" s="6"/>
      <c r="F372" s="6"/>
      <c r="G372" s="3" t="s">
        <v>44</v>
      </c>
      <c r="H372" s="3" t="s">
        <v>14</v>
      </c>
      <c r="I372" s="3" t="s">
        <v>21</v>
      </c>
    </row>
    <row r="373" spans="1:9" s="3" customFormat="1" x14ac:dyDescent="0.3">
      <c r="A373" s="3" t="s">
        <v>213</v>
      </c>
      <c r="B373" s="3" t="s">
        <v>214</v>
      </c>
      <c r="C373" s="3" t="s">
        <v>64</v>
      </c>
      <c r="D373" s="3" t="s">
        <v>288</v>
      </c>
      <c r="E373" s="6">
        <v>0.36041666666666666</v>
      </c>
      <c r="F373" s="6">
        <v>0.75555555555555554</v>
      </c>
      <c r="G373" s="3" t="s">
        <v>20</v>
      </c>
      <c r="H373" s="3" t="s">
        <v>14</v>
      </c>
      <c r="I373" s="3" t="s">
        <v>21</v>
      </c>
    </row>
    <row r="374" spans="1:9" s="3" customFormat="1" x14ac:dyDescent="0.3">
      <c r="A374" s="3" t="s">
        <v>236</v>
      </c>
      <c r="B374" s="3" t="s">
        <v>237</v>
      </c>
      <c r="C374" s="3" t="s">
        <v>24</v>
      </c>
      <c r="D374" s="3" t="s">
        <v>43</v>
      </c>
      <c r="E374" s="6">
        <v>0.36527777777777776</v>
      </c>
      <c r="F374" s="6">
        <v>0.87361111111111112</v>
      </c>
      <c r="G374" s="3" t="s">
        <v>26</v>
      </c>
      <c r="H374" s="3" t="s">
        <v>14</v>
      </c>
      <c r="I374" s="3" t="s">
        <v>15</v>
      </c>
    </row>
    <row r="375" spans="1:9" s="3" customFormat="1" x14ac:dyDescent="0.3">
      <c r="A375" s="3" t="s">
        <v>96</v>
      </c>
      <c r="B375" s="3" t="s">
        <v>97</v>
      </c>
      <c r="C375" s="3" t="s">
        <v>64</v>
      </c>
      <c r="D375" s="3" t="s">
        <v>107</v>
      </c>
      <c r="E375" s="6">
        <v>0.36944444444444446</v>
      </c>
      <c r="F375" s="6">
        <v>0.73611111111111116</v>
      </c>
      <c r="G375" s="3" t="s">
        <v>26</v>
      </c>
      <c r="H375" s="3" t="s">
        <v>14</v>
      </c>
      <c r="I375" s="3" t="s">
        <v>15</v>
      </c>
    </row>
    <row r="376" spans="1:9" s="3" customFormat="1" x14ac:dyDescent="0.3">
      <c r="A376" s="3" t="s">
        <v>236</v>
      </c>
      <c r="B376" s="3" t="s">
        <v>237</v>
      </c>
      <c r="C376" s="3" t="s">
        <v>60</v>
      </c>
      <c r="D376" s="3" t="s">
        <v>227</v>
      </c>
      <c r="E376" s="6">
        <v>0.45277777777777778</v>
      </c>
      <c r="F376" s="6">
        <v>0.83611111111111114</v>
      </c>
      <c r="G376" s="3" t="s">
        <v>13</v>
      </c>
      <c r="H376" s="3" t="s">
        <v>14</v>
      </c>
      <c r="I376" s="3" t="s">
        <v>15</v>
      </c>
    </row>
    <row r="377" spans="1:9" s="3" customFormat="1" x14ac:dyDescent="0.3">
      <c r="A377" s="3" t="s">
        <v>45</v>
      </c>
      <c r="B377" s="3" t="s">
        <v>46</v>
      </c>
      <c r="C377" s="3" t="s">
        <v>64</v>
      </c>
      <c r="D377" s="3" t="s">
        <v>152</v>
      </c>
      <c r="E377" s="6">
        <v>0.42083333333333334</v>
      </c>
      <c r="F377" s="6">
        <v>0.68472222222222223</v>
      </c>
      <c r="G377" s="3" t="s">
        <v>13</v>
      </c>
      <c r="H377" s="3" t="s">
        <v>27</v>
      </c>
      <c r="I377" s="3" t="s">
        <v>15</v>
      </c>
    </row>
    <row r="378" spans="1:9" s="3" customFormat="1" x14ac:dyDescent="0.3">
      <c r="A378" s="3" t="s">
        <v>246</v>
      </c>
      <c r="B378" s="3" t="s">
        <v>247</v>
      </c>
      <c r="C378" s="3" t="s">
        <v>18</v>
      </c>
      <c r="D378" s="3" t="s">
        <v>144</v>
      </c>
      <c r="E378" s="6">
        <v>0.38680555555555557</v>
      </c>
      <c r="F378" s="6">
        <v>0.74097222222222225</v>
      </c>
      <c r="G378" s="3" t="s">
        <v>26</v>
      </c>
      <c r="H378" s="3" t="s">
        <v>27</v>
      </c>
      <c r="I378" s="3" t="s">
        <v>21</v>
      </c>
    </row>
    <row r="379" spans="1:9" s="3" customFormat="1" x14ac:dyDescent="0.3">
      <c r="A379" s="3" t="s">
        <v>175</v>
      </c>
      <c r="B379" s="3" t="s">
        <v>176</v>
      </c>
      <c r="C379" s="3" t="s">
        <v>18</v>
      </c>
      <c r="D379" s="3" t="s">
        <v>285</v>
      </c>
      <c r="E379" s="6">
        <v>0.37291666666666667</v>
      </c>
      <c r="F379" s="6">
        <v>0.67708333333333337</v>
      </c>
      <c r="G379" s="3" t="s">
        <v>26</v>
      </c>
      <c r="H379" s="3" t="s">
        <v>27</v>
      </c>
      <c r="I379" s="3" t="s">
        <v>21</v>
      </c>
    </row>
    <row r="380" spans="1:9" s="3" customFormat="1" x14ac:dyDescent="0.3">
      <c r="A380" s="3" t="s">
        <v>9</v>
      </c>
      <c r="B380" s="3" t="s">
        <v>10</v>
      </c>
      <c r="C380" s="3" t="s">
        <v>60</v>
      </c>
      <c r="D380" s="3" t="s">
        <v>288</v>
      </c>
      <c r="E380" s="6">
        <v>0.41666666666666669</v>
      </c>
      <c r="F380" s="6">
        <v>0.7319444444444444</v>
      </c>
      <c r="G380" s="3" t="s">
        <v>20</v>
      </c>
      <c r="H380" s="3" t="s">
        <v>14</v>
      </c>
      <c r="I380" s="3" t="s">
        <v>21</v>
      </c>
    </row>
    <row r="381" spans="1:9" s="3" customFormat="1" x14ac:dyDescent="0.3">
      <c r="A381" s="3" t="s">
        <v>157</v>
      </c>
      <c r="B381" s="3" t="s">
        <v>158</v>
      </c>
      <c r="C381" s="3" t="s">
        <v>24</v>
      </c>
      <c r="D381" s="3" t="s">
        <v>278</v>
      </c>
      <c r="E381" s="6">
        <v>0.35069444444444442</v>
      </c>
      <c r="F381" s="6">
        <v>0.77152777777777781</v>
      </c>
      <c r="G381" s="3" t="s">
        <v>13</v>
      </c>
      <c r="H381" s="3" t="s">
        <v>14</v>
      </c>
      <c r="I381" s="3" t="s">
        <v>15</v>
      </c>
    </row>
    <row r="382" spans="1:9" s="3" customFormat="1" x14ac:dyDescent="0.3">
      <c r="A382" s="3" t="s">
        <v>112</v>
      </c>
      <c r="B382" s="3" t="s">
        <v>113</v>
      </c>
      <c r="C382" s="3" t="s">
        <v>24</v>
      </c>
      <c r="D382" s="3" t="s">
        <v>330</v>
      </c>
      <c r="E382" s="6">
        <v>0.49722222222222223</v>
      </c>
      <c r="F382" s="6">
        <v>0.84027777777777779</v>
      </c>
      <c r="G382" s="3" t="s">
        <v>13</v>
      </c>
      <c r="H382" s="3" t="s">
        <v>14</v>
      </c>
      <c r="I382" s="3" t="s">
        <v>21</v>
      </c>
    </row>
    <row r="383" spans="1:9" s="3" customFormat="1" x14ac:dyDescent="0.3">
      <c r="A383" s="3" t="s">
        <v>291</v>
      </c>
      <c r="B383" s="3" t="s">
        <v>292</v>
      </c>
      <c r="C383" s="3" t="s">
        <v>42</v>
      </c>
      <c r="D383" s="3" t="s">
        <v>218</v>
      </c>
      <c r="E383" s="6">
        <v>0.34930555555555554</v>
      </c>
      <c r="F383" s="6">
        <v>0.79722222222222228</v>
      </c>
      <c r="G383" s="3" t="s">
        <v>125</v>
      </c>
      <c r="H383" s="3" t="s">
        <v>27</v>
      </c>
      <c r="I383" s="3" t="s">
        <v>15</v>
      </c>
    </row>
    <row r="384" spans="1:9" s="3" customFormat="1" x14ac:dyDescent="0.3">
      <c r="A384" s="3" t="s">
        <v>99</v>
      </c>
      <c r="B384" s="3" t="s">
        <v>100</v>
      </c>
      <c r="C384" s="3" t="s">
        <v>42</v>
      </c>
      <c r="D384" s="3" t="s">
        <v>92</v>
      </c>
      <c r="E384" s="6">
        <v>0.34930555555555554</v>
      </c>
      <c r="F384" s="6">
        <v>0.77638888888888891</v>
      </c>
      <c r="G384" s="3" t="s">
        <v>13</v>
      </c>
      <c r="H384" s="3" t="s">
        <v>27</v>
      </c>
      <c r="I384" s="3" t="s">
        <v>15</v>
      </c>
    </row>
    <row r="385" spans="1:9" s="3" customFormat="1" x14ac:dyDescent="0.3">
      <c r="A385" s="3" t="s">
        <v>93</v>
      </c>
      <c r="B385" s="3" t="s">
        <v>94</v>
      </c>
      <c r="C385" s="3" t="s">
        <v>42</v>
      </c>
      <c r="D385" s="3" t="s">
        <v>199</v>
      </c>
      <c r="E385" s="6"/>
      <c r="F385" s="6"/>
      <c r="G385" s="3" t="s">
        <v>44</v>
      </c>
      <c r="H385" s="3" t="s">
        <v>27</v>
      </c>
      <c r="I385" s="3" t="s">
        <v>15</v>
      </c>
    </row>
    <row r="386" spans="1:9" s="3" customFormat="1" x14ac:dyDescent="0.3">
      <c r="A386" s="3" t="s">
        <v>99</v>
      </c>
      <c r="B386" s="3" t="s">
        <v>100</v>
      </c>
      <c r="C386" s="3" t="s">
        <v>143</v>
      </c>
      <c r="D386" s="3" t="s">
        <v>353</v>
      </c>
      <c r="E386" s="6">
        <v>0.47986111111111113</v>
      </c>
      <c r="F386" s="6">
        <v>0.77916666666666667</v>
      </c>
      <c r="G386" s="3" t="s">
        <v>13</v>
      </c>
      <c r="H386" s="3" t="s">
        <v>14</v>
      </c>
      <c r="I386" s="3" t="s">
        <v>15</v>
      </c>
    </row>
    <row r="387" spans="1:9" s="3" customFormat="1" x14ac:dyDescent="0.3">
      <c r="A387" s="3" t="s">
        <v>81</v>
      </c>
      <c r="B387" s="3" t="s">
        <v>82</v>
      </c>
      <c r="C387" s="3" t="s">
        <v>60</v>
      </c>
      <c r="D387" s="3" t="s">
        <v>331</v>
      </c>
      <c r="E387" s="6">
        <v>0.3611111111111111</v>
      </c>
      <c r="F387" s="6">
        <v>0.84652777777777777</v>
      </c>
      <c r="G387" s="3" t="s">
        <v>13</v>
      </c>
      <c r="H387" s="3" t="s">
        <v>27</v>
      </c>
      <c r="I387" s="3" t="s">
        <v>21</v>
      </c>
    </row>
    <row r="388" spans="1:9" s="3" customFormat="1" x14ac:dyDescent="0.3">
      <c r="A388" s="3" t="s">
        <v>134</v>
      </c>
      <c r="B388" s="3" t="s">
        <v>135</v>
      </c>
      <c r="C388" s="3" t="s">
        <v>64</v>
      </c>
      <c r="D388" s="3" t="s">
        <v>117</v>
      </c>
      <c r="E388" s="6">
        <v>0.40833333333333333</v>
      </c>
      <c r="F388" s="6">
        <v>0.69305555555555554</v>
      </c>
      <c r="G388" s="3" t="s">
        <v>13</v>
      </c>
      <c r="H388" s="3" t="s">
        <v>14</v>
      </c>
      <c r="I388" s="3" t="s">
        <v>21</v>
      </c>
    </row>
    <row r="389" spans="1:9" s="3" customFormat="1" x14ac:dyDescent="0.3">
      <c r="A389" s="3" t="s">
        <v>187</v>
      </c>
      <c r="B389" s="3" t="s">
        <v>188</v>
      </c>
      <c r="C389" s="3" t="s">
        <v>42</v>
      </c>
      <c r="D389" s="3" t="s">
        <v>226</v>
      </c>
      <c r="E389" s="6">
        <v>0.41736111111111113</v>
      </c>
      <c r="F389" s="6">
        <v>0.80694444444444446</v>
      </c>
      <c r="G389" s="3" t="s">
        <v>26</v>
      </c>
      <c r="H389" s="3" t="s">
        <v>14</v>
      </c>
      <c r="I389" s="3" t="s">
        <v>21</v>
      </c>
    </row>
    <row r="390" spans="1:9" s="3" customFormat="1" x14ac:dyDescent="0.3">
      <c r="A390" s="3" t="s">
        <v>171</v>
      </c>
      <c r="B390" s="3" t="s">
        <v>172</v>
      </c>
      <c r="C390" s="3" t="s">
        <v>60</v>
      </c>
      <c r="D390" s="3" t="s">
        <v>169</v>
      </c>
      <c r="E390" s="6">
        <v>0.34861111111111109</v>
      </c>
      <c r="F390" s="6">
        <v>0.74444444444444446</v>
      </c>
      <c r="G390" s="3" t="s">
        <v>26</v>
      </c>
      <c r="H390" s="3" t="s">
        <v>27</v>
      </c>
      <c r="I390" s="3" t="s">
        <v>15</v>
      </c>
    </row>
    <row r="391" spans="1:9" s="3" customFormat="1" x14ac:dyDescent="0.3">
      <c r="A391" s="3" t="s">
        <v>250</v>
      </c>
      <c r="B391" s="3" t="s">
        <v>251</v>
      </c>
      <c r="C391" s="3" t="s">
        <v>24</v>
      </c>
      <c r="D391" s="3" t="s">
        <v>248</v>
      </c>
      <c r="E391" s="6">
        <v>0.36041666666666666</v>
      </c>
      <c r="F391" s="6">
        <v>0.73402777777777772</v>
      </c>
      <c r="G391" s="3" t="s">
        <v>13</v>
      </c>
      <c r="H391" s="3" t="s">
        <v>27</v>
      </c>
      <c r="I391" s="3" t="s">
        <v>21</v>
      </c>
    </row>
    <row r="392" spans="1:9" s="3" customFormat="1" x14ac:dyDescent="0.3">
      <c r="A392" s="3" t="s">
        <v>269</v>
      </c>
      <c r="B392" s="3" t="s">
        <v>270</v>
      </c>
      <c r="C392" s="3" t="s">
        <v>64</v>
      </c>
      <c r="D392" s="3" t="s">
        <v>117</v>
      </c>
      <c r="E392" s="6">
        <v>0.41944444444444445</v>
      </c>
      <c r="F392" s="6">
        <v>0.67083333333333328</v>
      </c>
      <c r="G392" s="3" t="s">
        <v>20</v>
      </c>
      <c r="H392" s="3" t="s">
        <v>27</v>
      </c>
      <c r="I392" s="3" t="s">
        <v>21</v>
      </c>
    </row>
    <row r="393" spans="1:9" s="3" customFormat="1" x14ac:dyDescent="0.3">
      <c r="A393" s="3" t="s">
        <v>146</v>
      </c>
      <c r="B393" s="3" t="s">
        <v>147</v>
      </c>
      <c r="C393" s="3" t="s">
        <v>60</v>
      </c>
      <c r="D393" s="3" t="s">
        <v>223</v>
      </c>
      <c r="E393" s="6">
        <v>0.42777777777777776</v>
      </c>
      <c r="F393" s="6">
        <v>0.77152777777777781</v>
      </c>
      <c r="G393" s="3" t="s">
        <v>20</v>
      </c>
      <c r="H393" s="3" t="s">
        <v>14</v>
      </c>
      <c r="I393" s="3" t="s">
        <v>21</v>
      </c>
    </row>
    <row r="394" spans="1:9" s="3" customFormat="1" x14ac:dyDescent="0.3">
      <c r="A394" s="3" t="s">
        <v>115</v>
      </c>
      <c r="B394" s="3" t="s">
        <v>116</v>
      </c>
      <c r="C394" s="3" t="s">
        <v>42</v>
      </c>
      <c r="D394" s="3" t="s">
        <v>144</v>
      </c>
      <c r="E394" s="6">
        <v>0.36319444444444443</v>
      </c>
      <c r="F394" s="6">
        <v>0.81041666666666667</v>
      </c>
      <c r="G394" s="3" t="s">
        <v>20</v>
      </c>
      <c r="H394" s="3" t="s">
        <v>27</v>
      </c>
      <c r="I394" s="3" t="s">
        <v>21</v>
      </c>
    </row>
    <row r="395" spans="1:9" s="3" customFormat="1" x14ac:dyDescent="0.3">
      <c r="A395" s="3" t="s">
        <v>115</v>
      </c>
      <c r="B395" s="3" t="s">
        <v>116</v>
      </c>
      <c r="C395" s="3" t="s">
        <v>24</v>
      </c>
      <c r="D395" s="3" t="s">
        <v>321</v>
      </c>
      <c r="E395" s="6">
        <v>0.35486111111111113</v>
      </c>
      <c r="F395" s="6">
        <v>0.67638888888888893</v>
      </c>
      <c r="G395" s="3" t="s">
        <v>26</v>
      </c>
      <c r="H395" s="3" t="s">
        <v>14</v>
      </c>
      <c r="I395" s="3" t="s">
        <v>15</v>
      </c>
    </row>
    <row r="396" spans="1:9" s="3" customFormat="1" x14ac:dyDescent="0.3">
      <c r="A396" s="3" t="s">
        <v>338</v>
      </c>
      <c r="B396" s="3" t="s">
        <v>339</v>
      </c>
      <c r="C396" s="3" t="s">
        <v>42</v>
      </c>
      <c r="D396" s="3" t="s">
        <v>312</v>
      </c>
      <c r="E396" s="6">
        <v>0.44583333333333336</v>
      </c>
      <c r="F396" s="6">
        <v>0.7</v>
      </c>
      <c r="G396" s="3" t="s">
        <v>20</v>
      </c>
      <c r="H396" s="3" t="s">
        <v>14</v>
      </c>
      <c r="I396" s="3" t="s">
        <v>21</v>
      </c>
    </row>
    <row r="397" spans="1:9" s="3" customFormat="1" x14ac:dyDescent="0.3">
      <c r="A397" s="3" t="s">
        <v>141</v>
      </c>
      <c r="B397" s="3" t="s">
        <v>142</v>
      </c>
      <c r="C397" s="3" t="s">
        <v>60</v>
      </c>
      <c r="D397" s="3" t="s">
        <v>203</v>
      </c>
      <c r="E397" s="6">
        <v>0.4</v>
      </c>
      <c r="F397" s="6">
        <v>0.77152777777777781</v>
      </c>
      <c r="G397" s="3" t="s">
        <v>26</v>
      </c>
      <c r="H397" s="3" t="s">
        <v>14</v>
      </c>
      <c r="I397" s="3" t="s">
        <v>21</v>
      </c>
    </row>
    <row r="398" spans="1:9" s="3" customFormat="1" x14ac:dyDescent="0.3">
      <c r="A398" s="3" t="s">
        <v>37</v>
      </c>
      <c r="B398" s="3" t="s">
        <v>38</v>
      </c>
      <c r="C398" s="3" t="s">
        <v>60</v>
      </c>
      <c r="D398" s="3" t="s">
        <v>183</v>
      </c>
      <c r="E398" s="6"/>
      <c r="F398" s="6"/>
      <c r="G398" s="3" t="s">
        <v>44</v>
      </c>
      <c r="H398" s="3" t="s">
        <v>27</v>
      </c>
      <c r="I398" s="3" t="s">
        <v>21</v>
      </c>
    </row>
    <row r="399" spans="1:9" s="3" customFormat="1" x14ac:dyDescent="0.3">
      <c r="A399" s="3" t="s">
        <v>78</v>
      </c>
      <c r="B399" s="3" t="s">
        <v>79</v>
      </c>
      <c r="C399" s="3" t="s">
        <v>42</v>
      </c>
      <c r="D399" s="3" t="s">
        <v>354</v>
      </c>
      <c r="E399" s="6">
        <v>0.35</v>
      </c>
      <c r="F399" s="6">
        <v>0.67500000000000004</v>
      </c>
      <c r="G399" s="3" t="s">
        <v>20</v>
      </c>
      <c r="H399" s="3" t="s">
        <v>27</v>
      </c>
      <c r="I399" s="3" t="s">
        <v>15</v>
      </c>
    </row>
    <row r="400" spans="1:9" s="3" customFormat="1" x14ac:dyDescent="0.3">
      <c r="A400" s="3" t="s">
        <v>119</v>
      </c>
      <c r="B400" s="3" t="s">
        <v>120</v>
      </c>
      <c r="C400" s="3" t="s">
        <v>60</v>
      </c>
      <c r="D400" s="3" t="s">
        <v>232</v>
      </c>
      <c r="E400" s="6">
        <v>0.34722222222222221</v>
      </c>
      <c r="F400" s="6">
        <v>0.84513888888888888</v>
      </c>
      <c r="G400" s="3" t="s">
        <v>13</v>
      </c>
      <c r="H400" s="3" t="s">
        <v>27</v>
      </c>
      <c r="I400" s="3" t="s">
        <v>21</v>
      </c>
    </row>
    <row r="401" spans="1:9" s="3" customFormat="1" x14ac:dyDescent="0.3">
      <c r="A401" s="3" t="s">
        <v>194</v>
      </c>
      <c r="B401" s="3" t="s">
        <v>195</v>
      </c>
      <c r="C401" s="3" t="s">
        <v>42</v>
      </c>
      <c r="D401" s="3" t="s">
        <v>355</v>
      </c>
      <c r="E401" s="6"/>
      <c r="F401" s="6"/>
      <c r="G401" s="3" t="s">
        <v>44</v>
      </c>
      <c r="H401" s="3" t="s">
        <v>14</v>
      </c>
      <c r="I401" s="3" t="s">
        <v>21</v>
      </c>
    </row>
    <row r="402" spans="1:9" s="3" customFormat="1" x14ac:dyDescent="0.3">
      <c r="A402" s="3" t="s">
        <v>216</v>
      </c>
      <c r="B402" s="3" t="s">
        <v>217</v>
      </c>
      <c r="C402" s="3" t="s">
        <v>143</v>
      </c>
      <c r="D402" s="3" t="s">
        <v>287</v>
      </c>
      <c r="E402" s="6">
        <v>0.38263888888888886</v>
      </c>
      <c r="F402" s="6">
        <v>0.75486111111111109</v>
      </c>
      <c r="G402" s="3" t="s">
        <v>26</v>
      </c>
      <c r="H402" s="3" t="s">
        <v>27</v>
      </c>
      <c r="I402" s="3" t="s">
        <v>21</v>
      </c>
    </row>
    <row r="403" spans="1:9" s="3" customFormat="1" x14ac:dyDescent="0.3">
      <c r="A403" s="3" t="s">
        <v>191</v>
      </c>
      <c r="B403" s="3" t="s">
        <v>192</v>
      </c>
      <c r="C403" s="3" t="s">
        <v>64</v>
      </c>
      <c r="D403" s="3" t="s">
        <v>219</v>
      </c>
      <c r="E403" s="6">
        <v>0.40208333333333335</v>
      </c>
      <c r="F403" s="6">
        <v>0.83680555555555558</v>
      </c>
      <c r="G403" s="3" t="s">
        <v>125</v>
      </c>
      <c r="H403" s="3" t="s">
        <v>14</v>
      </c>
      <c r="I403" s="3" t="s">
        <v>15</v>
      </c>
    </row>
    <row r="404" spans="1:9" s="3" customFormat="1" x14ac:dyDescent="0.3">
      <c r="A404" s="3" t="s">
        <v>197</v>
      </c>
      <c r="B404" s="3" t="s">
        <v>198</v>
      </c>
      <c r="C404" s="3" t="s">
        <v>11</v>
      </c>
      <c r="D404" s="3" t="s">
        <v>281</v>
      </c>
      <c r="E404" s="6"/>
      <c r="F404" s="6"/>
      <c r="G404" s="3" t="s">
        <v>125</v>
      </c>
      <c r="H404" s="3" t="s">
        <v>14</v>
      </c>
      <c r="I404" s="3" t="s">
        <v>15</v>
      </c>
    </row>
    <row r="405" spans="1:9" s="3" customFormat="1" x14ac:dyDescent="0.3">
      <c r="A405" s="3" t="s">
        <v>141</v>
      </c>
      <c r="B405" s="3" t="s">
        <v>142</v>
      </c>
      <c r="C405" s="3" t="s">
        <v>24</v>
      </c>
      <c r="D405" s="3" t="s">
        <v>153</v>
      </c>
      <c r="E405" s="6">
        <v>0.40625</v>
      </c>
      <c r="F405" s="6">
        <v>0.87222222222222223</v>
      </c>
      <c r="G405" s="3" t="s">
        <v>13</v>
      </c>
      <c r="H405" s="3" t="s">
        <v>27</v>
      </c>
      <c r="I405" s="3" t="s">
        <v>15</v>
      </c>
    </row>
    <row r="406" spans="1:9" s="3" customFormat="1" x14ac:dyDescent="0.3">
      <c r="A406" s="3" t="s">
        <v>16</v>
      </c>
      <c r="B406" s="3" t="s">
        <v>17</v>
      </c>
      <c r="C406" s="3" t="s">
        <v>11</v>
      </c>
      <c r="D406" s="3" t="s">
        <v>257</v>
      </c>
      <c r="E406" s="6">
        <v>0.37083333333333335</v>
      </c>
      <c r="F406" s="6">
        <v>0.86527777777777781</v>
      </c>
      <c r="G406" s="3" t="s">
        <v>13</v>
      </c>
      <c r="H406" s="3" t="s">
        <v>14</v>
      </c>
      <c r="I406" s="3" t="s">
        <v>15</v>
      </c>
    </row>
    <row r="407" spans="1:9" s="3" customFormat="1" x14ac:dyDescent="0.3">
      <c r="A407" s="3" t="s">
        <v>37</v>
      </c>
      <c r="B407" s="3" t="s">
        <v>38</v>
      </c>
      <c r="C407" s="3" t="s">
        <v>24</v>
      </c>
      <c r="D407" s="3" t="s">
        <v>311</v>
      </c>
      <c r="E407" s="6">
        <v>0.44305555555555554</v>
      </c>
      <c r="F407" s="6">
        <v>0.85624999999999996</v>
      </c>
      <c r="G407" s="3" t="s">
        <v>20</v>
      </c>
      <c r="H407" s="3" t="s">
        <v>27</v>
      </c>
      <c r="I407" s="3" t="s">
        <v>21</v>
      </c>
    </row>
    <row r="408" spans="1:9" s="3" customFormat="1" x14ac:dyDescent="0.3">
      <c r="A408" s="3" t="s">
        <v>52</v>
      </c>
      <c r="B408" s="3" t="s">
        <v>53</v>
      </c>
      <c r="C408" s="3" t="s">
        <v>42</v>
      </c>
      <c r="D408" s="3" t="s">
        <v>74</v>
      </c>
      <c r="E408" s="6">
        <v>0.41388888888888886</v>
      </c>
      <c r="F408" s="6">
        <v>0.78472222222222221</v>
      </c>
      <c r="G408" s="3" t="s">
        <v>13</v>
      </c>
      <c r="H408" s="3" t="s">
        <v>27</v>
      </c>
      <c r="I408" s="3" t="s">
        <v>15</v>
      </c>
    </row>
    <row r="409" spans="1:9" s="3" customFormat="1" x14ac:dyDescent="0.3">
      <c r="A409" s="3" t="s">
        <v>187</v>
      </c>
      <c r="B409" s="3" t="s">
        <v>188</v>
      </c>
      <c r="C409" s="3" t="s">
        <v>18</v>
      </c>
      <c r="D409" s="3" t="s">
        <v>221</v>
      </c>
      <c r="E409" s="6">
        <v>0.43333333333333335</v>
      </c>
      <c r="F409" s="6">
        <v>0.82291666666666663</v>
      </c>
      <c r="G409" s="3" t="s">
        <v>13</v>
      </c>
      <c r="H409" s="3" t="s">
        <v>27</v>
      </c>
      <c r="I409" s="3" t="s">
        <v>15</v>
      </c>
    </row>
    <row r="410" spans="1:9" s="3" customFormat="1" x14ac:dyDescent="0.3">
      <c r="A410" s="3" t="s">
        <v>55</v>
      </c>
      <c r="B410" s="3" t="s">
        <v>56</v>
      </c>
      <c r="C410" s="3" t="s">
        <v>18</v>
      </c>
      <c r="D410" s="3" t="s">
        <v>309</v>
      </c>
      <c r="E410" s="6">
        <v>0.48194444444444445</v>
      </c>
      <c r="F410" s="6">
        <v>0.7729166666666667</v>
      </c>
      <c r="G410" s="3" t="s">
        <v>13</v>
      </c>
      <c r="H410" s="3" t="s">
        <v>27</v>
      </c>
      <c r="I410" s="3" t="s">
        <v>21</v>
      </c>
    </row>
    <row r="411" spans="1:9" s="3" customFormat="1" x14ac:dyDescent="0.3">
      <c r="A411" s="3" t="s">
        <v>115</v>
      </c>
      <c r="B411" s="3" t="s">
        <v>116</v>
      </c>
      <c r="C411" s="3" t="s">
        <v>60</v>
      </c>
      <c r="D411" s="3" t="s">
        <v>326</v>
      </c>
      <c r="E411" s="6"/>
      <c r="F411" s="6"/>
      <c r="G411" s="3" t="s">
        <v>44</v>
      </c>
      <c r="H411" s="3" t="s">
        <v>14</v>
      </c>
      <c r="I411" s="3" t="s">
        <v>15</v>
      </c>
    </row>
    <row r="412" spans="1:9" s="3" customFormat="1" x14ac:dyDescent="0.3">
      <c r="A412" s="3" t="s">
        <v>84</v>
      </c>
      <c r="B412" s="3" t="s">
        <v>85</v>
      </c>
      <c r="C412" s="3" t="s">
        <v>64</v>
      </c>
      <c r="D412" s="3" t="s">
        <v>356</v>
      </c>
      <c r="E412" s="6">
        <v>0.43958333333333333</v>
      </c>
      <c r="F412" s="6">
        <v>0.84930555555555554</v>
      </c>
      <c r="G412" s="3" t="s">
        <v>170</v>
      </c>
      <c r="H412" s="3" t="s">
        <v>14</v>
      </c>
      <c r="I412" s="3" t="s">
        <v>15</v>
      </c>
    </row>
    <row r="413" spans="1:9" s="3" customFormat="1" x14ac:dyDescent="0.3">
      <c r="A413" s="3" t="s">
        <v>141</v>
      </c>
      <c r="B413" s="3" t="s">
        <v>142</v>
      </c>
      <c r="C413" s="3" t="s">
        <v>42</v>
      </c>
      <c r="D413" s="3" t="s">
        <v>302</v>
      </c>
      <c r="E413" s="6">
        <v>0.33333333333333331</v>
      </c>
      <c r="F413" s="6">
        <v>0.87361111111111112</v>
      </c>
      <c r="G413" s="3" t="s">
        <v>20</v>
      </c>
      <c r="H413" s="3" t="s">
        <v>27</v>
      </c>
      <c r="I413" s="3" t="s">
        <v>21</v>
      </c>
    </row>
    <row r="414" spans="1:9" s="3" customFormat="1" x14ac:dyDescent="0.3">
      <c r="A414" s="3" t="s">
        <v>87</v>
      </c>
      <c r="B414" s="3" t="s">
        <v>88</v>
      </c>
      <c r="C414" s="3" t="s">
        <v>42</v>
      </c>
      <c r="D414" s="3" t="s">
        <v>306</v>
      </c>
      <c r="E414" s="6">
        <v>0.34583333333333333</v>
      </c>
      <c r="F414" s="6">
        <v>0.83611111111111114</v>
      </c>
      <c r="G414" s="3" t="s">
        <v>26</v>
      </c>
      <c r="H414" s="3" t="s">
        <v>14</v>
      </c>
      <c r="I414" s="3" t="s">
        <v>15</v>
      </c>
    </row>
    <row r="415" spans="1:9" s="3" customFormat="1" x14ac:dyDescent="0.3">
      <c r="A415" s="3" t="s">
        <v>99</v>
      </c>
      <c r="B415" s="3" t="s">
        <v>100</v>
      </c>
      <c r="C415" s="3" t="s">
        <v>42</v>
      </c>
      <c r="D415" s="3" t="s">
        <v>25</v>
      </c>
      <c r="E415" s="6">
        <v>0.43263888888888891</v>
      </c>
      <c r="F415" s="6">
        <v>0.74513888888888891</v>
      </c>
      <c r="G415" s="3" t="s">
        <v>26</v>
      </c>
      <c r="H415" s="3" t="s">
        <v>27</v>
      </c>
      <c r="I415" s="3" t="s">
        <v>15</v>
      </c>
    </row>
    <row r="416" spans="1:9" s="3" customFormat="1" x14ac:dyDescent="0.3">
      <c r="A416" s="3" t="s">
        <v>58</v>
      </c>
      <c r="B416" s="3" t="s">
        <v>59</v>
      </c>
      <c r="C416" s="3" t="s">
        <v>64</v>
      </c>
      <c r="D416" s="3" t="s">
        <v>202</v>
      </c>
      <c r="E416" s="6"/>
      <c r="F416" s="6"/>
      <c r="G416" s="3" t="s">
        <v>44</v>
      </c>
      <c r="H416" s="3" t="s">
        <v>27</v>
      </c>
      <c r="I416" s="3" t="s">
        <v>21</v>
      </c>
    </row>
    <row r="417" spans="1:9" s="3" customFormat="1" x14ac:dyDescent="0.3">
      <c r="A417" s="3" t="s">
        <v>315</v>
      </c>
      <c r="B417" s="3" t="s">
        <v>316</v>
      </c>
      <c r="C417" s="3" t="s">
        <v>64</v>
      </c>
      <c r="D417" s="3" t="s">
        <v>357</v>
      </c>
      <c r="E417" s="6">
        <v>0.39930555555555558</v>
      </c>
      <c r="F417" s="6">
        <v>0.75972222222222219</v>
      </c>
      <c r="G417" s="3" t="s">
        <v>20</v>
      </c>
      <c r="H417" s="3" t="s">
        <v>27</v>
      </c>
      <c r="I417" s="3" t="s">
        <v>15</v>
      </c>
    </row>
    <row r="418" spans="1:9" s="3" customFormat="1" x14ac:dyDescent="0.3">
      <c r="A418" s="3" t="s">
        <v>62</v>
      </c>
      <c r="B418" s="3" t="s">
        <v>63</v>
      </c>
      <c r="C418" s="3" t="s">
        <v>24</v>
      </c>
      <c r="D418" s="3" t="s">
        <v>161</v>
      </c>
      <c r="E418" s="6">
        <v>0.375</v>
      </c>
      <c r="F418" s="6">
        <v>0.71597222222222223</v>
      </c>
      <c r="G418" s="3" t="s">
        <v>26</v>
      </c>
      <c r="H418" s="3" t="s">
        <v>14</v>
      </c>
      <c r="I418" s="3" t="s">
        <v>15</v>
      </c>
    </row>
    <row r="419" spans="1:9" s="3" customFormat="1" x14ac:dyDescent="0.3">
      <c r="A419" s="3" t="s">
        <v>165</v>
      </c>
      <c r="B419" s="3" t="s">
        <v>166</v>
      </c>
      <c r="C419" s="3" t="s">
        <v>60</v>
      </c>
      <c r="D419" s="3" t="s">
        <v>263</v>
      </c>
      <c r="E419" s="6">
        <v>0.4597222222222222</v>
      </c>
      <c r="F419" s="6">
        <v>0.81944444444444442</v>
      </c>
      <c r="G419" s="3" t="s">
        <v>20</v>
      </c>
      <c r="H419" s="3" t="s">
        <v>14</v>
      </c>
      <c r="I419" s="3" t="s">
        <v>21</v>
      </c>
    </row>
    <row r="420" spans="1:9" s="3" customFormat="1" x14ac:dyDescent="0.3">
      <c r="A420" s="3" t="s">
        <v>130</v>
      </c>
      <c r="B420" s="3" t="s">
        <v>131</v>
      </c>
      <c r="C420" s="3" t="s">
        <v>64</v>
      </c>
      <c r="D420" s="3" t="s">
        <v>160</v>
      </c>
      <c r="E420" s="6">
        <v>0.36944444444444446</v>
      </c>
      <c r="F420" s="6">
        <v>0.80555555555555558</v>
      </c>
      <c r="G420" s="3" t="s">
        <v>13</v>
      </c>
      <c r="H420" s="3" t="s">
        <v>14</v>
      </c>
      <c r="I420" s="3" t="s">
        <v>15</v>
      </c>
    </row>
    <row r="421" spans="1:9" s="3" customFormat="1" x14ac:dyDescent="0.3">
      <c r="A421" s="3" t="s">
        <v>81</v>
      </c>
      <c r="B421" s="3" t="s">
        <v>82</v>
      </c>
      <c r="C421" s="3" t="s">
        <v>42</v>
      </c>
      <c r="D421" s="3" t="s">
        <v>332</v>
      </c>
      <c r="E421" s="6"/>
      <c r="F421" s="6"/>
      <c r="G421" s="3" t="s">
        <v>44</v>
      </c>
      <c r="H421" s="3" t="s">
        <v>14</v>
      </c>
      <c r="I421" s="3" t="s">
        <v>15</v>
      </c>
    </row>
    <row r="422" spans="1:9" s="3" customFormat="1" x14ac:dyDescent="0.3">
      <c r="A422" s="3" t="s">
        <v>66</v>
      </c>
      <c r="B422" s="3" t="s">
        <v>67</v>
      </c>
      <c r="C422" s="3" t="s">
        <v>64</v>
      </c>
      <c r="D422" s="3" t="s">
        <v>57</v>
      </c>
      <c r="E422" s="6"/>
      <c r="F422" s="6"/>
      <c r="G422" s="3" t="s">
        <v>44</v>
      </c>
      <c r="H422" s="3" t="s">
        <v>14</v>
      </c>
      <c r="I422" s="3" t="s">
        <v>15</v>
      </c>
    </row>
    <row r="423" spans="1:9" s="3" customFormat="1" x14ac:dyDescent="0.3">
      <c r="A423" s="3" t="s">
        <v>122</v>
      </c>
      <c r="B423" s="3" t="s">
        <v>123</v>
      </c>
      <c r="C423" s="3" t="s">
        <v>18</v>
      </c>
      <c r="D423" s="3" t="s">
        <v>358</v>
      </c>
      <c r="E423" s="6">
        <v>0.36736111111111114</v>
      </c>
      <c r="F423" s="6">
        <v>0.67222222222222228</v>
      </c>
      <c r="G423" s="3" t="s">
        <v>149</v>
      </c>
      <c r="H423" s="3" t="s">
        <v>27</v>
      </c>
      <c r="I423" s="3" t="s">
        <v>15</v>
      </c>
    </row>
    <row r="424" spans="1:9" s="3" customFormat="1" x14ac:dyDescent="0.3">
      <c r="A424" s="3" t="s">
        <v>78</v>
      </c>
      <c r="B424" s="3" t="s">
        <v>79</v>
      </c>
      <c r="C424" s="3" t="s">
        <v>60</v>
      </c>
      <c r="D424" s="3" t="s">
        <v>359</v>
      </c>
      <c r="E424" s="6">
        <v>0.38194444444444442</v>
      </c>
      <c r="F424" s="6">
        <v>0.74861111111111112</v>
      </c>
      <c r="G424" s="3" t="s">
        <v>13</v>
      </c>
      <c r="H424" s="3" t="s">
        <v>14</v>
      </c>
      <c r="I424" s="3" t="s">
        <v>15</v>
      </c>
    </row>
    <row r="425" spans="1:9" s="3" customFormat="1" x14ac:dyDescent="0.3">
      <c r="A425" s="3" t="s">
        <v>197</v>
      </c>
      <c r="B425" s="3" t="s">
        <v>198</v>
      </c>
      <c r="C425" s="3" t="s">
        <v>42</v>
      </c>
      <c r="D425" s="3" t="s">
        <v>360</v>
      </c>
      <c r="E425" s="6">
        <v>0.42708333333333331</v>
      </c>
      <c r="F425" s="6">
        <v>0.79861111111111116</v>
      </c>
      <c r="G425" s="3" t="s">
        <v>13</v>
      </c>
      <c r="H425" s="3" t="s">
        <v>14</v>
      </c>
      <c r="I425" s="3" t="s">
        <v>21</v>
      </c>
    </row>
    <row r="426" spans="1:9" s="3" customFormat="1" x14ac:dyDescent="0.3">
      <c r="A426" s="3" t="s">
        <v>22</v>
      </c>
      <c r="B426" s="3" t="s">
        <v>23</v>
      </c>
      <c r="C426" s="3" t="s">
        <v>64</v>
      </c>
      <c r="D426" s="3" t="s">
        <v>361</v>
      </c>
      <c r="E426" s="6">
        <v>0.37222222222222223</v>
      </c>
      <c r="F426" s="6">
        <v>0.70486111111111116</v>
      </c>
      <c r="G426" s="3" t="s">
        <v>13</v>
      </c>
      <c r="H426" s="3" t="s">
        <v>14</v>
      </c>
      <c r="I426" s="3" t="s">
        <v>21</v>
      </c>
    </row>
    <row r="427" spans="1:9" s="3" customFormat="1" x14ac:dyDescent="0.3">
      <c r="A427" s="3" t="s">
        <v>66</v>
      </c>
      <c r="B427" s="3" t="s">
        <v>67</v>
      </c>
      <c r="C427" s="3" t="s">
        <v>60</v>
      </c>
      <c r="D427" s="3" t="s">
        <v>288</v>
      </c>
      <c r="E427" s="6">
        <v>0.45208333333333334</v>
      </c>
      <c r="F427" s="6">
        <v>0.7680555555555556</v>
      </c>
      <c r="G427" s="3" t="s">
        <v>13</v>
      </c>
      <c r="H427" s="3" t="s">
        <v>27</v>
      </c>
      <c r="I427" s="3" t="s">
        <v>21</v>
      </c>
    </row>
    <row r="428" spans="1:9" s="3" customFormat="1" x14ac:dyDescent="0.3">
      <c r="A428" s="3" t="s">
        <v>362</v>
      </c>
      <c r="B428" s="3" t="s">
        <v>363</v>
      </c>
      <c r="C428" s="3" t="s">
        <v>60</v>
      </c>
      <c r="D428" s="3" t="s">
        <v>364</v>
      </c>
      <c r="E428" s="6">
        <v>0.36458333333333331</v>
      </c>
      <c r="F428" s="6">
        <v>0.78819444444444442</v>
      </c>
      <c r="G428" s="3" t="s">
        <v>13</v>
      </c>
      <c r="H428" s="3" t="s">
        <v>27</v>
      </c>
      <c r="I428" s="3" t="s">
        <v>15</v>
      </c>
    </row>
    <row r="429" spans="1:9" s="3" customFormat="1" x14ac:dyDescent="0.3">
      <c r="A429" s="3" t="s">
        <v>16</v>
      </c>
      <c r="B429" s="3" t="s">
        <v>17</v>
      </c>
      <c r="C429" s="3" t="s">
        <v>18</v>
      </c>
      <c r="D429" s="3" t="s">
        <v>335</v>
      </c>
      <c r="E429" s="6">
        <v>0.39166666666666666</v>
      </c>
      <c r="F429" s="6">
        <v>0.67013888888888884</v>
      </c>
      <c r="G429" s="3" t="s">
        <v>26</v>
      </c>
      <c r="H429" s="3" t="s">
        <v>27</v>
      </c>
      <c r="I429" s="3" t="s">
        <v>21</v>
      </c>
    </row>
    <row r="430" spans="1:9" s="3" customFormat="1" x14ac:dyDescent="0.3">
      <c r="A430" s="3" t="s">
        <v>52</v>
      </c>
      <c r="B430" s="3" t="s">
        <v>53</v>
      </c>
      <c r="C430" s="3" t="s">
        <v>42</v>
      </c>
      <c r="D430" s="3" t="s">
        <v>226</v>
      </c>
      <c r="E430" s="6">
        <v>0.36736111111111114</v>
      </c>
      <c r="F430" s="6">
        <v>0.67569444444444449</v>
      </c>
      <c r="G430" s="3" t="s">
        <v>13</v>
      </c>
      <c r="H430" s="3" t="s">
        <v>27</v>
      </c>
      <c r="I430" s="3" t="s">
        <v>21</v>
      </c>
    </row>
    <row r="431" spans="1:9" s="3" customFormat="1" x14ac:dyDescent="0.3">
      <c r="A431" s="3" t="s">
        <v>154</v>
      </c>
      <c r="B431" s="3" t="s">
        <v>155</v>
      </c>
      <c r="C431" s="3" t="s">
        <v>18</v>
      </c>
      <c r="D431" s="3" t="s">
        <v>275</v>
      </c>
      <c r="E431" s="6">
        <v>0.43194444444444446</v>
      </c>
      <c r="F431" s="6">
        <v>0.66666666666666663</v>
      </c>
      <c r="G431" s="3" t="s">
        <v>20</v>
      </c>
      <c r="H431" s="3" t="s">
        <v>14</v>
      </c>
      <c r="I431" s="3" t="s">
        <v>21</v>
      </c>
    </row>
    <row r="432" spans="1:9" s="3" customFormat="1" x14ac:dyDescent="0.3">
      <c r="A432" s="3" t="s">
        <v>338</v>
      </c>
      <c r="B432" s="3" t="s">
        <v>339</v>
      </c>
      <c r="C432" s="3" t="s">
        <v>64</v>
      </c>
      <c r="D432" s="3" t="s">
        <v>323</v>
      </c>
      <c r="E432" s="6">
        <v>0.47847222222222224</v>
      </c>
      <c r="F432" s="6">
        <v>0.75902777777777775</v>
      </c>
      <c r="G432" s="3" t="s">
        <v>26</v>
      </c>
      <c r="H432" s="3" t="s">
        <v>14</v>
      </c>
      <c r="I432" s="3" t="s">
        <v>15</v>
      </c>
    </row>
    <row r="433" spans="1:9" s="3" customFormat="1" x14ac:dyDescent="0.3">
      <c r="A433" s="3" t="s">
        <v>31</v>
      </c>
      <c r="B433" s="3" t="s">
        <v>32</v>
      </c>
      <c r="C433" s="3" t="s">
        <v>60</v>
      </c>
      <c r="D433" s="3" t="s">
        <v>77</v>
      </c>
      <c r="E433" s="6">
        <v>0.39861111111111114</v>
      </c>
      <c r="F433" s="6">
        <v>0.71944444444444444</v>
      </c>
      <c r="G433" s="3" t="s">
        <v>26</v>
      </c>
      <c r="H433" s="3" t="s">
        <v>14</v>
      </c>
      <c r="I433" s="3" t="s">
        <v>21</v>
      </c>
    </row>
    <row r="434" spans="1:9" s="3" customFormat="1" x14ac:dyDescent="0.3">
      <c r="A434" s="3" t="s">
        <v>62</v>
      </c>
      <c r="B434" s="3" t="s">
        <v>63</v>
      </c>
      <c r="C434" s="3" t="s">
        <v>24</v>
      </c>
      <c r="D434" s="3" t="s">
        <v>221</v>
      </c>
      <c r="E434" s="6"/>
      <c r="F434" s="6"/>
      <c r="G434" s="3" t="s">
        <v>44</v>
      </c>
      <c r="H434" s="3" t="s">
        <v>14</v>
      </c>
      <c r="I434" s="3" t="s">
        <v>21</v>
      </c>
    </row>
    <row r="435" spans="1:9" s="3" customFormat="1" x14ac:dyDescent="0.3">
      <c r="A435" s="3" t="s">
        <v>75</v>
      </c>
      <c r="B435" s="3" t="s">
        <v>76</v>
      </c>
      <c r="C435" s="3" t="s">
        <v>60</v>
      </c>
      <c r="D435" s="3" t="s">
        <v>365</v>
      </c>
      <c r="E435" s="6">
        <v>0.36875000000000002</v>
      </c>
      <c r="F435" s="6">
        <v>0.67986111111111114</v>
      </c>
      <c r="G435" s="3" t="s">
        <v>20</v>
      </c>
      <c r="H435" s="3" t="s">
        <v>14</v>
      </c>
      <c r="I435" s="3" t="s">
        <v>21</v>
      </c>
    </row>
    <row r="436" spans="1:9" s="3" customFormat="1" x14ac:dyDescent="0.3">
      <c r="A436" s="3" t="s">
        <v>269</v>
      </c>
      <c r="B436" s="3" t="s">
        <v>270</v>
      </c>
      <c r="C436" s="3" t="s">
        <v>64</v>
      </c>
      <c r="D436" s="3" t="s">
        <v>356</v>
      </c>
      <c r="E436" s="6"/>
      <c r="F436" s="6"/>
      <c r="G436" s="3" t="s">
        <v>44</v>
      </c>
      <c r="H436" s="3" t="s">
        <v>14</v>
      </c>
      <c r="I436" s="3" t="s">
        <v>15</v>
      </c>
    </row>
    <row r="437" spans="1:9" s="3" customFormat="1" x14ac:dyDescent="0.3">
      <c r="A437" s="3" t="s">
        <v>69</v>
      </c>
      <c r="B437" s="3" t="s">
        <v>70</v>
      </c>
      <c r="C437" s="3" t="s">
        <v>42</v>
      </c>
      <c r="D437" s="3" t="s">
        <v>366</v>
      </c>
      <c r="E437" s="6">
        <v>0.42569444444444443</v>
      </c>
      <c r="F437" s="6">
        <v>0.81319444444444444</v>
      </c>
      <c r="G437" s="3" t="s">
        <v>13</v>
      </c>
      <c r="H437" s="3" t="s">
        <v>27</v>
      </c>
      <c r="I437" s="3" t="s">
        <v>15</v>
      </c>
    </row>
    <row r="438" spans="1:9" s="3" customFormat="1" x14ac:dyDescent="0.3">
      <c r="A438" s="3" t="s">
        <v>191</v>
      </c>
      <c r="B438" s="3" t="s">
        <v>192</v>
      </c>
      <c r="C438" s="3" t="s">
        <v>60</v>
      </c>
      <c r="D438" s="3" t="s">
        <v>282</v>
      </c>
      <c r="E438" s="6">
        <v>0.40694444444444444</v>
      </c>
      <c r="F438" s="6">
        <v>0.78749999999999998</v>
      </c>
      <c r="G438" s="3" t="s">
        <v>26</v>
      </c>
      <c r="H438" s="3" t="s">
        <v>27</v>
      </c>
      <c r="I438" s="3" t="s">
        <v>21</v>
      </c>
    </row>
    <row r="439" spans="1:9" s="3" customFormat="1" x14ac:dyDescent="0.3">
      <c r="A439" s="3" t="s">
        <v>154</v>
      </c>
      <c r="B439" s="3" t="s">
        <v>155</v>
      </c>
      <c r="C439" s="3" t="s">
        <v>64</v>
      </c>
      <c r="D439" s="3" t="s">
        <v>174</v>
      </c>
      <c r="E439" s="6">
        <v>0.42638888888888887</v>
      </c>
      <c r="F439" s="6">
        <v>0.74791666666666667</v>
      </c>
      <c r="G439" s="3" t="s">
        <v>13</v>
      </c>
      <c r="H439" s="3" t="s">
        <v>27</v>
      </c>
      <c r="I439" s="3" t="s">
        <v>15</v>
      </c>
    </row>
    <row r="440" spans="1:9" s="3" customFormat="1" x14ac:dyDescent="0.3">
      <c r="A440" s="3" t="s">
        <v>90</v>
      </c>
      <c r="B440" s="3" t="s">
        <v>91</v>
      </c>
      <c r="C440" s="3" t="s">
        <v>64</v>
      </c>
      <c r="D440" s="3" t="s">
        <v>104</v>
      </c>
      <c r="E440" s="6">
        <v>0.49513888888888891</v>
      </c>
      <c r="F440" s="6">
        <v>0.79027777777777775</v>
      </c>
      <c r="G440" s="3" t="s">
        <v>20</v>
      </c>
      <c r="H440" s="3" t="s">
        <v>14</v>
      </c>
      <c r="I440" s="3" t="s">
        <v>15</v>
      </c>
    </row>
    <row r="441" spans="1:9" s="3" customFormat="1" x14ac:dyDescent="0.3">
      <c r="A441" s="3" t="s">
        <v>55</v>
      </c>
      <c r="B441" s="3" t="s">
        <v>56</v>
      </c>
      <c r="C441" s="3" t="s">
        <v>42</v>
      </c>
      <c r="D441" s="3" t="s">
        <v>114</v>
      </c>
      <c r="E441" s="6">
        <v>0.36180555555555555</v>
      </c>
      <c r="F441" s="6">
        <v>0.82499999999999996</v>
      </c>
      <c r="G441" s="3" t="s">
        <v>20</v>
      </c>
      <c r="H441" s="3" t="s">
        <v>27</v>
      </c>
      <c r="I441" s="3" t="s">
        <v>21</v>
      </c>
    </row>
    <row r="442" spans="1:9" s="3" customFormat="1" x14ac:dyDescent="0.3">
      <c r="A442" s="3" t="s">
        <v>9</v>
      </c>
      <c r="B442" s="3" t="s">
        <v>10</v>
      </c>
      <c r="C442" s="3" t="s">
        <v>64</v>
      </c>
      <c r="D442" s="3" t="s">
        <v>367</v>
      </c>
      <c r="E442" s="6"/>
      <c r="F442" s="6"/>
      <c r="G442" s="3" t="s">
        <v>44</v>
      </c>
      <c r="H442" s="3" t="s">
        <v>14</v>
      </c>
      <c r="I442" s="3" t="s">
        <v>21</v>
      </c>
    </row>
    <row r="443" spans="1:9" s="3" customFormat="1" x14ac:dyDescent="0.3">
      <c r="A443" s="3" t="s">
        <v>37</v>
      </c>
      <c r="B443" s="3" t="s">
        <v>38</v>
      </c>
      <c r="C443" s="3" t="s">
        <v>24</v>
      </c>
      <c r="D443" s="3" t="s">
        <v>132</v>
      </c>
      <c r="E443" s="6">
        <v>0.47847222222222224</v>
      </c>
      <c r="F443" s="6">
        <v>0.74097222222222225</v>
      </c>
      <c r="G443" s="3" t="s">
        <v>26</v>
      </c>
      <c r="H443" s="3" t="s">
        <v>27</v>
      </c>
      <c r="I443" s="3" t="s">
        <v>15</v>
      </c>
    </row>
    <row r="444" spans="1:9" s="3" customFormat="1" x14ac:dyDescent="0.3">
      <c r="A444" s="3" t="s">
        <v>216</v>
      </c>
      <c r="B444" s="3" t="s">
        <v>217</v>
      </c>
      <c r="C444" s="3" t="s">
        <v>24</v>
      </c>
      <c r="D444" s="3" t="s">
        <v>159</v>
      </c>
      <c r="E444" s="6">
        <v>0.38263888888888886</v>
      </c>
      <c r="F444" s="6">
        <v>0.74375000000000002</v>
      </c>
      <c r="G444" s="3" t="s">
        <v>13</v>
      </c>
      <c r="H444" s="3" t="s">
        <v>14</v>
      </c>
      <c r="I444" s="3" t="s">
        <v>15</v>
      </c>
    </row>
    <row r="445" spans="1:9" s="3" customFormat="1" x14ac:dyDescent="0.3">
      <c r="A445" s="3" t="s">
        <v>81</v>
      </c>
      <c r="B445" s="3" t="s">
        <v>82</v>
      </c>
      <c r="C445" s="3" t="s">
        <v>11</v>
      </c>
      <c r="D445" s="3" t="s">
        <v>68</v>
      </c>
      <c r="E445" s="6">
        <v>0.41388888888888886</v>
      </c>
      <c r="F445" s="6">
        <v>0.7993055555555556</v>
      </c>
      <c r="G445" s="3" t="s">
        <v>20</v>
      </c>
      <c r="H445" s="3" t="s">
        <v>27</v>
      </c>
      <c r="I445" s="3" t="s">
        <v>21</v>
      </c>
    </row>
    <row r="446" spans="1:9" s="3" customFormat="1" x14ac:dyDescent="0.3">
      <c r="A446" s="3" t="s">
        <v>99</v>
      </c>
      <c r="B446" s="3" t="s">
        <v>100</v>
      </c>
      <c r="C446" s="3" t="s">
        <v>64</v>
      </c>
      <c r="D446" s="3" t="s">
        <v>351</v>
      </c>
      <c r="E446" s="6"/>
      <c r="F446" s="6"/>
      <c r="G446" s="3" t="s">
        <v>44</v>
      </c>
      <c r="H446" s="3" t="s">
        <v>27</v>
      </c>
      <c r="I446" s="3" t="s">
        <v>21</v>
      </c>
    </row>
    <row r="447" spans="1:9" s="3" customFormat="1" x14ac:dyDescent="0.3">
      <c r="A447" s="3" t="s">
        <v>90</v>
      </c>
      <c r="B447" s="3" t="s">
        <v>91</v>
      </c>
      <c r="C447" s="3" t="s">
        <v>42</v>
      </c>
      <c r="D447" s="3" t="s">
        <v>190</v>
      </c>
      <c r="E447" s="6">
        <v>0.3527777777777778</v>
      </c>
      <c r="F447" s="6">
        <v>0.67083333333333328</v>
      </c>
      <c r="G447" s="3" t="s">
        <v>26</v>
      </c>
      <c r="H447" s="3" t="s">
        <v>27</v>
      </c>
      <c r="I447" s="3" t="s">
        <v>21</v>
      </c>
    </row>
    <row r="448" spans="1:9" s="3" customFormat="1" x14ac:dyDescent="0.3">
      <c r="A448" s="3" t="s">
        <v>141</v>
      </c>
      <c r="B448" s="3" t="s">
        <v>142</v>
      </c>
      <c r="C448" s="3" t="s">
        <v>42</v>
      </c>
      <c r="D448" s="3" t="s">
        <v>368</v>
      </c>
      <c r="E448" s="6"/>
      <c r="F448" s="6"/>
      <c r="G448" s="3" t="s">
        <v>44</v>
      </c>
      <c r="H448" s="3" t="s">
        <v>27</v>
      </c>
      <c r="I448" s="3" t="s">
        <v>15</v>
      </c>
    </row>
    <row r="449" spans="1:9" s="3" customFormat="1" x14ac:dyDescent="0.3">
      <c r="A449" s="3" t="s">
        <v>75</v>
      </c>
      <c r="B449" s="3" t="s">
        <v>76</v>
      </c>
      <c r="C449" s="3" t="s">
        <v>64</v>
      </c>
      <c r="D449" s="3" t="s">
        <v>329</v>
      </c>
      <c r="E449" s="6">
        <v>0.45</v>
      </c>
      <c r="F449" s="6">
        <v>0.82361111111111107</v>
      </c>
      <c r="G449" s="3" t="s">
        <v>20</v>
      </c>
      <c r="H449" s="3" t="s">
        <v>27</v>
      </c>
      <c r="I449" s="3" t="s">
        <v>15</v>
      </c>
    </row>
    <row r="450" spans="1:9" s="3" customFormat="1" x14ac:dyDescent="0.3">
      <c r="A450" s="3" t="s">
        <v>194</v>
      </c>
      <c r="B450" s="3" t="s">
        <v>195</v>
      </c>
      <c r="C450" s="3" t="s">
        <v>24</v>
      </c>
      <c r="D450" s="3" t="s">
        <v>369</v>
      </c>
      <c r="E450" s="6"/>
      <c r="F450" s="6"/>
      <c r="G450" s="3" t="s">
        <v>44</v>
      </c>
      <c r="H450" s="3" t="s">
        <v>14</v>
      </c>
      <c r="I450" s="3" t="s">
        <v>15</v>
      </c>
    </row>
    <row r="451" spans="1:9" s="3" customFormat="1" x14ac:dyDescent="0.3">
      <c r="A451" s="3" t="s">
        <v>362</v>
      </c>
      <c r="B451" s="3" t="s">
        <v>363</v>
      </c>
      <c r="C451" s="3" t="s">
        <v>64</v>
      </c>
      <c r="D451" s="3" t="s">
        <v>189</v>
      </c>
      <c r="E451" s="6">
        <v>0.49583333333333335</v>
      </c>
      <c r="F451" s="6">
        <v>0.80902777777777779</v>
      </c>
      <c r="G451" s="3" t="s">
        <v>20</v>
      </c>
      <c r="H451" s="3" t="s">
        <v>27</v>
      </c>
      <c r="I451" s="3" t="s">
        <v>21</v>
      </c>
    </row>
    <row r="452" spans="1:9" s="3" customFormat="1" x14ac:dyDescent="0.3">
      <c r="A452" s="3" t="s">
        <v>204</v>
      </c>
      <c r="B452" s="3" t="s">
        <v>205</v>
      </c>
      <c r="C452" s="3" t="s">
        <v>18</v>
      </c>
      <c r="D452" s="3" t="s">
        <v>366</v>
      </c>
      <c r="E452" s="6"/>
      <c r="F452" s="6"/>
      <c r="G452" s="3" t="s">
        <v>44</v>
      </c>
      <c r="H452" s="3" t="s">
        <v>14</v>
      </c>
      <c r="I452" s="3" t="s">
        <v>15</v>
      </c>
    </row>
    <row r="453" spans="1:9" s="3" customFormat="1" x14ac:dyDescent="0.3">
      <c r="A453" s="3" t="s">
        <v>112</v>
      </c>
      <c r="B453" s="3" t="s">
        <v>113</v>
      </c>
      <c r="C453" s="3" t="s">
        <v>24</v>
      </c>
      <c r="D453" s="3" t="s">
        <v>228</v>
      </c>
      <c r="E453" s="6">
        <v>0.47083333333333333</v>
      </c>
      <c r="F453" s="6">
        <v>0.72499999999999998</v>
      </c>
      <c r="G453" s="3" t="s">
        <v>13</v>
      </c>
      <c r="H453" s="3" t="s">
        <v>27</v>
      </c>
      <c r="I453" s="3" t="s">
        <v>21</v>
      </c>
    </row>
    <row r="454" spans="1:9" s="3" customFormat="1" x14ac:dyDescent="0.3">
      <c r="A454" s="3" t="s">
        <v>37</v>
      </c>
      <c r="B454" s="3" t="s">
        <v>38</v>
      </c>
      <c r="C454" s="3" t="s">
        <v>24</v>
      </c>
      <c r="D454" s="3" t="s">
        <v>164</v>
      </c>
      <c r="E454" s="6">
        <v>0.42986111111111114</v>
      </c>
      <c r="F454" s="6">
        <v>0.82777777777777772</v>
      </c>
      <c r="G454" s="3" t="s">
        <v>26</v>
      </c>
      <c r="H454" s="3" t="s">
        <v>14</v>
      </c>
      <c r="I454" s="3" t="s">
        <v>15</v>
      </c>
    </row>
    <row r="455" spans="1:9" s="3" customFormat="1" x14ac:dyDescent="0.3">
      <c r="A455" s="3" t="s">
        <v>150</v>
      </c>
      <c r="B455" s="3" t="s">
        <v>151</v>
      </c>
      <c r="C455" s="3" t="s">
        <v>60</v>
      </c>
      <c r="D455" s="3" t="s">
        <v>98</v>
      </c>
      <c r="E455" s="6"/>
      <c r="F455" s="6"/>
      <c r="G455" s="3" t="s">
        <v>44</v>
      </c>
      <c r="H455" s="3" t="s">
        <v>14</v>
      </c>
      <c r="I455" s="3" t="s">
        <v>15</v>
      </c>
    </row>
    <row r="456" spans="1:9" s="3" customFormat="1" x14ac:dyDescent="0.3">
      <c r="A456" s="3" t="s">
        <v>171</v>
      </c>
      <c r="B456" s="3" t="s">
        <v>172</v>
      </c>
      <c r="C456" s="3" t="s">
        <v>60</v>
      </c>
      <c r="D456" s="3" t="s">
        <v>328</v>
      </c>
      <c r="E456" s="6">
        <v>0.40555555555555556</v>
      </c>
      <c r="F456" s="6">
        <v>0.77083333333333337</v>
      </c>
      <c r="G456" s="3" t="s">
        <v>26</v>
      </c>
      <c r="H456" s="3" t="s">
        <v>27</v>
      </c>
      <c r="I456" s="3" t="s">
        <v>15</v>
      </c>
    </row>
    <row r="457" spans="1:9" s="3" customFormat="1" x14ac:dyDescent="0.3">
      <c r="A457" s="3" t="s">
        <v>146</v>
      </c>
      <c r="B457" s="3" t="s">
        <v>147</v>
      </c>
      <c r="C457" s="3" t="s">
        <v>18</v>
      </c>
      <c r="D457" s="3" t="s">
        <v>71</v>
      </c>
      <c r="E457" s="6"/>
      <c r="F457" s="6"/>
      <c r="G457" s="3" t="s">
        <v>44</v>
      </c>
      <c r="H457" s="3" t="s">
        <v>27</v>
      </c>
      <c r="I457" s="3" t="s">
        <v>21</v>
      </c>
    </row>
    <row r="458" spans="1:9" s="3" customFormat="1" x14ac:dyDescent="0.3">
      <c r="A458" s="3" t="s">
        <v>72</v>
      </c>
      <c r="B458" s="3" t="s">
        <v>73</v>
      </c>
      <c r="C458" s="3" t="s">
        <v>42</v>
      </c>
      <c r="D458" s="3" t="s">
        <v>370</v>
      </c>
      <c r="E458" s="6"/>
      <c r="F458" s="6"/>
      <c r="G458" s="3" t="s">
        <v>44</v>
      </c>
      <c r="H458" s="3" t="s">
        <v>27</v>
      </c>
      <c r="I458" s="3" t="s">
        <v>21</v>
      </c>
    </row>
    <row r="459" spans="1:9" s="3" customFormat="1" x14ac:dyDescent="0.3">
      <c r="A459" s="3" t="s">
        <v>216</v>
      </c>
      <c r="B459" s="3" t="s">
        <v>217</v>
      </c>
      <c r="C459" s="3" t="s">
        <v>42</v>
      </c>
      <c r="D459" s="3" t="s">
        <v>357</v>
      </c>
      <c r="E459" s="6"/>
      <c r="F459" s="6"/>
      <c r="G459" s="3" t="s">
        <v>44</v>
      </c>
      <c r="H459" s="3" t="s">
        <v>27</v>
      </c>
      <c r="I459" s="3" t="s">
        <v>21</v>
      </c>
    </row>
    <row r="460" spans="1:9" s="3" customFormat="1" x14ac:dyDescent="0.3">
      <c r="A460" s="3" t="s">
        <v>175</v>
      </c>
      <c r="B460" s="3" t="s">
        <v>176</v>
      </c>
      <c r="C460" s="3" t="s">
        <v>42</v>
      </c>
      <c r="D460" s="3" t="s">
        <v>371</v>
      </c>
      <c r="E460" s="6">
        <v>0.46875</v>
      </c>
      <c r="F460" s="6">
        <v>0.70347222222222228</v>
      </c>
      <c r="G460" s="3" t="s">
        <v>13</v>
      </c>
      <c r="H460" s="3" t="s">
        <v>14</v>
      </c>
      <c r="I460" s="3" t="s">
        <v>21</v>
      </c>
    </row>
    <row r="461" spans="1:9" s="3" customFormat="1" x14ac:dyDescent="0.3">
      <c r="A461" s="3" t="s">
        <v>175</v>
      </c>
      <c r="B461" s="3" t="s">
        <v>176</v>
      </c>
      <c r="C461" s="3" t="s">
        <v>24</v>
      </c>
      <c r="D461" s="3" t="s">
        <v>259</v>
      </c>
      <c r="E461" s="6">
        <v>0.42986111111111114</v>
      </c>
      <c r="F461" s="6">
        <v>0.78263888888888888</v>
      </c>
      <c r="G461" s="3" t="s">
        <v>20</v>
      </c>
      <c r="H461" s="3" t="s">
        <v>27</v>
      </c>
      <c r="I461" s="3" t="s">
        <v>15</v>
      </c>
    </row>
    <row r="462" spans="1:9" s="3" customFormat="1" x14ac:dyDescent="0.3">
      <c r="A462" s="3" t="s">
        <v>84</v>
      </c>
      <c r="B462" s="3" t="s">
        <v>85</v>
      </c>
      <c r="C462" s="3" t="s">
        <v>18</v>
      </c>
      <c r="D462" s="3" t="s">
        <v>327</v>
      </c>
      <c r="E462" s="6">
        <v>0.42152777777777778</v>
      </c>
      <c r="F462" s="6">
        <v>0.79374999999999996</v>
      </c>
      <c r="G462" s="3" t="s">
        <v>13</v>
      </c>
      <c r="H462" s="3" t="s">
        <v>14</v>
      </c>
      <c r="I462" s="3" t="s">
        <v>15</v>
      </c>
    </row>
    <row r="463" spans="1:9" s="3" customFormat="1" x14ac:dyDescent="0.3">
      <c r="A463" s="3" t="s">
        <v>45</v>
      </c>
      <c r="B463" s="3" t="s">
        <v>46</v>
      </c>
      <c r="C463" s="3" t="s">
        <v>24</v>
      </c>
      <c r="D463" s="3" t="s">
        <v>260</v>
      </c>
      <c r="E463" s="6">
        <v>0.39305555555555555</v>
      </c>
      <c r="F463" s="6">
        <v>0.67986111111111114</v>
      </c>
      <c r="G463" s="3" t="s">
        <v>20</v>
      </c>
      <c r="H463" s="3" t="s">
        <v>27</v>
      </c>
      <c r="I463" s="3" t="s">
        <v>21</v>
      </c>
    </row>
    <row r="464" spans="1:9" s="3" customFormat="1" x14ac:dyDescent="0.3">
      <c r="A464" s="3" t="s">
        <v>28</v>
      </c>
      <c r="B464" s="3" t="s">
        <v>29</v>
      </c>
      <c r="C464" s="3" t="s">
        <v>42</v>
      </c>
      <c r="D464" s="3" t="s">
        <v>321</v>
      </c>
      <c r="E464" s="6"/>
      <c r="F464" s="6"/>
      <c r="G464" s="3" t="s">
        <v>44</v>
      </c>
      <c r="H464" s="3" t="s">
        <v>27</v>
      </c>
      <c r="I464" s="3" t="s">
        <v>15</v>
      </c>
    </row>
    <row r="465" spans="1:9" s="3" customFormat="1" x14ac:dyDescent="0.3">
      <c r="A465" s="3" t="s">
        <v>150</v>
      </c>
      <c r="B465" s="3" t="s">
        <v>151</v>
      </c>
      <c r="C465" s="3" t="s">
        <v>42</v>
      </c>
      <c r="D465" s="3" t="s">
        <v>372</v>
      </c>
      <c r="E465" s="6">
        <v>0.38611111111111113</v>
      </c>
      <c r="F465" s="6">
        <v>0.66874999999999996</v>
      </c>
      <c r="G465" s="3" t="s">
        <v>13</v>
      </c>
      <c r="H465" s="3" t="s">
        <v>27</v>
      </c>
      <c r="I465" s="3" t="s">
        <v>21</v>
      </c>
    </row>
    <row r="466" spans="1:9" s="3" customFormat="1" x14ac:dyDescent="0.3">
      <c r="A466" s="3" t="s">
        <v>165</v>
      </c>
      <c r="B466" s="3" t="s">
        <v>166</v>
      </c>
      <c r="C466" s="3" t="s">
        <v>60</v>
      </c>
      <c r="D466" s="3" t="s">
        <v>196</v>
      </c>
      <c r="E466" s="6">
        <v>0.44583333333333336</v>
      </c>
      <c r="F466" s="6">
        <v>0.83333333333333337</v>
      </c>
      <c r="G466" s="3" t="s">
        <v>26</v>
      </c>
      <c r="H466" s="3" t="s">
        <v>14</v>
      </c>
      <c r="I466" s="3" t="s">
        <v>15</v>
      </c>
    </row>
    <row r="467" spans="1:9" s="3" customFormat="1" x14ac:dyDescent="0.3">
      <c r="A467" s="3" t="s">
        <v>216</v>
      </c>
      <c r="B467" s="3" t="s">
        <v>217</v>
      </c>
      <c r="C467" s="3" t="s">
        <v>60</v>
      </c>
      <c r="D467" s="3" t="s">
        <v>136</v>
      </c>
      <c r="E467" s="6">
        <v>0.39930555555555558</v>
      </c>
      <c r="F467" s="6">
        <v>0.82430555555555551</v>
      </c>
      <c r="G467" s="3" t="s">
        <v>13</v>
      </c>
      <c r="H467" s="3" t="s">
        <v>14</v>
      </c>
      <c r="I467" s="3" t="s">
        <v>21</v>
      </c>
    </row>
    <row r="468" spans="1:9" s="3" customFormat="1" x14ac:dyDescent="0.3">
      <c r="A468" s="3" t="s">
        <v>269</v>
      </c>
      <c r="B468" s="3" t="s">
        <v>270</v>
      </c>
      <c r="C468" s="3" t="s">
        <v>143</v>
      </c>
      <c r="D468" s="3" t="s">
        <v>343</v>
      </c>
      <c r="E468" s="6">
        <v>0.43541666666666667</v>
      </c>
      <c r="F468" s="6">
        <v>0.72083333333333333</v>
      </c>
      <c r="G468" s="3" t="s">
        <v>26</v>
      </c>
      <c r="H468" s="3" t="s">
        <v>27</v>
      </c>
      <c r="I468" s="3" t="s">
        <v>15</v>
      </c>
    </row>
    <row r="469" spans="1:9" s="3" customFormat="1" x14ac:dyDescent="0.3">
      <c r="A469" s="3" t="s">
        <v>157</v>
      </c>
      <c r="B469" s="3" t="s">
        <v>158</v>
      </c>
      <c r="C469" s="3" t="s">
        <v>64</v>
      </c>
      <c r="D469" s="3" t="s">
        <v>77</v>
      </c>
      <c r="E469" s="6">
        <v>0.41180555555555554</v>
      </c>
      <c r="F469" s="6">
        <v>0.80347222222222225</v>
      </c>
      <c r="G469" s="3" t="s">
        <v>26</v>
      </c>
      <c r="H469" s="3" t="s">
        <v>27</v>
      </c>
      <c r="I469" s="3" t="s">
        <v>15</v>
      </c>
    </row>
    <row r="470" spans="1:9" s="3" customFormat="1" x14ac:dyDescent="0.3">
      <c r="A470" s="3" t="s">
        <v>109</v>
      </c>
      <c r="B470" s="3" t="s">
        <v>110</v>
      </c>
      <c r="C470" s="3" t="s">
        <v>24</v>
      </c>
      <c r="D470" s="3" t="s">
        <v>373</v>
      </c>
      <c r="E470" s="6">
        <v>0.47499999999999998</v>
      </c>
      <c r="F470" s="6">
        <v>0.74375000000000002</v>
      </c>
      <c r="G470" s="3" t="s">
        <v>20</v>
      </c>
      <c r="H470" s="3" t="s">
        <v>14</v>
      </c>
      <c r="I470" s="3" t="s">
        <v>15</v>
      </c>
    </row>
    <row r="471" spans="1:9" s="3" customFormat="1" x14ac:dyDescent="0.3">
      <c r="A471" s="3" t="s">
        <v>96</v>
      </c>
      <c r="B471" s="3" t="s">
        <v>97</v>
      </c>
      <c r="C471" s="3" t="s">
        <v>18</v>
      </c>
      <c r="D471" s="3" t="s">
        <v>283</v>
      </c>
      <c r="E471" s="6"/>
      <c r="F471" s="6"/>
      <c r="G471" s="3" t="s">
        <v>44</v>
      </c>
      <c r="H471" s="3" t="s">
        <v>27</v>
      </c>
      <c r="I471" s="3" t="s">
        <v>21</v>
      </c>
    </row>
    <row r="472" spans="1:9" s="3" customFormat="1" x14ac:dyDescent="0.3">
      <c r="A472" s="3" t="s">
        <v>134</v>
      </c>
      <c r="B472" s="3" t="s">
        <v>135</v>
      </c>
      <c r="C472" s="3" t="s">
        <v>42</v>
      </c>
      <c r="D472" s="3" t="s">
        <v>372</v>
      </c>
      <c r="E472" s="6">
        <v>0.41458333333333336</v>
      </c>
      <c r="F472" s="6">
        <v>0.71944444444444444</v>
      </c>
      <c r="G472" s="3" t="s">
        <v>274</v>
      </c>
      <c r="H472" s="3" t="s">
        <v>27</v>
      </c>
      <c r="I472" s="3" t="s">
        <v>21</v>
      </c>
    </row>
    <row r="473" spans="1:9" s="3" customFormat="1" x14ac:dyDescent="0.3">
      <c r="A473" s="3" t="s">
        <v>197</v>
      </c>
      <c r="B473" s="3" t="s">
        <v>198</v>
      </c>
      <c r="C473" s="3" t="s">
        <v>64</v>
      </c>
      <c r="D473" s="3" t="s">
        <v>209</v>
      </c>
      <c r="E473" s="6">
        <v>0.36666666666666664</v>
      </c>
      <c r="F473" s="6">
        <v>0.8305555555555556</v>
      </c>
      <c r="G473" s="3" t="s">
        <v>20</v>
      </c>
      <c r="H473" s="3" t="s">
        <v>27</v>
      </c>
      <c r="I473" s="3" t="s">
        <v>21</v>
      </c>
    </row>
    <row r="474" spans="1:9" s="3" customFormat="1" x14ac:dyDescent="0.3">
      <c r="A474" s="3" t="s">
        <v>84</v>
      </c>
      <c r="B474" s="3" t="s">
        <v>85</v>
      </c>
      <c r="C474" s="3" t="s">
        <v>60</v>
      </c>
      <c r="D474" s="3" t="s">
        <v>322</v>
      </c>
      <c r="E474" s="6"/>
      <c r="F474" s="6"/>
      <c r="G474" s="3" t="s">
        <v>44</v>
      </c>
      <c r="H474" s="3" t="s">
        <v>14</v>
      </c>
      <c r="I474" s="3" t="s">
        <v>21</v>
      </c>
    </row>
    <row r="475" spans="1:9" s="3" customFormat="1" x14ac:dyDescent="0.3">
      <c r="A475" s="3" t="s">
        <v>122</v>
      </c>
      <c r="B475" s="3" t="s">
        <v>123</v>
      </c>
      <c r="C475" s="3" t="s">
        <v>24</v>
      </c>
      <c r="D475" s="3" t="s">
        <v>199</v>
      </c>
      <c r="E475" s="6">
        <v>0.3972222222222222</v>
      </c>
      <c r="F475" s="6">
        <v>0.85</v>
      </c>
      <c r="G475" s="3" t="s">
        <v>20</v>
      </c>
      <c r="H475" s="3" t="s">
        <v>14</v>
      </c>
      <c r="I475" s="3" t="s">
        <v>15</v>
      </c>
    </row>
    <row r="476" spans="1:9" s="3" customFormat="1" x14ac:dyDescent="0.3">
      <c r="A476" s="3" t="s">
        <v>66</v>
      </c>
      <c r="B476" s="3" t="s">
        <v>67</v>
      </c>
      <c r="C476" s="3" t="s">
        <v>64</v>
      </c>
      <c r="D476" s="3" t="s">
        <v>295</v>
      </c>
      <c r="E476" s="6"/>
      <c r="F476" s="6"/>
      <c r="G476" s="3" t="s">
        <v>44</v>
      </c>
      <c r="H476" s="3" t="s">
        <v>14</v>
      </c>
      <c r="I476" s="3" t="s">
        <v>21</v>
      </c>
    </row>
    <row r="477" spans="1:9" s="3" customFormat="1" x14ac:dyDescent="0.3">
      <c r="A477" s="3" t="s">
        <v>90</v>
      </c>
      <c r="B477" s="3" t="s">
        <v>91</v>
      </c>
      <c r="C477" s="3" t="s">
        <v>24</v>
      </c>
      <c r="D477" s="3" t="s">
        <v>374</v>
      </c>
      <c r="E477" s="6">
        <v>0.48402777777777778</v>
      </c>
      <c r="F477" s="6">
        <v>0.8125</v>
      </c>
      <c r="G477" s="3" t="s">
        <v>26</v>
      </c>
      <c r="H477" s="3" t="s">
        <v>14</v>
      </c>
      <c r="I477" s="3" t="s">
        <v>15</v>
      </c>
    </row>
    <row r="478" spans="1:9" s="3" customFormat="1" x14ac:dyDescent="0.3">
      <c r="A478" s="3" t="s">
        <v>52</v>
      </c>
      <c r="B478" s="3" t="s">
        <v>53</v>
      </c>
      <c r="C478" s="3" t="s">
        <v>64</v>
      </c>
      <c r="D478" s="3" t="s">
        <v>370</v>
      </c>
      <c r="E478" s="6">
        <v>0.35625000000000001</v>
      </c>
      <c r="F478" s="6">
        <v>0.79583333333333328</v>
      </c>
      <c r="G478" s="3" t="s">
        <v>26</v>
      </c>
      <c r="H478" s="3" t="s">
        <v>27</v>
      </c>
      <c r="I478" s="3" t="s">
        <v>21</v>
      </c>
    </row>
    <row r="479" spans="1:9" s="3" customFormat="1" x14ac:dyDescent="0.3">
      <c r="A479" s="3" t="s">
        <v>204</v>
      </c>
      <c r="B479" s="3" t="s">
        <v>205</v>
      </c>
      <c r="C479" s="3" t="s">
        <v>64</v>
      </c>
      <c r="D479" s="3" t="s">
        <v>375</v>
      </c>
      <c r="E479" s="6">
        <v>0.39513888888888887</v>
      </c>
      <c r="F479" s="6">
        <v>0.75763888888888886</v>
      </c>
      <c r="G479" s="3" t="s">
        <v>26</v>
      </c>
      <c r="H479" s="3" t="s">
        <v>27</v>
      </c>
      <c r="I479" s="3" t="s">
        <v>21</v>
      </c>
    </row>
    <row r="480" spans="1:9" s="3" customFormat="1" x14ac:dyDescent="0.3">
      <c r="A480" s="3" t="s">
        <v>37</v>
      </c>
      <c r="B480" s="3" t="s">
        <v>38</v>
      </c>
      <c r="C480" s="3" t="s">
        <v>60</v>
      </c>
      <c r="D480" s="3" t="s">
        <v>290</v>
      </c>
      <c r="E480" s="6">
        <v>0.34305555555555556</v>
      </c>
      <c r="F480" s="6">
        <v>0.76597222222222228</v>
      </c>
      <c r="G480" s="3" t="s">
        <v>26</v>
      </c>
      <c r="H480" s="3" t="s">
        <v>14</v>
      </c>
      <c r="I480" s="3" t="s">
        <v>21</v>
      </c>
    </row>
    <row r="481" spans="1:9" s="3" customFormat="1" x14ac:dyDescent="0.3">
      <c r="A481" s="3" t="s">
        <v>66</v>
      </c>
      <c r="B481" s="3" t="s">
        <v>67</v>
      </c>
      <c r="C481" s="3" t="s">
        <v>60</v>
      </c>
      <c r="D481" s="3" t="s">
        <v>232</v>
      </c>
      <c r="E481" s="6">
        <v>0.47847222222222224</v>
      </c>
      <c r="F481" s="6">
        <v>0.82013888888888886</v>
      </c>
      <c r="G481" s="3" t="s">
        <v>149</v>
      </c>
      <c r="H481" s="3" t="s">
        <v>14</v>
      </c>
      <c r="I481" s="3" t="s">
        <v>21</v>
      </c>
    </row>
    <row r="482" spans="1:9" s="3" customFormat="1" x14ac:dyDescent="0.3">
      <c r="A482" s="3" t="s">
        <v>22</v>
      </c>
      <c r="B482" s="3" t="s">
        <v>23</v>
      </c>
      <c r="C482" s="3" t="s">
        <v>42</v>
      </c>
      <c r="D482" s="3" t="s">
        <v>144</v>
      </c>
      <c r="E482" s="6"/>
      <c r="F482" s="6"/>
      <c r="G482" s="3" t="s">
        <v>44</v>
      </c>
      <c r="H482" s="3" t="s">
        <v>27</v>
      </c>
      <c r="I482" s="3" t="s">
        <v>15</v>
      </c>
    </row>
    <row r="483" spans="1:9" s="3" customFormat="1" x14ac:dyDescent="0.3">
      <c r="A483" s="3" t="s">
        <v>28</v>
      </c>
      <c r="B483" s="3" t="s">
        <v>29</v>
      </c>
      <c r="C483" s="3" t="s">
        <v>64</v>
      </c>
      <c r="D483" s="3" t="s">
        <v>376</v>
      </c>
      <c r="E483" s="6"/>
      <c r="F483" s="6"/>
      <c r="G483" s="3" t="s">
        <v>44</v>
      </c>
      <c r="H483" s="3" t="s">
        <v>14</v>
      </c>
      <c r="I483" s="3" t="s">
        <v>21</v>
      </c>
    </row>
    <row r="484" spans="1:9" s="3" customFormat="1" x14ac:dyDescent="0.3">
      <c r="A484" s="3" t="s">
        <v>93</v>
      </c>
      <c r="B484" s="3" t="s">
        <v>94</v>
      </c>
      <c r="C484" s="3" t="s">
        <v>60</v>
      </c>
      <c r="D484" s="3" t="s">
        <v>377</v>
      </c>
      <c r="E484" s="6">
        <v>0.39861111111111114</v>
      </c>
      <c r="F484" s="6">
        <v>0.72013888888888888</v>
      </c>
      <c r="G484" s="3" t="s">
        <v>20</v>
      </c>
      <c r="H484" s="3" t="s">
        <v>14</v>
      </c>
      <c r="I484" s="3" t="s">
        <v>21</v>
      </c>
    </row>
    <row r="485" spans="1:9" s="3" customFormat="1" x14ac:dyDescent="0.3">
      <c r="A485" s="3" t="s">
        <v>69</v>
      </c>
      <c r="B485" s="3" t="s">
        <v>70</v>
      </c>
      <c r="C485" s="3" t="s">
        <v>24</v>
      </c>
      <c r="D485" s="3" t="s">
        <v>288</v>
      </c>
      <c r="E485" s="6">
        <v>0.40694444444444444</v>
      </c>
      <c r="F485" s="6">
        <v>0.75902777777777775</v>
      </c>
      <c r="G485" s="3" t="s">
        <v>26</v>
      </c>
      <c r="H485" s="3" t="s">
        <v>27</v>
      </c>
      <c r="I485" s="3" t="s">
        <v>21</v>
      </c>
    </row>
    <row r="486" spans="1:9" s="3" customFormat="1" x14ac:dyDescent="0.3">
      <c r="A486" s="3" t="s">
        <v>122</v>
      </c>
      <c r="B486" s="3" t="s">
        <v>123</v>
      </c>
      <c r="C486" s="3" t="s">
        <v>64</v>
      </c>
      <c r="D486" s="3" t="s">
        <v>378</v>
      </c>
      <c r="E486" s="6">
        <v>0.44513888888888886</v>
      </c>
      <c r="F486" s="6">
        <v>0.72499999999999998</v>
      </c>
      <c r="G486" s="3" t="s">
        <v>20</v>
      </c>
      <c r="H486" s="3" t="s">
        <v>14</v>
      </c>
      <c r="I486" s="3" t="s">
        <v>21</v>
      </c>
    </row>
    <row r="487" spans="1:9" s="3" customFormat="1" x14ac:dyDescent="0.3">
      <c r="A487" s="3" t="s">
        <v>134</v>
      </c>
      <c r="B487" s="3" t="s">
        <v>135</v>
      </c>
      <c r="C487" s="3" t="s">
        <v>64</v>
      </c>
      <c r="D487" s="3" t="s">
        <v>351</v>
      </c>
      <c r="E487" s="6">
        <v>0.48888888888888887</v>
      </c>
      <c r="F487" s="6">
        <v>0.86111111111111116</v>
      </c>
      <c r="G487" s="3" t="s">
        <v>26</v>
      </c>
      <c r="H487" s="3" t="s">
        <v>14</v>
      </c>
      <c r="I487" s="3" t="s">
        <v>21</v>
      </c>
    </row>
    <row r="488" spans="1:9" s="3" customFormat="1" x14ac:dyDescent="0.3">
      <c r="A488" s="3" t="s">
        <v>157</v>
      </c>
      <c r="B488" s="3" t="s">
        <v>158</v>
      </c>
      <c r="C488" s="3" t="s">
        <v>127</v>
      </c>
      <c r="D488" s="3" t="s">
        <v>379</v>
      </c>
      <c r="E488" s="6">
        <v>0.39861111111111114</v>
      </c>
      <c r="F488" s="6">
        <v>0.67777777777777781</v>
      </c>
      <c r="G488" s="3" t="s">
        <v>20</v>
      </c>
      <c r="H488" s="3" t="s">
        <v>14</v>
      </c>
      <c r="I488" s="3" t="s">
        <v>15</v>
      </c>
    </row>
    <row r="489" spans="1:9" s="3" customFormat="1" x14ac:dyDescent="0.3">
      <c r="A489" s="3" t="s">
        <v>187</v>
      </c>
      <c r="B489" s="3" t="s">
        <v>188</v>
      </c>
      <c r="C489" s="3" t="s">
        <v>64</v>
      </c>
      <c r="D489" s="3" t="s">
        <v>299</v>
      </c>
      <c r="E489" s="6">
        <v>0.45347222222222222</v>
      </c>
      <c r="F489" s="6">
        <v>0.70416666666666672</v>
      </c>
      <c r="G489" s="3" t="s">
        <v>13</v>
      </c>
      <c r="H489" s="3" t="s">
        <v>27</v>
      </c>
      <c r="I489" s="3" t="s">
        <v>15</v>
      </c>
    </row>
    <row r="490" spans="1:9" s="3" customFormat="1" x14ac:dyDescent="0.3">
      <c r="A490" s="3" t="s">
        <v>31</v>
      </c>
      <c r="B490" s="3" t="s">
        <v>32</v>
      </c>
      <c r="C490" s="3" t="s">
        <v>42</v>
      </c>
      <c r="D490" s="3" t="s">
        <v>186</v>
      </c>
      <c r="E490" s="6">
        <v>0.37638888888888888</v>
      </c>
      <c r="F490" s="6">
        <v>0.80347222222222225</v>
      </c>
      <c r="G490" s="3" t="s">
        <v>26</v>
      </c>
      <c r="H490" s="3" t="s">
        <v>14</v>
      </c>
      <c r="I490" s="3" t="s">
        <v>15</v>
      </c>
    </row>
    <row r="491" spans="1:9" s="3" customFormat="1" x14ac:dyDescent="0.3">
      <c r="A491" s="3" t="s">
        <v>157</v>
      </c>
      <c r="B491" s="3" t="s">
        <v>158</v>
      </c>
      <c r="C491" s="3" t="s">
        <v>60</v>
      </c>
      <c r="D491" s="3" t="s">
        <v>210</v>
      </c>
      <c r="E491" s="6">
        <v>0.44791666666666669</v>
      </c>
      <c r="F491" s="6">
        <v>0.75277777777777777</v>
      </c>
      <c r="G491" s="3" t="s">
        <v>26</v>
      </c>
      <c r="H491" s="3" t="s">
        <v>14</v>
      </c>
      <c r="I491" s="3" t="s">
        <v>15</v>
      </c>
    </row>
    <row r="492" spans="1:9" s="3" customFormat="1" x14ac:dyDescent="0.3">
      <c r="A492" s="3" t="s">
        <v>45</v>
      </c>
      <c r="B492" s="3" t="s">
        <v>46</v>
      </c>
      <c r="C492" s="3" t="s">
        <v>167</v>
      </c>
      <c r="D492" s="3" t="s">
        <v>334</v>
      </c>
      <c r="E492" s="6"/>
      <c r="F492" s="6"/>
      <c r="G492" s="3" t="s">
        <v>44</v>
      </c>
      <c r="H492" s="3" t="s">
        <v>14</v>
      </c>
      <c r="I492" s="3" t="s">
        <v>15</v>
      </c>
    </row>
    <row r="493" spans="1:9" s="3" customFormat="1" x14ac:dyDescent="0.3">
      <c r="A493" s="3" t="s">
        <v>269</v>
      </c>
      <c r="B493" s="3" t="s">
        <v>270</v>
      </c>
      <c r="C493" s="3" t="s">
        <v>24</v>
      </c>
      <c r="D493" s="3" t="s">
        <v>161</v>
      </c>
      <c r="E493" s="6">
        <v>0.39097222222222222</v>
      </c>
      <c r="F493" s="6">
        <v>0.77152777777777781</v>
      </c>
      <c r="G493" s="3" t="s">
        <v>26</v>
      </c>
      <c r="H493" s="3" t="s">
        <v>14</v>
      </c>
      <c r="I493" s="3" t="s">
        <v>21</v>
      </c>
    </row>
    <row r="494" spans="1:9" s="3" customFormat="1" x14ac:dyDescent="0.3">
      <c r="A494" s="3" t="s">
        <v>146</v>
      </c>
      <c r="B494" s="3" t="s">
        <v>147</v>
      </c>
      <c r="C494" s="3" t="s">
        <v>64</v>
      </c>
      <c r="D494" s="3" t="s">
        <v>107</v>
      </c>
      <c r="E494" s="6">
        <v>0.41597222222222224</v>
      </c>
      <c r="F494" s="6">
        <v>0.69722222222222219</v>
      </c>
      <c r="G494" s="3" t="s">
        <v>20</v>
      </c>
      <c r="H494" s="3" t="s">
        <v>14</v>
      </c>
      <c r="I494" s="3" t="s">
        <v>15</v>
      </c>
    </row>
    <row r="495" spans="1:9" s="3" customFormat="1" x14ac:dyDescent="0.3">
      <c r="A495" s="3" t="s">
        <v>112</v>
      </c>
      <c r="B495" s="3" t="s">
        <v>113</v>
      </c>
      <c r="C495" s="3" t="s">
        <v>60</v>
      </c>
      <c r="D495" s="3" t="s">
        <v>178</v>
      </c>
      <c r="E495" s="6">
        <v>0.41041666666666665</v>
      </c>
      <c r="F495" s="6">
        <v>0.79305555555555551</v>
      </c>
      <c r="G495" s="3" t="s">
        <v>26</v>
      </c>
      <c r="H495" s="3" t="s">
        <v>14</v>
      </c>
      <c r="I495" s="3" t="s">
        <v>15</v>
      </c>
    </row>
    <row r="496" spans="1:9" s="3" customFormat="1" x14ac:dyDescent="0.3">
      <c r="A496" s="3" t="s">
        <v>165</v>
      </c>
      <c r="B496" s="3" t="s">
        <v>166</v>
      </c>
      <c r="C496" s="3" t="s">
        <v>18</v>
      </c>
      <c r="D496" s="3" t="s">
        <v>380</v>
      </c>
      <c r="E496" s="6">
        <v>0.39652777777777776</v>
      </c>
      <c r="F496" s="6">
        <v>0.70833333333333337</v>
      </c>
      <c r="G496" s="3" t="s">
        <v>13</v>
      </c>
      <c r="H496" s="3" t="s">
        <v>14</v>
      </c>
      <c r="I496" s="3" t="s">
        <v>21</v>
      </c>
    </row>
    <row r="497" spans="1:9" s="3" customFormat="1" x14ac:dyDescent="0.3">
      <c r="A497" s="3" t="s">
        <v>90</v>
      </c>
      <c r="B497" s="3" t="s">
        <v>91</v>
      </c>
      <c r="C497" s="3" t="s">
        <v>60</v>
      </c>
      <c r="D497" s="3" t="s">
        <v>283</v>
      </c>
      <c r="E497" s="6">
        <v>0.41666666666666669</v>
      </c>
      <c r="F497" s="6">
        <v>0.67777777777777781</v>
      </c>
      <c r="G497" s="3" t="s">
        <v>26</v>
      </c>
      <c r="H497" s="3" t="s">
        <v>14</v>
      </c>
      <c r="I497" s="3" t="s">
        <v>21</v>
      </c>
    </row>
    <row r="498" spans="1:9" s="3" customFormat="1" x14ac:dyDescent="0.3">
      <c r="A498" s="3" t="s">
        <v>187</v>
      </c>
      <c r="B498" s="3" t="s">
        <v>188</v>
      </c>
      <c r="C498" s="3" t="s">
        <v>64</v>
      </c>
      <c r="D498" s="3" t="s">
        <v>381</v>
      </c>
      <c r="E498" s="6">
        <v>0.34513888888888888</v>
      </c>
      <c r="F498" s="6">
        <v>0.81319444444444444</v>
      </c>
      <c r="G498" s="3" t="s">
        <v>13</v>
      </c>
      <c r="H498" s="3" t="s">
        <v>27</v>
      </c>
      <c r="I498" s="3" t="s">
        <v>21</v>
      </c>
    </row>
    <row r="499" spans="1:9" s="3" customFormat="1" x14ac:dyDescent="0.3">
      <c r="A499" s="3" t="s">
        <v>291</v>
      </c>
      <c r="B499" s="3" t="s">
        <v>292</v>
      </c>
      <c r="C499" s="3" t="s">
        <v>18</v>
      </c>
      <c r="D499" s="3" t="s">
        <v>349</v>
      </c>
      <c r="E499" s="6">
        <v>0.45624999999999999</v>
      </c>
      <c r="F499" s="6">
        <v>0.86736111111111114</v>
      </c>
      <c r="G499" s="3" t="s">
        <v>26</v>
      </c>
      <c r="H499" s="3" t="s">
        <v>14</v>
      </c>
      <c r="I499" s="3" t="s">
        <v>15</v>
      </c>
    </row>
    <row r="500" spans="1:9" s="3" customFormat="1" x14ac:dyDescent="0.3">
      <c r="A500" s="3" t="s">
        <v>119</v>
      </c>
      <c r="B500" s="3" t="s">
        <v>120</v>
      </c>
      <c r="C500" s="3" t="s">
        <v>42</v>
      </c>
      <c r="D500" s="3" t="s">
        <v>50</v>
      </c>
      <c r="E500" s="6"/>
      <c r="F500" s="6"/>
      <c r="G500" s="3" t="s">
        <v>44</v>
      </c>
      <c r="H500" s="3" t="s">
        <v>27</v>
      </c>
      <c r="I500" s="3" t="s">
        <v>15</v>
      </c>
    </row>
    <row r="501" spans="1:9" s="3" customFormat="1" x14ac:dyDescent="0.3">
      <c r="A501" s="3" t="s">
        <v>87</v>
      </c>
      <c r="B501" s="3" t="s">
        <v>88</v>
      </c>
      <c r="C501" s="3" t="s">
        <v>42</v>
      </c>
      <c r="D501" s="3" t="s">
        <v>121</v>
      </c>
      <c r="E501" s="6">
        <v>0.42083333333333334</v>
      </c>
      <c r="F501" s="6">
        <v>0.69097222222222221</v>
      </c>
      <c r="G501" s="3" t="s">
        <v>13</v>
      </c>
      <c r="H501" s="3" t="s">
        <v>27</v>
      </c>
      <c r="I501" s="3" t="s">
        <v>21</v>
      </c>
    </row>
    <row r="502" spans="1:9" s="3" customFormat="1" x14ac:dyDescent="0.3">
      <c r="A502" s="3" t="s">
        <v>37</v>
      </c>
      <c r="B502" s="3" t="s">
        <v>38</v>
      </c>
      <c r="C502" s="3" t="s">
        <v>11</v>
      </c>
      <c r="D502" s="3" t="s">
        <v>228</v>
      </c>
      <c r="E502" s="6">
        <v>0.4548611111111111</v>
      </c>
      <c r="F502" s="6">
        <v>0.80694444444444446</v>
      </c>
      <c r="G502" s="3" t="s">
        <v>13</v>
      </c>
      <c r="H502" s="3" t="s">
        <v>27</v>
      </c>
      <c r="I502" s="3" t="s">
        <v>21</v>
      </c>
    </row>
    <row r="503" spans="1:9" s="3" customFormat="1" x14ac:dyDescent="0.3">
      <c r="A503" s="3" t="s">
        <v>291</v>
      </c>
      <c r="B503" s="3" t="s">
        <v>292</v>
      </c>
      <c r="C503" s="3" t="s">
        <v>24</v>
      </c>
      <c r="D503" s="3" t="s">
        <v>332</v>
      </c>
      <c r="E503" s="6">
        <v>0.46597222222222223</v>
      </c>
      <c r="F503" s="6">
        <v>0.68958333333333333</v>
      </c>
      <c r="G503" s="3" t="s">
        <v>149</v>
      </c>
      <c r="H503" s="3" t="s">
        <v>14</v>
      </c>
      <c r="I503" s="3" t="s">
        <v>15</v>
      </c>
    </row>
    <row r="504" spans="1:9" s="3" customFormat="1" x14ac:dyDescent="0.3">
      <c r="A504" s="3" t="s">
        <v>37</v>
      </c>
      <c r="B504" s="3" t="s">
        <v>38</v>
      </c>
      <c r="C504" s="3" t="s">
        <v>42</v>
      </c>
      <c r="D504" s="3" t="s">
        <v>330</v>
      </c>
      <c r="E504" s="6">
        <v>0.38124999999999998</v>
      </c>
      <c r="F504" s="6">
        <v>0.83333333333333337</v>
      </c>
      <c r="G504" s="3" t="s">
        <v>20</v>
      </c>
      <c r="H504" s="3" t="s">
        <v>27</v>
      </c>
      <c r="I504" s="3" t="s">
        <v>15</v>
      </c>
    </row>
    <row r="505" spans="1:9" s="3" customFormat="1" x14ac:dyDescent="0.3">
      <c r="A505" s="3" t="s">
        <v>96</v>
      </c>
      <c r="B505" s="3" t="s">
        <v>97</v>
      </c>
      <c r="C505" s="3" t="s">
        <v>18</v>
      </c>
      <c r="D505" s="3" t="s">
        <v>92</v>
      </c>
      <c r="E505" s="6">
        <v>0.40833333333333333</v>
      </c>
      <c r="F505" s="6">
        <v>0.86041666666666672</v>
      </c>
      <c r="G505" s="3" t="s">
        <v>20</v>
      </c>
      <c r="H505" s="3" t="s">
        <v>14</v>
      </c>
      <c r="I505" s="3" t="s">
        <v>21</v>
      </c>
    </row>
    <row r="506" spans="1:9" s="3" customFormat="1" x14ac:dyDescent="0.3">
      <c r="A506" s="3" t="s">
        <v>69</v>
      </c>
      <c r="B506" s="3" t="s">
        <v>70</v>
      </c>
      <c r="C506" s="3" t="s">
        <v>18</v>
      </c>
      <c r="D506" s="3" t="s">
        <v>360</v>
      </c>
      <c r="E506" s="6">
        <v>0.43402777777777779</v>
      </c>
      <c r="F506" s="6">
        <v>0.67152777777777772</v>
      </c>
      <c r="G506" s="3" t="s">
        <v>13</v>
      </c>
      <c r="H506" s="3" t="s">
        <v>27</v>
      </c>
      <c r="I506" s="3" t="s">
        <v>21</v>
      </c>
    </row>
    <row r="507" spans="1:9" s="3" customFormat="1" x14ac:dyDescent="0.3">
      <c r="A507" s="3" t="s">
        <v>109</v>
      </c>
      <c r="B507" s="3" t="s">
        <v>110</v>
      </c>
      <c r="C507" s="3" t="s">
        <v>18</v>
      </c>
      <c r="D507" s="3" t="s">
        <v>285</v>
      </c>
      <c r="E507" s="6">
        <v>0.33819444444444446</v>
      </c>
      <c r="F507" s="6">
        <v>0.71736111111111112</v>
      </c>
      <c r="G507" s="3" t="s">
        <v>26</v>
      </c>
      <c r="H507" s="3" t="s">
        <v>27</v>
      </c>
      <c r="I507" s="3" t="s">
        <v>15</v>
      </c>
    </row>
    <row r="508" spans="1:9" s="3" customFormat="1" x14ac:dyDescent="0.3">
      <c r="A508" s="3" t="s">
        <v>81</v>
      </c>
      <c r="B508" s="3" t="s">
        <v>82</v>
      </c>
      <c r="C508" s="3" t="s">
        <v>18</v>
      </c>
      <c r="D508" s="3" t="s">
        <v>289</v>
      </c>
      <c r="E508" s="6"/>
      <c r="F508" s="6"/>
      <c r="G508" s="3" t="s">
        <v>44</v>
      </c>
      <c r="H508" s="3" t="s">
        <v>14</v>
      </c>
      <c r="I508" s="3" t="s">
        <v>15</v>
      </c>
    </row>
    <row r="509" spans="1:9" s="3" customFormat="1" x14ac:dyDescent="0.3">
      <c r="A509" s="3" t="s">
        <v>112</v>
      </c>
      <c r="B509" s="3" t="s">
        <v>113</v>
      </c>
      <c r="C509" s="3" t="s">
        <v>64</v>
      </c>
      <c r="D509" s="3" t="s">
        <v>336</v>
      </c>
      <c r="E509" s="6">
        <v>0.48194444444444445</v>
      </c>
      <c r="F509" s="6">
        <v>0.85555555555555551</v>
      </c>
      <c r="G509" s="3" t="s">
        <v>26</v>
      </c>
      <c r="H509" s="3" t="s">
        <v>27</v>
      </c>
      <c r="I509" s="3" t="s">
        <v>15</v>
      </c>
    </row>
    <row r="510" spans="1:9" s="3" customFormat="1" x14ac:dyDescent="0.3">
      <c r="A510" s="3" t="s">
        <v>28</v>
      </c>
      <c r="B510" s="3" t="s">
        <v>29</v>
      </c>
      <c r="C510" s="3" t="s">
        <v>60</v>
      </c>
      <c r="D510" s="3" t="s">
        <v>360</v>
      </c>
      <c r="E510" s="6">
        <v>0.40694444444444444</v>
      </c>
      <c r="F510" s="6">
        <v>0.68333333333333335</v>
      </c>
      <c r="G510" s="3" t="s">
        <v>13</v>
      </c>
      <c r="H510" s="3" t="s">
        <v>14</v>
      </c>
      <c r="I510" s="3" t="s">
        <v>15</v>
      </c>
    </row>
    <row r="511" spans="1:9" s="3" customFormat="1" x14ac:dyDescent="0.3">
      <c r="A511" s="3" t="s">
        <v>291</v>
      </c>
      <c r="B511" s="3" t="s">
        <v>292</v>
      </c>
      <c r="C511" s="3" t="s">
        <v>64</v>
      </c>
      <c r="D511" s="3" t="s">
        <v>290</v>
      </c>
      <c r="E511" s="6">
        <v>0.47013888888888888</v>
      </c>
      <c r="F511" s="6">
        <v>0.75763888888888886</v>
      </c>
      <c r="G511" s="3" t="s">
        <v>13</v>
      </c>
      <c r="H511" s="3" t="s">
        <v>14</v>
      </c>
      <c r="I511" s="3" t="s">
        <v>15</v>
      </c>
    </row>
    <row r="512" spans="1:9" s="3" customFormat="1" x14ac:dyDescent="0.3">
      <c r="A512" s="3" t="s">
        <v>187</v>
      </c>
      <c r="B512" s="3" t="s">
        <v>188</v>
      </c>
      <c r="C512" s="3" t="s">
        <v>42</v>
      </c>
      <c r="D512" s="3" t="s">
        <v>369</v>
      </c>
      <c r="E512" s="6"/>
      <c r="F512" s="6"/>
      <c r="G512" s="3" t="s">
        <v>44</v>
      </c>
      <c r="H512" s="3" t="s">
        <v>27</v>
      </c>
      <c r="I512" s="3" t="s">
        <v>15</v>
      </c>
    </row>
    <row r="513" spans="1:9" s="3" customFormat="1" x14ac:dyDescent="0.3">
      <c r="A513" s="3" t="s">
        <v>84</v>
      </c>
      <c r="B513" s="3" t="s">
        <v>85</v>
      </c>
      <c r="C513" s="3" t="s">
        <v>60</v>
      </c>
      <c r="D513" s="3" t="s">
        <v>353</v>
      </c>
      <c r="E513" s="6"/>
      <c r="F513" s="6"/>
      <c r="G513" s="3" t="s">
        <v>125</v>
      </c>
      <c r="H513" s="3" t="s">
        <v>14</v>
      </c>
      <c r="I513" s="3" t="s">
        <v>21</v>
      </c>
    </row>
    <row r="514" spans="1:9" s="3" customFormat="1" x14ac:dyDescent="0.3">
      <c r="A514" s="3" t="s">
        <v>216</v>
      </c>
      <c r="B514" s="3" t="s">
        <v>217</v>
      </c>
      <c r="C514" s="3" t="s">
        <v>64</v>
      </c>
      <c r="D514" s="3" t="s">
        <v>382</v>
      </c>
      <c r="E514" s="6"/>
      <c r="F514" s="6"/>
      <c r="G514" s="3" t="s">
        <v>44</v>
      </c>
      <c r="H514" s="3" t="s">
        <v>14</v>
      </c>
      <c r="I514" s="3" t="s">
        <v>15</v>
      </c>
    </row>
    <row r="515" spans="1:9" s="3" customFormat="1" x14ac:dyDescent="0.3">
      <c r="A515" s="3" t="s">
        <v>338</v>
      </c>
      <c r="B515" s="3" t="s">
        <v>339</v>
      </c>
      <c r="C515" s="3" t="s">
        <v>18</v>
      </c>
      <c r="D515" s="3" t="s">
        <v>354</v>
      </c>
      <c r="E515" s="6">
        <v>0.4826388888888889</v>
      </c>
      <c r="F515" s="6">
        <v>0.70208333333333328</v>
      </c>
      <c r="G515" s="3" t="s">
        <v>20</v>
      </c>
      <c r="H515" s="3" t="s">
        <v>14</v>
      </c>
      <c r="I515" s="3" t="s">
        <v>15</v>
      </c>
    </row>
    <row r="516" spans="1:9" s="3" customFormat="1" x14ac:dyDescent="0.3">
      <c r="A516" s="3" t="s">
        <v>165</v>
      </c>
      <c r="B516" s="3" t="s">
        <v>166</v>
      </c>
      <c r="C516" s="3" t="s">
        <v>24</v>
      </c>
      <c r="D516" s="3" t="s">
        <v>101</v>
      </c>
      <c r="E516" s="6"/>
      <c r="F516" s="6"/>
      <c r="G516" s="3" t="s">
        <v>44</v>
      </c>
      <c r="H516" s="3" t="s">
        <v>27</v>
      </c>
      <c r="I516" s="3" t="s">
        <v>21</v>
      </c>
    </row>
    <row r="517" spans="1:9" s="3" customFormat="1" x14ac:dyDescent="0.3">
      <c r="A517" s="3" t="s">
        <v>338</v>
      </c>
      <c r="B517" s="3" t="s">
        <v>339</v>
      </c>
      <c r="C517" s="3" t="s">
        <v>60</v>
      </c>
      <c r="D517" s="3" t="s">
        <v>230</v>
      </c>
      <c r="E517" s="6"/>
      <c r="F517" s="6"/>
      <c r="G517" s="3" t="s">
        <v>44</v>
      </c>
      <c r="H517" s="3" t="s">
        <v>27</v>
      </c>
      <c r="I517" s="3" t="s">
        <v>21</v>
      </c>
    </row>
    <row r="518" spans="1:9" s="3" customFormat="1" x14ac:dyDescent="0.3">
      <c r="A518" s="3" t="s">
        <v>34</v>
      </c>
      <c r="B518" s="3" t="s">
        <v>35</v>
      </c>
      <c r="C518" s="3" t="s">
        <v>60</v>
      </c>
      <c r="D518" s="3" t="s">
        <v>253</v>
      </c>
      <c r="E518" s="6">
        <v>0.38819444444444445</v>
      </c>
      <c r="F518" s="6">
        <v>0.72291666666666665</v>
      </c>
      <c r="G518" s="3" t="s">
        <v>13</v>
      </c>
      <c r="H518" s="3" t="s">
        <v>27</v>
      </c>
      <c r="I518" s="3" t="s">
        <v>21</v>
      </c>
    </row>
    <row r="519" spans="1:9" s="3" customFormat="1" x14ac:dyDescent="0.3">
      <c r="A519" s="3" t="s">
        <v>269</v>
      </c>
      <c r="B519" s="3" t="s">
        <v>270</v>
      </c>
      <c r="C519" s="3" t="s">
        <v>42</v>
      </c>
      <c r="D519" s="3" t="s">
        <v>80</v>
      </c>
      <c r="E519" s="6"/>
      <c r="F519" s="6"/>
      <c r="G519" s="3" t="s">
        <v>44</v>
      </c>
      <c r="H519" s="3" t="s">
        <v>14</v>
      </c>
      <c r="I519" s="3" t="s">
        <v>21</v>
      </c>
    </row>
    <row r="520" spans="1:9" s="3" customFormat="1" x14ac:dyDescent="0.3">
      <c r="A520" s="3" t="s">
        <v>87</v>
      </c>
      <c r="B520" s="3" t="s">
        <v>88</v>
      </c>
      <c r="C520" s="3" t="s">
        <v>24</v>
      </c>
      <c r="D520" s="3" t="s">
        <v>383</v>
      </c>
      <c r="E520" s="6">
        <v>0.34375</v>
      </c>
      <c r="F520" s="6">
        <v>0.72013888888888888</v>
      </c>
      <c r="G520" s="3" t="s">
        <v>20</v>
      </c>
      <c r="H520" s="3" t="s">
        <v>14</v>
      </c>
      <c r="I520" s="3" t="s">
        <v>21</v>
      </c>
    </row>
    <row r="521" spans="1:9" s="3" customFormat="1" x14ac:dyDescent="0.3">
      <c r="A521" s="3" t="s">
        <v>141</v>
      </c>
      <c r="B521" s="3" t="s">
        <v>142</v>
      </c>
      <c r="C521" s="3" t="s">
        <v>42</v>
      </c>
      <c r="D521" s="3" t="s">
        <v>106</v>
      </c>
      <c r="E521" s="6">
        <v>0.40347222222222223</v>
      </c>
      <c r="F521" s="6">
        <v>0.70486111111111116</v>
      </c>
      <c r="G521" s="3" t="s">
        <v>20</v>
      </c>
      <c r="H521" s="3" t="s">
        <v>27</v>
      </c>
      <c r="I521" s="3" t="s">
        <v>15</v>
      </c>
    </row>
    <row r="522" spans="1:9" s="3" customFormat="1" x14ac:dyDescent="0.3">
      <c r="A522" s="3" t="s">
        <v>45</v>
      </c>
      <c r="B522" s="3" t="s">
        <v>46</v>
      </c>
      <c r="C522" s="3" t="s">
        <v>18</v>
      </c>
      <c r="D522" s="3" t="s">
        <v>284</v>
      </c>
      <c r="E522" s="6">
        <v>0.39791666666666664</v>
      </c>
      <c r="F522" s="6">
        <v>0.84930555555555554</v>
      </c>
      <c r="G522" s="3" t="s">
        <v>26</v>
      </c>
      <c r="H522" s="3" t="s">
        <v>27</v>
      </c>
      <c r="I522" s="3" t="s">
        <v>15</v>
      </c>
    </row>
    <row r="523" spans="1:9" s="3" customFormat="1" x14ac:dyDescent="0.3">
      <c r="A523" s="3" t="s">
        <v>109</v>
      </c>
      <c r="B523" s="3" t="s">
        <v>110</v>
      </c>
      <c r="C523" s="3" t="s">
        <v>24</v>
      </c>
      <c r="D523" s="3" t="s">
        <v>206</v>
      </c>
      <c r="E523" s="6">
        <v>0.49513888888888891</v>
      </c>
      <c r="F523" s="6">
        <v>0.77430555555555558</v>
      </c>
      <c r="G523" s="3" t="s">
        <v>26</v>
      </c>
      <c r="H523" s="3" t="s">
        <v>27</v>
      </c>
      <c r="I523" s="3" t="s">
        <v>15</v>
      </c>
    </row>
    <row r="524" spans="1:9" s="3" customFormat="1" x14ac:dyDescent="0.3">
      <c r="A524" s="3" t="s">
        <v>34</v>
      </c>
      <c r="B524" s="3" t="s">
        <v>35</v>
      </c>
      <c r="C524" s="3" t="s">
        <v>42</v>
      </c>
      <c r="D524" s="3" t="s">
        <v>209</v>
      </c>
      <c r="E524" s="6">
        <v>0.44791666666666669</v>
      </c>
      <c r="F524" s="6">
        <v>0.77777777777777779</v>
      </c>
      <c r="G524" s="3" t="s">
        <v>26</v>
      </c>
      <c r="H524" s="3" t="s">
        <v>27</v>
      </c>
      <c r="I524" s="3" t="s">
        <v>15</v>
      </c>
    </row>
    <row r="525" spans="1:9" s="3" customFormat="1" x14ac:dyDescent="0.3">
      <c r="A525" s="3" t="s">
        <v>269</v>
      </c>
      <c r="B525" s="3" t="s">
        <v>270</v>
      </c>
      <c r="C525" s="3" t="s">
        <v>64</v>
      </c>
      <c r="D525" s="3" t="s">
        <v>282</v>
      </c>
      <c r="E525" s="6">
        <v>0.43611111111111112</v>
      </c>
      <c r="F525" s="6">
        <v>0.66666666666666663</v>
      </c>
      <c r="G525" s="3" t="s">
        <v>26</v>
      </c>
      <c r="H525" s="3" t="s">
        <v>27</v>
      </c>
      <c r="I525" s="3" t="s">
        <v>21</v>
      </c>
    </row>
    <row r="526" spans="1:9" s="3" customFormat="1" x14ac:dyDescent="0.3">
      <c r="A526" s="3" t="s">
        <v>102</v>
      </c>
      <c r="B526" s="3" t="s">
        <v>103</v>
      </c>
      <c r="C526" s="3" t="s">
        <v>127</v>
      </c>
      <c r="D526" s="3" t="s">
        <v>329</v>
      </c>
      <c r="E526" s="6"/>
      <c r="F526" s="6"/>
      <c r="G526" s="3" t="s">
        <v>44</v>
      </c>
      <c r="H526" s="3" t="s">
        <v>14</v>
      </c>
      <c r="I526" s="3" t="s">
        <v>15</v>
      </c>
    </row>
    <row r="527" spans="1:9" s="3" customFormat="1" x14ac:dyDescent="0.3">
      <c r="A527" s="3" t="s">
        <v>236</v>
      </c>
      <c r="B527" s="3" t="s">
        <v>237</v>
      </c>
      <c r="C527" s="3" t="s">
        <v>64</v>
      </c>
      <c r="D527" s="3" t="s">
        <v>233</v>
      </c>
      <c r="E527" s="6">
        <v>0.34930555555555554</v>
      </c>
      <c r="F527" s="6">
        <v>0.76736111111111116</v>
      </c>
      <c r="G527" s="3" t="s">
        <v>13</v>
      </c>
      <c r="H527" s="3" t="s">
        <v>27</v>
      </c>
      <c r="I527" s="3" t="s">
        <v>21</v>
      </c>
    </row>
    <row r="528" spans="1:9" s="3" customFormat="1" x14ac:dyDescent="0.3">
      <c r="A528" s="3" t="s">
        <v>45</v>
      </c>
      <c r="B528" s="3" t="s">
        <v>46</v>
      </c>
      <c r="C528" s="3" t="s">
        <v>60</v>
      </c>
      <c r="D528" s="3" t="s">
        <v>101</v>
      </c>
      <c r="E528" s="6"/>
      <c r="F528" s="6"/>
      <c r="G528" s="3" t="s">
        <v>44</v>
      </c>
      <c r="H528" s="3" t="s">
        <v>27</v>
      </c>
      <c r="I528" s="3" t="s">
        <v>15</v>
      </c>
    </row>
    <row r="529" spans="1:9" s="3" customFormat="1" x14ac:dyDescent="0.3">
      <c r="A529" s="3" t="s">
        <v>62</v>
      </c>
      <c r="B529" s="3" t="s">
        <v>63</v>
      </c>
      <c r="C529" s="3" t="s">
        <v>64</v>
      </c>
      <c r="D529" s="3" t="s">
        <v>140</v>
      </c>
      <c r="E529" s="6"/>
      <c r="F529" s="6"/>
      <c r="G529" s="3" t="s">
        <v>44</v>
      </c>
      <c r="H529" s="3" t="s">
        <v>27</v>
      </c>
      <c r="I529" s="3" t="s">
        <v>15</v>
      </c>
    </row>
    <row r="530" spans="1:9" s="3" customFormat="1" x14ac:dyDescent="0.3">
      <c r="A530" s="3" t="s">
        <v>55</v>
      </c>
      <c r="B530" s="3" t="s">
        <v>56</v>
      </c>
      <c r="C530" s="3" t="s">
        <v>42</v>
      </c>
      <c r="D530" s="3" t="s">
        <v>384</v>
      </c>
      <c r="E530" s="6">
        <v>0.33333333333333331</v>
      </c>
      <c r="F530" s="6">
        <v>0.85555555555555551</v>
      </c>
      <c r="G530" s="3" t="s">
        <v>26</v>
      </c>
      <c r="H530" s="3" t="s">
        <v>14</v>
      </c>
      <c r="I530" s="3" t="s">
        <v>15</v>
      </c>
    </row>
    <row r="531" spans="1:9" s="3" customFormat="1" x14ac:dyDescent="0.3">
      <c r="A531" s="3" t="s">
        <v>109</v>
      </c>
      <c r="B531" s="3" t="s">
        <v>110</v>
      </c>
      <c r="C531" s="3" t="s">
        <v>60</v>
      </c>
      <c r="D531" s="3" t="s">
        <v>323</v>
      </c>
      <c r="E531" s="6">
        <v>0.33541666666666664</v>
      </c>
      <c r="F531" s="6">
        <v>0.69513888888888886</v>
      </c>
      <c r="G531" s="3" t="s">
        <v>20</v>
      </c>
      <c r="H531" s="3" t="s">
        <v>27</v>
      </c>
      <c r="I531" s="3" t="s">
        <v>15</v>
      </c>
    </row>
    <row r="532" spans="1:9" s="3" customFormat="1" x14ac:dyDescent="0.3">
      <c r="A532" s="3" t="s">
        <v>45</v>
      </c>
      <c r="B532" s="3" t="s">
        <v>46</v>
      </c>
      <c r="C532" s="3" t="s">
        <v>42</v>
      </c>
      <c r="D532" s="3" t="s">
        <v>313</v>
      </c>
      <c r="E532" s="6">
        <v>0.45763888888888887</v>
      </c>
      <c r="F532" s="6">
        <v>0.68888888888888888</v>
      </c>
      <c r="G532" s="3" t="s">
        <v>26</v>
      </c>
      <c r="H532" s="3" t="s">
        <v>27</v>
      </c>
      <c r="I532" s="3" t="s">
        <v>15</v>
      </c>
    </row>
    <row r="533" spans="1:9" s="3" customFormat="1" x14ac:dyDescent="0.3">
      <c r="A533" s="3" t="s">
        <v>194</v>
      </c>
      <c r="B533" s="3" t="s">
        <v>195</v>
      </c>
      <c r="C533" s="3" t="s">
        <v>18</v>
      </c>
      <c r="D533" s="3" t="s">
        <v>354</v>
      </c>
      <c r="E533" s="6">
        <v>0.42222222222222222</v>
      </c>
      <c r="F533" s="6">
        <v>0.76458333333333328</v>
      </c>
      <c r="G533" s="3" t="s">
        <v>26</v>
      </c>
      <c r="H533" s="3" t="s">
        <v>14</v>
      </c>
      <c r="I533" s="3" t="s">
        <v>21</v>
      </c>
    </row>
    <row r="534" spans="1:9" s="3" customFormat="1" x14ac:dyDescent="0.3">
      <c r="A534" s="3" t="s">
        <v>200</v>
      </c>
      <c r="B534" s="3" t="s">
        <v>201</v>
      </c>
      <c r="C534" s="3" t="s">
        <v>64</v>
      </c>
      <c r="D534" s="3" t="s">
        <v>190</v>
      </c>
      <c r="E534" s="6">
        <v>0.34791666666666665</v>
      </c>
      <c r="F534" s="6">
        <v>0.66805555555555551</v>
      </c>
      <c r="G534" s="3" t="s">
        <v>20</v>
      </c>
      <c r="H534" s="3" t="s">
        <v>27</v>
      </c>
      <c r="I534" s="3" t="s">
        <v>21</v>
      </c>
    </row>
    <row r="535" spans="1:9" s="3" customFormat="1" x14ac:dyDescent="0.3">
      <c r="A535" s="3" t="s">
        <v>315</v>
      </c>
      <c r="B535" s="3" t="s">
        <v>316</v>
      </c>
      <c r="C535" s="3" t="s">
        <v>18</v>
      </c>
      <c r="D535" s="3" t="s">
        <v>323</v>
      </c>
      <c r="E535" s="6">
        <v>0.4826388888888889</v>
      </c>
      <c r="F535" s="6">
        <v>0.78263888888888888</v>
      </c>
      <c r="G535" s="3" t="s">
        <v>170</v>
      </c>
      <c r="H535" s="3" t="s">
        <v>27</v>
      </c>
      <c r="I535" s="3" t="s">
        <v>21</v>
      </c>
    </row>
    <row r="536" spans="1:9" s="3" customFormat="1" x14ac:dyDescent="0.3">
      <c r="A536" s="3" t="s">
        <v>197</v>
      </c>
      <c r="B536" s="3" t="s">
        <v>198</v>
      </c>
      <c r="C536" s="3" t="s">
        <v>24</v>
      </c>
      <c r="D536" s="3" t="s">
        <v>162</v>
      </c>
      <c r="E536" s="6">
        <v>0.35416666666666669</v>
      </c>
      <c r="F536" s="6">
        <v>0.67291666666666672</v>
      </c>
      <c r="G536" s="3" t="s">
        <v>26</v>
      </c>
      <c r="H536" s="3" t="s">
        <v>27</v>
      </c>
      <c r="I536" s="3" t="s">
        <v>15</v>
      </c>
    </row>
    <row r="537" spans="1:9" s="3" customFormat="1" x14ac:dyDescent="0.3">
      <c r="A537" s="3" t="s">
        <v>109</v>
      </c>
      <c r="B537" s="3" t="s">
        <v>110</v>
      </c>
      <c r="C537" s="3" t="s">
        <v>18</v>
      </c>
      <c r="D537" s="3" t="s">
        <v>384</v>
      </c>
      <c r="E537" s="6"/>
      <c r="F537" s="6"/>
      <c r="G537" s="3" t="s">
        <v>44</v>
      </c>
      <c r="H537" s="3" t="s">
        <v>27</v>
      </c>
      <c r="I537" s="3" t="s">
        <v>21</v>
      </c>
    </row>
    <row r="538" spans="1:9" s="3" customFormat="1" x14ac:dyDescent="0.3">
      <c r="A538" s="3" t="s">
        <v>84</v>
      </c>
      <c r="B538" s="3" t="s">
        <v>85</v>
      </c>
      <c r="C538" s="3" t="s">
        <v>42</v>
      </c>
      <c r="D538" s="3" t="s">
        <v>230</v>
      </c>
      <c r="E538" s="6">
        <v>0.42152777777777778</v>
      </c>
      <c r="F538" s="6">
        <v>0.79722222222222228</v>
      </c>
      <c r="G538" s="3" t="s">
        <v>20</v>
      </c>
      <c r="H538" s="3" t="s">
        <v>27</v>
      </c>
      <c r="I538" s="3" t="s">
        <v>21</v>
      </c>
    </row>
    <row r="539" spans="1:9" s="3" customFormat="1" x14ac:dyDescent="0.3">
      <c r="A539" s="3" t="s">
        <v>269</v>
      </c>
      <c r="B539" s="3" t="s">
        <v>270</v>
      </c>
      <c r="C539" s="3" t="s">
        <v>60</v>
      </c>
      <c r="D539" s="3" t="s">
        <v>124</v>
      </c>
      <c r="E539" s="6">
        <v>0.47152777777777777</v>
      </c>
      <c r="F539" s="6">
        <v>0.84930555555555554</v>
      </c>
      <c r="G539" s="3" t="s">
        <v>20</v>
      </c>
      <c r="H539" s="3" t="s">
        <v>27</v>
      </c>
      <c r="I539" s="3" t="s">
        <v>21</v>
      </c>
    </row>
    <row r="540" spans="1:9" s="3" customFormat="1" x14ac:dyDescent="0.3">
      <c r="A540" s="3" t="s">
        <v>58</v>
      </c>
      <c r="B540" s="3" t="s">
        <v>59</v>
      </c>
      <c r="C540" s="3" t="s">
        <v>64</v>
      </c>
      <c r="D540" s="3" t="s">
        <v>12</v>
      </c>
      <c r="E540" s="6">
        <v>0.46944444444444444</v>
      </c>
      <c r="F540" s="6">
        <v>0.86388888888888893</v>
      </c>
      <c r="G540" s="3" t="s">
        <v>13</v>
      </c>
      <c r="H540" s="3" t="s">
        <v>14</v>
      </c>
      <c r="I540" s="3" t="s">
        <v>21</v>
      </c>
    </row>
    <row r="541" spans="1:9" s="3" customFormat="1" x14ac:dyDescent="0.3">
      <c r="A541" s="3" t="s">
        <v>194</v>
      </c>
      <c r="B541" s="3" t="s">
        <v>195</v>
      </c>
      <c r="C541" s="3" t="s">
        <v>18</v>
      </c>
      <c r="D541" s="3" t="s">
        <v>299</v>
      </c>
      <c r="E541" s="6">
        <v>0.47847222222222224</v>
      </c>
      <c r="F541" s="6">
        <v>0.75902777777777775</v>
      </c>
      <c r="G541" s="3" t="s">
        <v>13</v>
      </c>
      <c r="H541" s="3" t="s">
        <v>14</v>
      </c>
      <c r="I541" s="3" t="s">
        <v>21</v>
      </c>
    </row>
    <row r="542" spans="1:9" s="3" customFormat="1" x14ac:dyDescent="0.3">
      <c r="A542" s="3" t="s">
        <v>119</v>
      </c>
      <c r="B542" s="3" t="s">
        <v>120</v>
      </c>
      <c r="C542" s="3" t="s">
        <v>18</v>
      </c>
      <c r="D542" s="3" t="s">
        <v>330</v>
      </c>
      <c r="E542" s="6">
        <v>0.39027777777777778</v>
      </c>
      <c r="F542" s="6">
        <v>0.81805555555555554</v>
      </c>
      <c r="G542" s="3" t="s">
        <v>26</v>
      </c>
      <c r="H542" s="3" t="s">
        <v>27</v>
      </c>
      <c r="I542" s="3" t="s">
        <v>21</v>
      </c>
    </row>
    <row r="543" spans="1:9" s="3" customFormat="1" x14ac:dyDescent="0.3">
      <c r="A543" s="3" t="s">
        <v>58</v>
      </c>
      <c r="B543" s="3" t="s">
        <v>59</v>
      </c>
      <c r="C543" s="3" t="s">
        <v>64</v>
      </c>
      <c r="D543" s="3" t="s">
        <v>273</v>
      </c>
      <c r="E543" s="6">
        <v>0.3923611111111111</v>
      </c>
      <c r="F543" s="6">
        <v>0.68263888888888891</v>
      </c>
      <c r="G543" s="3" t="s">
        <v>26</v>
      </c>
      <c r="H543" s="3" t="s">
        <v>14</v>
      </c>
      <c r="I543" s="3" t="s">
        <v>15</v>
      </c>
    </row>
    <row r="544" spans="1:9" s="3" customFormat="1" x14ac:dyDescent="0.3">
      <c r="A544" s="3" t="s">
        <v>96</v>
      </c>
      <c r="B544" s="3" t="s">
        <v>97</v>
      </c>
      <c r="C544" s="3" t="s">
        <v>60</v>
      </c>
      <c r="D544" s="3" t="s">
        <v>210</v>
      </c>
      <c r="E544" s="6">
        <v>0.42708333333333331</v>
      </c>
      <c r="F544" s="6">
        <v>0.72569444444444442</v>
      </c>
      <c r="G544" s="3" t="s">
        <v>13</v>
      </c>
      <c r="H544" s="3" t="s">
        <v>27</v>
      </c>
      <c r="I544" s="3" t="s">
        <v>15</v>
      </c>
    </row>
    <row r="545" spans="1:9" s="3" customFormat="1" x14ac:dyDescent="0.3">
      <c r="A545" s="3" t="s">
        <v>175</v>
      </c>
      <c r="B545" s="3" t="s">
        <v>176</v>
      </c>
      <c r="C545" s="3" t="s">
        <v>24</v>
      </c>
      <c r="D545" s="3" t="s">
        <v>299</v>
      </c>
      <c r="E545" s="6"/>
      <c r="F545" s="6"/>
      <c r="G545" s="3" t="s">
        <v>44</v>
      </c>
      <c r="H545" s="3" t="s">
        <v>27</v>
      </c>
      <c r="I545" s="3" t="s">
        <v>21</v>
      </c>
    </row>
    <row r="546" spans="1:9" s="3" customFormat="1" x14ac:dyDescent="0.3">
      <c r="A546" s="3" t="s">
        <v>216</v>
      </c>
      <c r="B546" s="3" t="s">
        <v>217</v>
      </c>
      <c r="C546" s="3" t="s">
        <v>24</v>
      </c>
      <c r="D546" s="3" t="s">
        <v>101</v>
      </c>
      <c r="E546" s="6">
        <v>0.41180555555555554</v>
      </c>
      <c r="F546" s="6">
        <v>0.77708333333333335</v>
      </c>
      <c r="G546" s="3" t="s">
        <v>26</v>
      </c>
      <c r="H546" s="3" t="s">
        <v>27</v>
      </c>
      <c r="I546" s="3" t="s">
        <v>15</v>
      </c>
    </row>
    <row r="547" spans="1:9" s="3" customFormat="1" x14ac:dyDescent="0.3">
      <c r="A547" s="3" t="s">
        <v>138</v>
      </c>
      <c r="B547" s="3" t="s">
        <v>139</v>
      </c>
      <c r="C547" s="3" t="s">
        <v>60</v>
      </c>
      <c r="D547" s="3" t="s">
        <v>385</v>
      </c>
      <c r="E547" s="6">
        <v>0.40833333333333333</v>
      </c>
      <c r="F547" s="6">
        <v>0.75347222222222221</v>
      </c>
      <c r="G547" s="3" t="s">
        <v>26</v>
      </c>
      <c r="H547" s="3" t="s">
        <v>27</v>
      </c>
      <c r="I547" s="3" t="s">
        <v>21</v>
      </c>
    </row>
    <row r="548" spans="1:9" s="3" customFormat="1" x14ac:dyDescent="0.3">
      <c r="A548" s="3" t="s">
        <v>194</v>
      </c>
      <c r="B548" s="3" t="s">
        <v>195</v>
      </c>
      <c r="C548" s="3" t="s">
        <v>60</v>
      </c>
      <c r="D548" s="3" t="s">
        <v>152</v>
      </c>
      <c r="E548" s="6">
        <v>0.36388888888888887</v>
      </c>
      <c r="F548" s="6">
        <v>0.72013888888888888</v>
      </c>
      <c r="G548" s="3" t="s">
        <v>20</v>
      </c>
      <c r="H548" s="3" t="s">
        <v>27</v>
      </c>
      <c r="I548" s="3" t="s">
        <v>15</v>
      </c>
    </row>
    <row r="549" spans="1:9" s="3" customFormat="1" x14ac:dyDescent="0.3">
      <c r="A549" s="3" t="s">
        <v>150</v>
      </c>
      <c r="B549" s="3" t="s">
        <v>151</v>
      </c>
      <c r="C549" s="3" t="s">
        <v>143</v>
      </c>
      <c r="D549" s="3" t="s">
        <v>145</v>
      </c>
      <c r="E549" s="6">
        <v>0.40486111111111112</v>
      </c>
      <c r="F549" s="6">
        <v>0.84722222222222221</v>
      </c>
      <c r="G549" s="3" t="s">
        <v>26</v>
      </c>
      <c r="H549" s="3" t="s">
        <v>27</v>
      </c>
      <c r="I549" s="3" t="s">
        <v>15</v>
      </c>
    </row>
    <row r="550" spans="1:9" s="3" customFormat="1" x14ac:dyDescent="0.3">
      <c r="A550" s="3" t="s">
        <v>216</v>
      </c>
      <c r="B550" s="3" t="s">
        <v>217</v>
      </c>
      <c r="C550" s="3" t="s">
        <v>60</v>
      </c>
      <c r="D550" s="3" t="s">
        <v>351</v>
      </c>
      <c r="E550" s="6">
        <v>0.46944444444444444</v>
      </c>
      <c r="F550" s="6">
        <v>0.80555555555555558</v>
      </c>
      <c r="G550" s="3" t="s">
        <v>13</v>
      </c>
      <c r="H550" s="3" t="s">
        <v>14</v>
      </c>
      <c r="I550" s="3" t="s">
        <v>21</v>
      </c>
    </row>
    <row r="551" spans="1:9" s="3" customFormat="1" x14ac:dyDescent="0.3">
      <c r="A551" s="3" t="s">
        <v>362</v>
      </c>
      <c r="B551" s="3" t="s">
        <v>363</v>
      </c>
      <c r="C551" s="3" t="s">
        <v>24</v>
      </c>
      <c r="D551" s="3" t="s">
        <v>267</v>
      </c>
      <c r="E551" s="6">
        <v>0.37638888888888888</v>
      </c>
      <c r="F551" s="6">
        <v>0.72152777777777777</v>
      </c>
      <c r="G551" s="3" t="s">
        <v>13</v>
      </c>
      <c r="H551" s="3" t="s">
        <v>14</v>
      </c>
      <c r="I551" s="3" t="s">
        <v>21</v>
      </c>
    </row>
    <row r="552" spans="1:9" s="3" customFormat="1" x14ac:dyDescent="0.3">
      <c r="A552" s="3" t="s">
        <v>115</v>
      </c>
      <c r="B552" s="3" t="s">
        <v>116</v>
      </c>
      <c r="C552" s="3" t="s">
        <v>60</v>
      </c>
      <c r="D552" s="3" t="s">
        <v>386</v>
      </c>
      <c r="E552" s="6">
        <v>0.40069444444444446</v>
      </c>
      <c r="F552" s="6">
        <v>0.69097222222222221</v>
      </c>
      <c r="G552" s="3" t="s">
        <v>20</v>
      </c>
      <c r="H552" s="3" t="s">
        <v>14</v>
      </c>
      <c r="I552" s="3" t="s">
        <v>21</v>
      </c>
    </row>
    <row r="553" spans="1:9" s="3" customFormat="1" x14ac:dyDescent="0.3">
      <c r="A553" s="3" t="s">
        <v>40</v>
      </c>
      <c r="B553" s="3" t="s">
        <v>41</v>
      </c>
      <c r="C553" s="3" t="s">
        <v>60</v>
      </c>
      <c r="D553" s="3" t="s">
        <v>285</v>
      </c>
      <c r="E553" s="6">
        <v>0.41111111111111109</v>
      </c>
      <c r="F553" s="6">
        <v>0.7006944444444444</v>
      </c>
      <c r="G553" s="3" t="s">
        <v>13</v>
      </c>
      <c r="H553" s="3" t="s">
        <v>27</v>
      </c>
      <c r="I553" s="3" t="s">
        <v>15</v>
      </c>
    </row>
    <row r="554" spans="1:9" s="3" customFormat="1" x14ac:dyDescent="0.3">
      <c r="A554" s="3" t="s">
        <v>72</v>
      </c>
      <c r="B554" s="3" t="s">
        <v>73</v>
      </c>
      <c r="C554" s="3" t="s">
        <v>42</v>
      </c>
      <c r="D554" s="3" t="s">
        <v>354</v>
      </c>
      <c r="E554" s="6">
        <v>0.48749999999999999</v>
      </c>
      <c r="F554" s="6">
        <v>0.67708333333333337</v>
      </c>
      <c r="G554" s="3" t="s">
        <v>20</v>
      </c>
      <c r="H554" s="3" t="s">
        <v>27</v>
      </c>
      <c r="I554" s="3" t="s">
        <v>15</v>
      </c>
    </row>
    <row r="555" spans="1:9" s="3" customFormat="1" x14ac:dyDescent="0.3">
      <c r="A555" s="3" t="s">
        <v>119</v>
      </c>
      <c r="B555" s="3" t="s">
        <v>120</v>
      </c>
      <c r="C555" s="3" t="s">
        <v>42</v>
      </c>
      <c r="D555" s="3" t="s">
        <v>244</v>
      </c>
      <c r="E555" s="6">
        <v>0.44930555555555557</v>
      </c>
      <c r="F555" s="6">
        <v>0.69930555555555551</v>
      </c>
      <c r="G555" s="3" t="s">
        <v>26</v>
      </c>
      <c r="H555" s="3" t="s">
        <v>14</v>
      </c>
      <c r="I555" s="3" t="s">
        <v>15</v>
      </c>
    </row>
    <row r="556" spans="1:9" s="3" customFormat="1" x14ac:dyDescent="0.3">
      <c r="A556" s="3" t="s">
        <v>55</v>
      </c>
      <c r="B556" s="3" t="s">
        <v>56</v>
      </c>
      <c r="C556" s="3" t="s">
        <v>64</v>
      </c>
      <c r="D556" s="3" t="s">
        <v>257</v>
      </c>
      <c r="E556" s="6"/>
      <c r="F556" s="6"/>
      <c r="G556" s="3" t="s">
        <v>44</v>
      </c>
      <c r="H556" s="3" t="s">
        <v>27</v>
      </c>
      <c r="I556" s="3" t="s">
        <v>15</v>
      </c>
    </row>
    <row r="557" spans="1:9" s="3" customFormat="1" x14ac:dyDescent="0.3">
      <c r="A557" s="3" t="s">
        <v>69</v>
      </c>
      <c r="B557" s="3" t="s">
        <v>70</v>
      </c>
      <c r="C557" s="3" t="s">
        <v>127</v>
      </c>
      <c r="D557" s="3" t="s">
        <v>310</v>
      </c>
      <c r="E557" s="6">
        <v>0.38750000000000001</v>
      </c>
      <c r="F557" s="6">
        <v>0.7583333333333333</v>
      </c>
      <c r="G557" s="3" t="s">
        <v>26</v>
      </c>
      <c r="H557" s="3" t="s">
        <v>27</v>
      </c>
      <c r="I557" s="3" t="s">
        <v>21</v>
      </c>
    </row>
    <row r="558" spans="1:9" s="3" customFormat="1" x14ac:dyDescent="0.3">
      <c r="A558" s="3" t="s">
        <v>216</v>
      </c>
      <c r="B558" s="3" t="s">
        <v>217</v>
      </c>
      <c r="C558" s="3" t="s">
        <v>18</v>
      </c>
      <c r="D558" s="3" t="s">
        <v>105</v>
      </c>
      <c r="E558" s="6">
        <v>0.39444444444444443</v>
      </c>
      <c r="F558" s="6">
        <v>0.70625000000000004</v>
      </c>
      <c r="G558" s="3" t="s">
        <v>20</v>
      </c>
      <c r="H558" s="3" t="s">
        <v>14</v>
      </c>
      <c r="I558" s="3" t="s">
        <v>21</v>
      </c>
    </row>
    <row r="559" spans="1:9" s="3" customFormat="1" x14ac:dyDescent="0.3">
      <c r="A559" s="3" t="s">
        <v>291</v>
      </c>
      <c r="B559" s="3" t="s">
        <v>292</v>
      </c>
      <c r="C559" s="3" t="s">
        <v>42</v>
      </c>
      <c r="D559" s="3" t="s">
        <v>212</v>
      </c>
      <c r="E559" s="6">
        <v>0.37708333333333333</v>
      </c>
      <c r="F559" s="6">
        <v>0.68472222222222223</v>
      </c>
      <c r="G559" s="3" t="s">
        <v>26</v>
      </c>
      <c r="H559" s="3" t="s">
        <v>14</v>
      </c>
      <c r="I559" s="3" t="s">
        <v>15</v>
      </c>
    </row>
    <row r="560" spans="1:9" s="3" customFormat="1" x14ac:dyDescent="0.3">
      <c r="A560" s="3" t="s">
        <v>52</v>
      </c>
      <c r="B560" s="3" t="s">
        <v>53</v>
      </c>
      <c r="C560" s="3" t="s">
        <v>42</v>
      </c>
      <c r="D560" s="3" t="s">
        <v>387</v>
      </c>
      <c r="E560" s="6">
        <v>0.38472222222222224</v>
      </c>
      <c r="F560" s="6">
        <v>0.76875000000000004</v>
      </c>
      <c r="G560" s="3" t="s">
        <v>20</v>
      </c>
      <c r="H560" s="3" t="s">
        <v>14</v>
      </c>
      <c r="I560" s="3" t="s">
        <v>21</v>
      </c>
    </row>
    <row r="561" spans="1:9" s="3" customFormat="1" x14ac:dyDescent="0.3">
      <c r="A561" s="3" t="s">
        <v>62</v>
      </c>
      <c r="B561" s="3" t="s">
        <v>63</v>
      </c>
      <c r="C561" s="3" t="s">
        <v>24</v>
      </c>
      <c r="D561" s="3" t="s">
        <v>364</v>
      </c>
      <c r="E561" s="6">
        <v>0.45555555555555555</v>
      </c>
      <c r="F561" s="6">
        <v>0.77152777777777781</v>
      </c>
      <c r="G561" s="3" t="s">
        <v>149</v>
      </c>
      <c r="H561" s="3" t="s">
        <v>14</v>
      </c>
      <c r="I561" s="3" t="s">
        <v>21</v>
      </c>
    </row>
    <row r="562" spans="1:9" s="3" customFormat="1" x14ac:dyDescent="0.3">
      <c r="A562" s="3" t="s">
        <v>119</v>
      </c>
      <c r="B562" s="3" t="s">
        <v>120</v>
      </c>
      <c r="C562" s="3" t="s">
        <v>24</v>
      </c>
      <c r="D562" s="3" t="s">
        <v>385</v>
      </c>
      <c r="E562" s="6">
        <v>0.47361111111111109</v>
      </c>
      <c r="F562" s="6">
        <v>0.71111111111111114</v>
      </c>
      <c r="G562" s="3" t="s">
        <v>20</v>
      </c>
      <c r="H562" s="3" t="s">
        <v>14</v>
      </c>
      <c r="I562" s="3" t="s">
        <v>15</v>
      </c>
    </row>
    <row r="563" spans="1:9" s="3" customFormat="1" x14ac:dyDescent="0.3">
      <c r="A563" s="3" t="s">
        <v>165</v>
      </c>
      <c r="B563" s="3" t="s">
        <v>166</v>
      </c>
      <c r="C563" s="3" t="s">
        <v>42</v>
      </c>
      <c r="D563" s="3" t="s">
        <v>343</v>
      </c>
      <c r="E563" s="6"/>
      <c r="F563" s="6"/>
      <c r="G563" s="3" t="s">
        <v>125</v>
      </c>
      <c r="H563" s="3" t="s">
        <v>14</v>
      </c>
      <c r="I563" s="3" t="s">
        <v>21</v>
      </c>
    </row>
    <row r="564" spans="1:9" s="3" customFormat="1" x14ac:dyDescent="0.3">
      <c r="A564" s="3" t="s">
        <v>78</v>
      </c>
      <c r="B564" s="3" t="s">
        <v>79</v>
      </c>
      <c r="C564" s="3" t="s">
        <v>18</v>
      </c>
      <c r="D564" s="3" t="s">
        <v>341</v>
      </c>
      <c r="E564" s="6">
        <v>0.47499999999999998</v>
      </c>
      <c r="F564" s="6">
        <v>0.72083333333333333</v>
      </c>
      <c r="G564" s="3" t="s">
        <v>13</v>
      </c>
      <c r="H564" s="3" t="s">
        <v>14</v>
      </c>
      <c r="I564" s="3" t="s">
        <v>21</v>
      </c>
    </row>
    <row r="565" spans="1:9" s="3" customFormat="1" x14ac:dyDescent="0.3">
      <c r="A565" s="3" t="s">
        <v>213</v>
      </c>
      <c r="B565" s="3" t="s">
        <v>214</v>
      </c>
      <c r="C565" s="3" t="s">
        <v>42</v>
      </c>
      <c r="D565" s="3" t="s">
        <v>253</v>
      </c>
      <c r="E565" s="6">
        <v>0.41458333333333336</v>
      </c>
      <c r="F565" s="6">
        <v>0.74652777777777779</v>
      </c>
      <c r="G565" s="3" t="s">
        <v>26</v>
      </c>
      <c r="H565" s="3" t="s">
        <v>14</v>
      </c>
      <c r="I565" s="3" t="s">
        <v>21</v>
      </c>
    </row>
    <row r="566" spans="1:9" s="3" customFormat="1" x14ac:dyDescent="0.3">
      <c r="A566" s="3" t="s">
        <v>197</v>
      </c>
      <c r="B566" s="3" t="s">
        <v>198</v>
      </c>
      <c r="C566" s="3" t="s">
        <v>24</v>
      </c>
      <c r="D566" s="3" t="s">
        <v>341</v>
      </c>
      <c r="E566" s="6"/>
      <c r="F566" s="6"/>
      <c r="G566" s="3" t="s">
        <v>44</v>
      </c>
      <c r="H566" s="3" t="s">
        <v>14</v>
      </c>
      <c r="I566" s="3" t="s">
        <v>15</v>
      </c>
    </row>
    <row r="567" spans="1:9" s="3" customFormat="1" x14ac:dyDescent="0.3">
      <c r="A567" s="3" t="s">
        <v>66</v>
      </c>
      <c r="B567" s="3" t="s">
        <v>67</v>
      </c>
      <c r="C567" s="3" t="s">
        <v>60</v>
      </c>
      <c r="D567" s="3" t="s">
        <v>387</v>
      </c>
      <c r="E567" s="6">
        <v>0.37361111111111112</v>
      </c>
      <c r="F567" s="6">
        <v>0.72430555555555554</v>
      </c>
      <c r="G567" s="3" t="s">
        <v>20</v>
      </c>
      <c r="H567" s="3" t="s">
        <v>27</v>
      </c>
      <c r="I567" s="3" t="s">
        <v>15</v>
      </c>
    </row>
    <row r="568" spans="1:9" s="3" customFormat="1" x14ac:dyDescent="0.3">
      <c r="A568" s="3" t="s">
        <v>200</v>
      </c>
      <c r="B568" s="3" t="s">
        <v>201</v>
      </c>
      <c r="C568" s="3" t="s">
        <v>18</v>
      </c>
      <c r="D568" s="3" t="s">
        <v>273</v>
      </c>
      <c r="E568" s="6">
        <v>0.38263888888888886</v>
      </c>
      <c r="F568" s="6">
        <v>0.78472222222222221</v>
      </c>
      <c r="G568" s="3" t="s">
        <v>26</v>
      </c>
      <c r="H568" s="3" t="s">
        <v>27</v>
      </c>
      <c r="I568" s="3" t="s">
        <v>15</v>
      </c>
    </row>
    <row r="569" spans="1:9" s="3" customFormat="1" x14ac:dyDescent="0.3">
      <c r="A569" s="3" t="s">
        <v>246</v>
      </c>
      <c r="B569" s="3" t="s">
        <v>247</v>
      </c>
      <c r="C569" s="3" t="s">
        <v>64</v>
      </c>
      <c r="D569" s="3" t="s">
        <v>336</v>
      </c>
      <c r="E569" s="6">
        <v>0.44722222222222224</v>
      </c>
      <c r="F569" s="6">
        <v>0.80902777777777779</v>
      </c>
      <c r="G569" s="3" t="s">
        <v>26</v>
      </c>
      <c r="H569" s="3" t="s">
        <v>27</v>
      </c>
      <c r="I569" s="3" t="s">
        <v>15</v>
      </c>
    </row>
    <row r="570" spans="1:9" s="3" customFormat="1" x14ac:dyDescent="0.3">
      <c r="A570" s="3" t="s">
        <v>75</v>
      </c>
      <c r="B570" s="3" t="s">
        <v>76</v>
      </c>
      <c r="C570" s="3" t="s">
        <v>42</v>
      </c>
      <c r="D570" s="3" t="s">
        <v>375</v>
      </c>
      <c r="E570" s="6">
        <v>0.48125000000000001</v>
      </c>
      <c r="F570" s="6">
        <v>0.78749999999999998</v>
      </c>
      <c r="G570" s="3" t="s">
        <v>170</v>
      </c>
      <c r="H570" s="3" t="s">
        <v>27</v>
      </c>
      <c r="I570" s="3" t="s">
        <v>15</v>
      </c>
    </row>
    <row r="571" spans="1:9" s="3" customFormat="1" x14ac:dyDescent="0.3">
      <c r="A571" s="3" t="s">
        <v>134</v>
      </c>
      <c r="B571" s="3" t="s">
        <v>135</v>
      </c>
      <c r="C571" s="3" t="s">
        <v>60</v>
      </c>
      <c r="D571" s="3" t="s">
        <v>361</v>
      </c>
      <c r="E571" s="6">
        <v>0.39374999999999999</v>
      </c>
      <c r="F571" s="6">
        <v>0.7270833333333333</v>
      </c>
      <c r="G571" s="3" t="s">
        <v>13</v>
      </c>
      <c r="H571" s="3" t="s">
        <v>14</v>
      </c>
      <c r="I571" s="3" t="s">
        <v>15</v>
      </c>
    </row>
    <row r="572" spans="1:9" s="3" customFormat="1" x14ac:dyDescent="0.3">
      <c r="A572" s="3" t="s">
        <v>224</v>
      </c>
      <c r="B572" s="3" t="s">
        <v>225</v>
      </c>
      <c r="C572" s="3" t="s">
        <v>60</v>
      </c>
      <c r="D572" s="3" t="s">
        <v>210</v>
      </c>
      <c r="E572" s="6"/>
      <c r="F572" s="6"/>
      <c r="G572" s="3" t="s">
        <v>44</v>
      </c>
      <c r="H572" s="3" t="s">
        <v>14</v>
      </c>
      <c r="I572" s="3" t="s">
        <v>21</v>
      </c>
    </row>
    <row r="573" spans="1:9" s="3" customFormat="1" x14ac:dyDescent="0.3">
      <c r="A573" s="3" t="s">
        <v>338</v>
      </c>
      <c r="B573" s="3" t="s">
        <v>339</v>
      </c>
      <c r="C573" s="3" t="s">
        <v>24</v>
      </c>
      <c r="D573" s="3" t="s">
        <v>305</v>
      </c>
      <c r="E573" s="6">
        <v>0.46388888888888891</v>
      </c>
      <c r="F573" s="6">
        <v>0.72152777777777777</v>
      </c>
      <c r="G573" s="3" t="s">
        <v>26</v>
      </c>
      <c r="H573" s="3" t="s">
        <v>14</v>
      </c>
      <c r="I573" s="3" t="s">
        <v>21</v>
      </c>
    </row>
    <row r="574" spans="1:9" s="3" customFormat="1" x14ac:dyDescent="0.3">
      <c r="A574" s="3" t="s">
        <v>72</v>
      </c>
      <c r="B574" s="3" t="s">
        <v>73</v>
      </c>
      <c r="C574" s="3" t="s">
        <v>64</v>
      </c>
      <c r="D574" s="3" t="s">
        <v>388</v>
      </c>
      <c r="E574" s="6">
        <v>0.43611111111111112</v>
      </c>
      <c r="F574" s="6">
        <v>0.70833333333333337</v>
      </c>
      <c r="G574" s="3" t="s">
        <v>13</v>
      </c>
      <c r="H574" s="3" t="s">
        <v>14</v>
      </c>
      <c r="I574" s="3" t="s">
        <v>21</v>
      </c>
    </row>
    <row r="575" spans="1:9" s="3" customFormat="1" x14ac:dyDescent="0.3">
      <c r="A575" s="3" t="s">
        <v>291</v>
      </c>
      <c r="B575" s="3" t="s">
        <v>292</v>
      </c>
      <c r="C575" s="3" t="s">
        <v>24</v>
      </c>
      <c r="D575" s="3" t="s">
        <v>305</v>
      </c>
      <c r="E575" s="6"/>
      <c r="F575" s="6"/>
      <c r="G575" s="3" t="s">
        <v>44</v>
      </c>
      <c r="H575" s="3" t="s">
        <v>27</v>
      </c>
      <c r="I575" s="3" t="s">
        <v>15</v>
      </c>
    </row>
    <row r="576" spans="1:9" s="3" customFormat="1" x14ac:dyDescent="0.3">
      <c r="A576" s="3" t="s">
        <v>72</v>
      </c>
      <c r="B576" s="3" t="s">
        <v>73</v>
      </c>
      <c r="C576" s="3" t="s">
        <v>42</v>
      </c>
      <c r="D576" s="3" t="s">
        <v>223</v>
      </c>
      <c r="E576" s="6">
        <v>0.41319444444444442</v>
      </c>
      <c r="F576" s="6">
        <v>0.87361111111111112</v>
      </c>
      <c r="G576" s="3" t="s">
        <v>26</v>
      </c>
      <c r="H576" s="3" t="s">
        <v>14</v>
      </c>
      <c r="I576" s="3" t="s">
        <v>15</v>
      </c>
    </row>
    <row r="577" spans="1:9" s="3" customFormat="1" x14ac:dyDescent="0.3">
      <c r="A577" s="3" t="s">
        <v>66</v>
      </c>
      <c r="B577" s="3" t="s">
        <v>67</v>
      </c>
      <c r="C577" s="3" t="s">
        <v>60</v>
      </c>
      <c r="D577" s="3" t="s">
        <v>318</v>
      </c>
      <c r="E577" s="6">
        <v>0.35694444444444445</v>
      </c>
      <c r="F577" s="6">
        <v>0.71944444444444444</v>
      </c>
      <c r="G577" s="3" t="s">
        <v>26</v>
      </c>
      <c r="H577" s="3" t="s">
        <v>27</v>
      </c>
      <c r="I577" s="3" t="s">
        <v>15</v>
      </c>
    </row>
    <row r="578" spans="1:9" s="3" customFormat="1" x14ac:dyDescent="0.3">
      <c r="A578" s="3" t="s">
        <v>81</v>
      </c>
      <c r="B578" s="3" t="s">
        <v>82</v>
      </c>
      <c r="C578" s="3" t="s">
        <v>143</v>
      </c>
      <c r="D578" s="3" t="s">
        <v>159</v>
      </c>
      <c r="E578" s="6">
        <v>0.41111111111111109</v>
      </c>
      <c r="F578" s="6">
        <v>0.86736111111111114</v>
      </c>
      <c r="G578" s="3" t="s">
        <v>13</v>
      </c>
      <c r="H578" s="3" t="s">
        <v>14</v>
      </c>
      <c r="I578" s="3" t="s">
        <v>15</v>
      </c>
    </row>
    <row r="579" spans="1:9" s="3" customFormat="1" x14ac:dyDescent="0.3">
      <c r="A579" s="3" t="s">
        <v>224</v>
      </c>
      <c r="B579" s="3" t="s">
        <v>225</v>
      </c>
      <c r="C579" s="3" t="s">
        <v>24</v>
      </c>
      <c r="D579" s="3" t="s">
        <v>260</v>
      </c>
      <c r="E579" s="6">
        <v>0.35486111111111113</v>
      </c>
      <c r="F579" s="6">
        <v>0.7416666666666667</v>
      </c>
      <c r="G579" s="3" t="s">
        <v>13</v>
      </c>
      <c r="H579" s="3" t="s">
        <v>14</v>
      </c>
      <c r="I579" s="3" t="s">
        <v>15</v>
      </c>
    </row>
    <row r="580" spans="1:9" s="3" customFormat="1" x14ac:dyDescent="0.3">
      <c r="A580" s="3" t="s">
        <v>31</v>
      </c>
      <c r="B580" s="3" t="s">
        <v>32</v>
      </c>
      <c r="C580" s="3" t="s">
        <v>60</v>
      </c>
      <c r="D580" s="3" t="s">
        <v>114</v>
      </c>
      <c r="E580" s="6">
        <v>0.4777777777777778</v>
      </c>
      <c r="F580" s="6">
        <v>0.84722222222222221</v>
      </c>
      <c r="G580" s="3" t="s">
        <v>13</v>
      </c>
      <c r="H580" s="3" t="s">
        <v>27</v>
      </c>
      <c r="I580" s="3" t="s">
        <v>15</v>
      </c>
    </row>
    <row r="581" spans="1:9" s="3" customFormat="1" x14ac:dyDescent="0.3">
      <c r="A581" s="3" t="s">
        <v>84</v>
      </c>
      <c r="B581" s="3" t="s">
        <v>85</v>
      </c>
      <c r="C581" s="3" t="s">
        <v>64</v>
      </c>
      <c r="D581" s="3" t="s">
        <v>227</v>
      </c>
      <c r="E581" s="6"/>
      <c r="F581" s="6"/>
      <c r="G581" s="3" t="s">
        <v>44</v>
      </c>
      <c r="H581" s="3" t="s">
        <v>14</v>
      </c>
      <c r="I581" s="3" t="s">
        <v>15</v>
      </c>
    </row>
    <row r="582" spans="1:9" s="3" customFormat="1" x14ac:dyDescent="0.3">
      <c r="A582" s="3" t="s">
        <v>134</v>
      </c>
      <c r="B582" s="3" t="s">
        <v>135</v>
      </c>
      <c r="C582" s="3" t="s">
        <v>42</v>
      </c>
      <c r="D582" s="3" t="s">
        <v>379</v>
      </c>
      <c r="E582" s="6"/>
      <c r="F582" s="6"/>
      <c r="G582" s="3" t="s">
        <v>44</v>
      </c>
      <c r="H582" s="3" t="s">
        <v>27</v>
      </c>
      <c r="I582" s="3" t="s">
        <v>21</v>
      </c>
    </row>
    <row r="583" spans="1:9" s="3" customFormat="1" x14ac:dyDescent="0.3">
      <c r="A583" s="3" t="s">
        <v>236</v>
      </c>
      <c r="B583" s="3" t="s">
        <v>237</v>
      </c>
      <c r="C583" s="3" t="s">
        <v>64</v>
      </c>
      <c r="D583" s="3" t="s">
        <v>328</v>
      </c>
      <c r="E583" s="6">
        <v>0.49791666666666667</v>
      </c>
      <c r="F583" s="6">
        <v>0.70763888888888893</v>
      </c>
      <c r="G583" s="3" t="s">
        <v>26</v>
      </c>
      <c r="H583" s="3" t="s">
        <v>14</v>
      </c>
      <c r="I583" s="3" t="s">
        <v>21</v>
      </c>
    </row>
    <row r="584" spans="1:9" s="3" customFormat="1" x14ac:dyDescent="0.3">
      <c r="A584" s="3" t="s">
        <v>338</v>
      </c>
      <c r="B584" s="3" t="s">
        <v>339</v>
      </c>
      <c r="C584" s="3" t="s">
        <v>60</v>
      </c>
      <c r="D584" s="3" t="s">
        <v>95</v>
      </c>
      <c r="E584" s="6">
        <v>0.37361111111111112</v>
      </c>
      <c r="F584" s="6">
        <v>0.84305555555555556</v>
      </c>
      <c r="G584" s="3" t="s">
        <v>20</v>
      </c>
      <c r="H584" s="3" t="s">
        <v>27</v>
      </c>
      <c r="I584" s="3" t="s">
        <v>21</v>
      </c>
    </row>
    <row r="585" spans="1:9" s="3" customFormat="1" x14ac:dyDescent="0.3">
      <c r="A585" s="3" t="s">
        <v>96</v>
      </c>
      <c r="B585" s="3" t="s">
        <v>97</v>
      </c>
      <c r="C585" s="3" t="s">
        <v>18</v>
      </c>
      <c r="D585" s="3" t="s">
        <v>196</v>
      </c>
      <c r="E585" s="6">
        <v>0.39930555555555558</v>
      </c>
      <c r="F585" s="6">
        <v>0.87222222222222223</v>
      </c>
      <c r="G585" s="3" t="s">
        <v>26</v>
      </c>
      <c r="H585" s="3" t="s">
        <v>14</v>
      </c>
      <c r="I585" s="3" t="s">
        <v>21</v>
      </c>
    </row>
    <row r="586" spans="1:9" s="3" customFormat="1" x14ac:dyDescent="0.3">
      <c r="A586" s="3" t="s">
        <v>62</v>
      </c>
      <c r="B586" s="3" t="s">
        <v>63</v>
      </c>
      <c r="C586" s="3" t="s">
        <v>60</v>
      </c>
      <c r="D586" s="3" t="s">
        <v>301</v>
      </c>
      <c r="E586" s="6"/>
      <c r="F586" s="6"/>
      <c r="G586" s="3" t="s">
        <v>44</v>
      </c>
      <c r="H586" s="3" t="s">
        <v>14</v>
      </c>
      <c r="I586" s="3" t="s">
        <v>15</v>
      </c>
    </row>
    <row r="587" spans="1:9" s="3" customFormat="1" x14ac:dyDescent="0.3">
      <c r="A587" s="3" t="s">
        <v>96</v>
      </c>
      <c r="B587" s="3" t="s">
        <v>97</v>
      </c>
      <c r="C587" s="3" t="s">
        <v>18</v>
      </c>
      <c r="D587" s="3" t="s">
        <v>118</v>
      </c>
      <c r="E587" s="6">
        <v>0.36249999999999999</v>
      </c>
      <c r="F587" s="6">
        <v>0.71250000000000002</v>
      </c>
      <c r="G587" s="3" t="s">
        <v>26</v>
      </c>
      <c r="H587" s="3" t="s">
        <v>27</v>
      </c>
      <c r="I587" s="3" t="s">
        <v>21</v>
      </c>
    </row>
    <row r="588" spans="1:9" s="3" customFormat="1" x14ac:dyDescent="0.3">
      <c r="A588" s="3" t="s">
        <v>200</v>
      </c>
      <c r="B588" s="3" t="s">
        <v>201</v>
      </c>
      <c r="C588" s="3" t="s">
        <v>64</v>
      </c>
      <c r="D588" s="3" t="s">
        <v>263</v>
      </c>
      <c r="E588" s="6">
        <v>0.4861111111111111</v>
      </c>
      <c r="F588" s="6">
        <v>0.82361111111111107</v>
      </c>
      <c r="G588" s="3" t="s">
        <v>26</v>
      </c>
      <c r="H588" s="3" t="s">
        <v>27</v>
      </c>
      <c r="I588" s="3" t="s">
        <v>15</v>
      </c>
    </row>
    <row r="589" spans="1:9" s="3" customFormat="1" x14ac:dyDescent="0.3">
      <c r="A589" s="3" t="s">
        <v>90</v>
      </c>
      <c r="B589" s="3" t="s">
        <v>91</v>
      </c>
      <c r="C589" s="3" t="s">
        <v>24</v>
      </c>
      <c r="D589" s="3" t="s">
        <v>333</v>
      </c>
      <c r="E589" s="6">
        <v>0.48541666666666666</v>
      </c>
      <c r="F589" s="6">
        <v>0.68472222222222223</v>
      </c>
      <c r="G589" s="3" t="s">
        <v>13</v>
      </c>
      <c r="H589" s="3" t="s">
        <v>14</v>
      </c>
      <c r="I589" s="3" t="s">
        <v>21</v>
      </c>
    </row>
    <row r="590" spans="1:9" s="3" customFormat="1" x14ac:dyDescent="0.3">
      <c r="A590" s="3" t="s">
        <v>90</v>
      </c>
      <c r="B590" s="3" t="s">
        <v>91</v>
      </c>
      <c r="C590" s="3" t="s">
        <v>18</v>
      </c>
      <c r="D590" s="3" t="s">
        <v>114</v>
      </c>
      <c r="E590" s="6">
        <v>0.44513888888888886</v>
      </c>
      <c r="F590" s="6">
        <v>0.71388888888888891</v>
      </c>
      <c r="G590" s="3" t="s">
        <v>13</v>
      </c>
      <c r="H590" s="3" t="s">
        <v>14</v>
      </c>
      <c r="I590" s="3" t="s">
        <v>21</v>
      </c>
    </row>
    <row r="591" spans="1:9" s="3" customFormat="1" x14ac:dyDescent="0.3">
      <c r="A591" s="3" t="s">
        <v>16</v>
      </c>
      <c r="B591" s="3" t="s">
        <v>17</v>
      </c>
      <c r="C591" s="3" t="s">
        <v>60</v>
      </c>
      <c r="D591" s="3" t="s">
        <v>33</v>
      </c>
      <c r="E591" s="6"/>
      <c r="F591" s="6"/>
      <c r="G591" s="3" t="s">
        <v>44</v>
      </c>
      <c r="H591" s="3" t="s">
        <v>27</v>
      </c>
      <c r="I591" s="3" t="s">
        <v>15</v>
      </c>
    </row>
    <row r="592" spans="1:9" s="3" customFormat="1" x14ac:dyDescent="0.3">
      <c r="A592" s="3" t="s">
        <v>187</v>
      </c>
      <c r="B592" s="3" t="s">
        <v>188</v>
      </c>
      <c r="C592" s="3" t="s">
        <v>42</v>
      </c>
      <c r="D592" s="3" t="s">
        <v>264</v>
      </c>
      <c r="E592" s="6"/>
      <c r="F592" s="6"/>
      <c r="G592" s="3" t="s">
        <v>44</v>
      </c>
      <c r="H592" s="3" t="s">
        <v>27</v>
      </c>
      <c r="I592" s="3" t="s">
        <v>21</v>
      </c>
    </row>
    <row r="593" spans="1:9" s="3" customFormat="1" x14ac:dyDescent="0.3">
      <c r="A593" s="3" t="s">
        <v>134</v>
      </c>
      <c r="B593" s="3" t="s">
        <v>135</v>
      </c>
      <c r="C593" s="3" t="s">
        <v>11</v>
      </c>
      <c r="D593" s="3" t="s">
        <v>312</v>
      </c>
      <c r="E593" s="6">
        <v>0.40763888888888888</v>
      </c>
      <c r="F593" s="6">
        <v>0.73611111111111116</v>
      </c>
      <c r="G593" s="3" t="s">
        <v>20</v>
      </c>
      <c r="H593" s="3" t="s">
        <v>14</v>
      </c>
      <c r="I593" s="3" t="s">
        <v>21</v>
      </c>
    </row>
    <row r="594" spans="1:9" s="3" customFormat="1" x14ac:dyDescent="0.3">
      <c r="A594" s="3" t="s">
        <v>250</v>
      </c>
      <c r="B594" s="3" t="s">
        <v>251</v>
      </c>
      <c r="C594" s="3" t="s">
        <v>18</v>
      </c>
      <c r="D594" s="3" t="s">
        <v>184</v>
      </c>
      <c r="E594" s="6">
        <v>0.33888888888888891</v>
      </c>
      <c r="F594" s="6">
        <v>0.7368055555555556</v>
      </c>
      <c r="G594" s="3" t="s">
        <v>13</v>
      </c>
      <c r="H594" s="3" t="s">
        <v>14</v>
      </c>
      <c r="I594" s="3" t="s">
        <v>15</v>
      </c>
    </row>
    <row r="595" spans="1:9" s="3" customFormat="1" x14ac:dyDescent="0.3">
      <c r="A595" s="3" t="s">
        <v>75</v>
      </c>
      <c r="B595" s="3" t="s">
        <v>76</v>
      </c>
      <c r="C595" s="3" t="s">
        <v>24</v>
      </c>
      <c r="D595" s="3" t="s">
        <v>319</v>
      </c>
      <c r="E595" s="6">
        <v>0.47847222222222224</v>
      </c>
      <c r="F595" s="6">
        <v>0.76249999999999996</v>
      </c>
      <c r="G595" s="3" t="s">
        <v>26</v>
      </c>
      <c r="H595" s="3" t="s">
        <v>14</v>
      </c>
      <c r="I595" s="3" t="s">
        <v>21</v>
      </c>
    </row>
    <row r="596" spans="1:9" s="3" customFormat="1" x14ac:dyDescent="0.3">
      <c r="A596" s="3" t="s">
        <v>138</v>
      </c>
      <c r="B596" s="3" t="s">
        <v>139</v>
      </c>
      <c r="C596" s="3" t="s">
        <v>24</v>
      </c>
      <c r="D596" s="3" t="s">
        <v>202</v>
      </c>
      <c r="E596" s="6">
        <v>0.49375000000000002</v>
      </c>
      <c r="F596" s="6">
        <v>0.78194444444444444</v>
      </c>
      <c r="G596" s="3" t="s">
        <v>20</v>
      </c>
      <c r="H596" s="3" t="s">
        <v>14</v>
      </c>
      <c r="I596" s="3" t="s">
        <v>15</v>
      </c>
    </row>
    <row r="597" spans="1:9" s="3" customFormat="1" x14ac:dyDescent="0.3">
      <c r="A597" s="3" t="s">
        <v>315</v>
      </c>
      <c r="B597" s="3" t="s">
        <v>316</v>
      </c>
      <c r="C597" s="3" t="s">
        <v>64</v>
      </c>
      <c r="D597" s="3" t="s">
        <v>240</v>
      </c>
      <c r="E597" s="6">
        <v>0.34027777777777779</v>
      </c>
      <c r="F597" s="6">
        <v>0.70763888888888893</v>
      </c>
      <c r="G597" s="3" t="s">
        <v>20</v>
      </c>
      <c r="H597" s="3" t="s">
        <v>14</v>
      </c>
      <c r="I597" s="3" t="s">
        <v>21</v>
      </c>
    </row>
    <row r="598" spans="1:9" s="3" customFormat="1" x14ac:dyDescent="0.3">
      <c r="A598" s="3" t="s">
        <v>175</v>
      </c>
      <c r="B598" s="3" t="s">
        <v>176</v>
      </c>
      <c r="C598" s="3" t="s">
        <v>42</v>
      </c>
      <c r="D598" s="3" t="s">
        <v>288</v>
      </c>
      <c r="E598" s="6">
        <v>0.46388888888888891</v>
      </c>
      <c r="F598" s="6">
        <v>0.87013888888888891</v>
      </c>
      <c r="G598" s="3" t="s">
        <v>13</v>
      </c>
      <c r="H598" s="3" t="s">
        <v>14</v>
      </c>
      <c r="I598" s="3" t="s">
        <v>21</v>
      </c>
    </row>
    <row r="599" spans="1:9" s="3" customFormat="1" x14ac:dyDescent="0.3">
      <c r="A599" s="3" t="s">
        <v>146</v>
      </c>
      <c r="B599" s="3" t="s">
        <v>147</v>
      </c>
      <c r="C599" s="3" t="s">
        <v>64</v>
      </c>
      <c r="D599" s="3" t="s">
        <v>298</v>
      </c>
      <c r="E599" s="6">
        <v>0.34652777777777777</v>
      </c>
      <c r="F599" s="6">
        <v>0.84444444444444444</v>
      </c>
      <c r="G599" s="3" t="s">
        <v>20</v>
      </c>
      <c r="H599" s="3" t="s">
        <v>27</v>
      </c>
      <c r="I599" s="3" t="s">
        <v>15</v>
      </c>
    </row>
    <row r="600" spans="1:9" s="3" customFormat="1" x14ac:dyDescent="0.3">
      <c r="A600" s="3" t="s">
        <v>40</v>
      </c>
      <c r="B600" s="3" t="s">
        <v>41</v>
      </c>
      <c r="C600" s="3" t="s">
        <v>60</v>
      </c>
      <c r="D600" s="3" t="s">
        <v>271</v>
      </c>
      <c r="E600" s="6"/>
      <c r="F600" s="6"/>
      <c r="G600" s="3" t="s">
        <v>44</v>
      </c>
      <c r="H600" s="3" t="s">
        <v>14</v>
      </c>
      <c r="I600" s="3" t="s">
        <v>21</v>
      </c>
    </row>
    <row r="601" spans="1:9" s="3" customFormat="1" x14ac:dyDescent="0.3">
      <c r="A601" s="3" t="s">
        <v>291</v>
      </c>
      <c r="B601" s="3" t="s">
        <v>292</v>
      </c>
      <c r="C601" s="3" t="s">
        <v>24</v>
      </c>
      <c r="D601" s="3" t="s">
        <v>355</v>
      </c>
      <c r="E601" s="6">
        <v>0.35347222222222224</v>
      </c>
      <c r="F601" s="6">
        <v>0.69861111111111107</v>
      </c>
      <c r="G601" s="3" t="s">
        <v>13</v>
      </c>
      <c r="H601" s="3" t="s">
        <v>27</v>
      </c>
      <c r="I601" s="3" t="s">
        <v>21</v>
      </c>
    </row>
    <row r="602" spans="1:9" s="3" customFormat="1" x14ac:dyDescent="0.3">
      <c r="A602" s="3" t="s">
        <v>171</v>
      </c>
      <c r="B602" s="3" t="s">
        <v>172</v>
      </c>
      <c r="C602" s="3" t="s">
        <v>60</v>
      </c>
      <c r="D602" s="3" t="s">
        <v>327</v>
      </c>
      <c r="E602" s="6"/>
      <c r="F602" s="6"/>
      <c r="G602" s="3" t="s">
        <v>44</v>
      </c>
      <c r="H602" s="3" t="s">
        <v>14</v>
      </c>
      <c r="I602" s="3" t="s">
        <v>15</v>
      </c>
    </row>
    <row r="603" spans="1:9" s="3" customFormat="1" x14ac:dyDescent="0.3">
      <c r="A603" s="3" t="s">
        <v>22</v>
      </c>
      <c r="B603" s="3" t="s">
        <v>23</v>
      </c>
      <c r="C603" s="3" t="s">
        <v>24</v>
      </c>
      <c r="D603" s="3" t="s">
        <v>240</v>
      </c>
      <c r="E603" s="6">
        <v>0.3972222222222222</v>
      </c>
      <c r="F603" s="6">
        <v>0.69861111111111107</v>
      </c>
      <c r="G603" s="3" t="s">
        <v>26</v>
      </c>
      <c r="H603" s="3" t="s">
        <v>14</v>
      </c>
      <c r="I603" s="3" t="s">
        <v>21</v>
      </c>
    </row>
    <row r="604" spans="1:9" s="3" customFormat="1" x14ac:dyDescent="0.3">
      <c r="A604" s="3" t="s">
        <v>58</v>
      </c>
      <c r="B604" s="3" t="s">
        <v>59</v>
      </c>
      <c r="C604" s="3" t="s">
        <v>18</v>
      </c>
      <c r="D604" s="3" t="s">
        <v>156</v>
      </c>
      <c r="E604" s="6">
        <v>0.44513888888888886</v>
      </c>
      <c r="F604" s="6">
        <v>0.79652777777777772</v>
      </c>
      <c r="G604" s="3" t="s">
        <v>20</v>
      </c>
      <c r="H604" s="3" t="s">
        <v>27</v>
      </c>
      <c r="I604" s="3" t="s">
        <v>15</v>
      </c>
    </row>
    <row r="605" spans="1:9" s="3" customFormat="1" x14ac:dyDescent="0.3">
      <c r="A605" s="3" t="s">
        <v>112</v>
      </c>
      <c r="B605" s="3" t="s">
        <v>113</v>
      </c>
      <c r="C605" s="3" t="s">
        <v>42</v>
      </c>
      <c r="D605" s="3" t="s">
        <v>358</v>
      </c>
      <c r="E605" s="6">
        <v>0.35069444444444442</v>
      </c>
      <c r="F605" s="6">
        <v>0.8354166666666667</v>
      </c>
      <c r="G605" s="3" t="s">
        <v>26</v>
      </c>
      <c r="H605" s="3" t="s">
        <v>14</v>
      </c>
      <c r="I605" s="3" t="s">
        <v>15</v>
      </c>
    </row>
    <row r="606" spans="1:9" s="3" customFormat="1" x14ac:dyDescent="0.3">
      <c r="A606" s="3" t="s">
        <v>122</v>
      </c>
      <c r="B606" s="3" t="s">
        <v>123</v>
      </c>
      <c r="C606" s="3" t="s">
        <v>42</v>
      </c>
      <c r="D606" s="3" t="s">
        <v>387</v>
      </c>
      <c r="E606" s="6"/>
      <c r="F606" s="6"/>
      <c r="G606" s="3" t="s">
        <v>44</v>
      </c>
      <c r="H606" s="3" t="s">
        <v>27</v>
      </c>
      <c r="I606" s="3" t="s">
        <v>15</v>
      </c>
    </row>
    <row r="607" spans="1:9" s="3" customFormat="1" x14ac:dyDescent="0.3">
      <c r="A607" s="3" t="s">
        <v>362</v>
      </c>
      <c r="B607" s="3" t="s">
        <v>363</v>
      </c>
      <c r="C607" s="3" t="s">
        <v>143</v>
      </c>
      <c r="D607" s="3" t="s">
        <v>196</v>
      </c>
      <c r="E607" s="6">
        <v>0.49027777777777776</v>
      </c>
      <c r="F607" s="6">
        <v>0.69791666666666663</v>
      </c>
      <c r="G607" s="3" t="s">
        <v>13</v>
      </c>
      <c r="H607" s="3" t="s">
        <v>14</v>
      </c>
      <c r="I607" s="3" t="s">
        <v>21</v>
      </c>
    </row>
    <row r="608" spans="1:9" s="3" customFormat="1" x14ac:dyDescent="0.3">
      <c r="A608" s="3" t="s">
        <v>130</v>
      </c>
      <c r="B608" s="3" t="s">
        <v>131</v>
      </c>
      <c r="C608" s="3" t="s">
        <v>24</v>
      </c>
      <c r="D608" s="3" t="s">
        <v>389</v>
      </c>
      <c r="E608" s="6">
        <v>0.39374999999999999</v>
      </c>
      <c r="F608" s="6">
        <v>0.86319444444444449</v>
      </c>
      <c r="G608" s="3" t="s">
        <v>13</v>
      </c>
      <c r="H608" s="3" t="s">
        <v>14</v>
      </c>
      <c r="I608" s="3" t="s">
        <v>15</v>
      </c>
    </row>
    <row r="609" spans="1:9" s="3" customFormat="1" x14ac:dyDescent="0.3">
      <c r="A609" s="3" t="s">
        <v>141</v>
      </c>
      <c r="B609" s="3" t="s">
        <v>142</v>
      </c>
      <c r="C609" s="3" t="s">
        <v>42</v>
      </c>
      <c r="D609" s="3" t="s">
        <v>390</v>
      </c>
      <c r="E609" s="6">
        <v>0.33958333333333335</v>
      </c>
      <c r="F609" s="6">
        <v>0.85138888888888886</v>
      </c>
      <c r="G609" s="3" t="s">
        <v>13</v>
      </c>
      <c r="H609" s="3" t="s">
        <v>14</v>
      </c>
      <c r="I609" s="3" t="s">
        <v>15</v>
      </c>
    </row>
    <row r="610" spans="1:9" s="3" customFormat="1" x14ac:dyDescent="0.3">
      <c r="A610" s="3" t="s">
        <v>291</v>
      </c>
      <c r="B610" s="3" t="s">
        <v>292</v>
      </c>
      <c r="C610" s="3" t="s">
        <v>18</v>
      </c>
      <c r="D610" s="3" t="s">
        <v>391</v>
      </c>
      <c r="E610" s="6">
        <v>0.43888888888888888</v>
      </c>
      <c r="F610" s="6">
        <v>0.75277777777777777</v>
      </c>
      <c r="G610" s="3" t="s">
        <v>20</v>
      </c>
      <c r="H610" s="3" t="s">
        <v>27</v>
      </c>
      <c r="I610" s="3" t="s">
        <v>21</v>
      </c>
    </row>
    <row r="611" spans="1:9" s="3" customFormat="1" x14ac:dyDescent="0.3">
      <c r="A611" s="3" t="s">
        <v>16</v>
      </c>
      <c r="B611" s="3" t="s">
        <v>17</v>
      </c>
      <c r="C611" s="3" t="s">
        <v>143</v>
      </c>
      <c r="D611" s="3" t="s">
        <v>61</v>
      </c>
      <c r="E611" s="6">
        <v>0.35902777777777778</v>
      </c>
      <c r="F611" s="6">
        <v>0.76944444444444449</v>
      </c>
      <c r="G611" s="3" t="s">
        <v>13</v>
      </c>
      <c r="H611" s="3" t="s">
        <v>14</v>
      </c>
      <c r="I611" s="3" t="s">
        <v>21</v>
      </c>
    </row>
    <row r="612" spans="1:9" s="3" customFormat="1" x14ac:dyDescent="0.3">
      <c r="A612" s="3" t="s">
        <v>269</v>
      </c>
      <c r="B612" s="3" t="s">
        <v>270</v>
      </c>
      <c r="C612" s="3" t="s">
        <v>24</v>
      </c>
      <c r="D612" s="3" t="s">
        <v>337</v>
      </c>
      <c r="E612" s="6">
        <v>0.36736111111111114</v>
      </c>
      <c r="F612" s="6">
        <v>0.74861111111111112</v>
      </c>
      <c r="G612" s="3" t="s">
        <v>13</v>
      </c>
      <c r="H612" s="3" t="s">
        <v>27</v>
      </c>
      <c r="I612" s="3" t="s">
        <v>15</v>
      </c>
    </row>
    <row r="613" spans="1:9" s="3" customFormat="1" x14ac:dyDescent="0.3">
      <c r="A613" s="3" t="s">
        <v>291</v>
      </c>
      <c r="B613" s="3" t="s">
        <v>292</v>
      </c>
      <c r="C613" s="3" t="s">
        <v>24</v>
      </c>
      <c r="D613" s="3" t="s">
        <v>311</v>
      </c>
      <c r="E613" s="6">
        <v>0.47013888888888888</v>
      </c>
      <c r="F613" s="6">
        <v>0.67638888888888893</v>
      </c>
      <c r="G613" s="3" t="s">
        <v>26</v>
      </c>
      <c r="H613" s="3" t="s">
        <v>14</v>
      </c>
      <c r="I613" s="3" t="s">
        <v>15</v>
      </c>
    </row>
    <row r="614" spans="1:9" s="3" customFormat="1" x14ac:dyDescent="0.3">
      <c r="A614" s="3" t="s">
        <v>66</v>
      </c>
      <c r="B614" s="3" t="s">
        <v>67</v>
      </c>
      <c r="C614" s="3" t="s">
        <v>42</v>
      </c>
      <c r="D614" s="3" t="s">
        <v>234</v>
      </c>
      <c r="E614" s="6">
        <v>0.46319444444444446</v>
      </c>
      <c r="F614" s="6">
        <v>0.76666666666666672</v>
      </c>
      <c r="G614" s="3" t="s">
        <v>26</v>
      </c>
      <c r="H614" s="3" t="s">
        <v>27</v>
      </c>
      <c r="I614" s="3" t="s">
        <v>21</v>
      </c>
    </row>
    <row r="615" spans="1:9" s="3" customFormat="1" x14ac:dyDescent="0.3">
      <c r="A615" s="3" t="s">
        <v>216</v>
      </c>
      <c r="B615" s="3" t="s">
        <v>217</v>
      </c>
      <c r="C615" s="3" t="s">
        <v>60</v>
      </c>
      <c r="D615" s="3" t="s">
        <v>228</v>
      </c>
      <c r="E615" s="6">
        <v>0.36875000000000002</v>
      </c>
      <c r="F615" s="6">
        <v>0.77777777777777779</v>
      </c>
      <c r="G615" s="3" t="s">
        <v>26</v>
      </c>
      <c r="H615" s="3" t="s">
        <v>14</v>
      </c>
      <c r="I615" s="3" t="s">
        <v>15</v>
      </c>
    </row>
    <row r="616" spans="1:9" s="3" customFormat="1" x14ac:dyDescent="0.3">
      <c r="A616" s="3" t="s">
        <v>141</v>
      </c>
      <c r="B616" s="3" t="s">
        <v>142</v>
      </c>
      <c r="C616" s="3" t="s">
        <v>18</v>
      </c>
      <c r="D616" s="3" t="s">
        <v>381</v>
      </c>
      <c r="E616" s="6">
        <v>0.4826388888888889</v>
      </c>
      <c r="F616" s="6">
        <v>0.83750000000000002</v>
      </c>
      <c r="G616" s="3" t="s">
        <v>170</v>
      </c>
      <c r="H616" s="3" t="s">
        <v>14</v>
      </c>
      <c r="I616" s="3" t="s">
        <v>21</v>
      </c>
    </row>
    <row r="617" spans="1:9" s="3" customFormat="1" x14ac:dyDescent="0.3">
      <c r="A617" s="3" t="s">
        <v>165</v>
      </c>
      <c r="B617" s="3" t="s">
        <v>166</v>
      </c>
      <c r="C617" s="3" t="s">
        <v>64</v>
      </c>
      <c r="D617" s="3" t="s">
        <v>255</v>
      </c>
      <c r="E617" s="6"/>
      <c r="F617" s="6"/>
      <c r="G617" s="3" t="s">
        <v>44</v>
      </c>
      <c r="H617" s="3" t="s">
        <v>14</v>
      </c>
      <c r="I617" s="3" t="s">
        <v>15</v>
      </c>
    </row>
    <row r="618" spans="1:9" s="3" customFormat="1" x14ac:dyDescent="0.3">
      <c r="A618" s="3" t="s">
        <v>93</v>
      </c>
      <c r="B618" s="3" t="s">
        <v>94</v>
      </c>
      <c r="C618" s="3" t="s">
        <v>18</v>
      </c>
      <c r="D618" s="3" t="s">
        <v>242</v>
      </c>
      <c r="E618" s="6">
        <v>0.40763888888888888</v>
      </c>
      <c r="F618" s="6">
        <v>0.7</v>
      </c>
      <c r="G618" s="3" t="s">
        <v>13</v>
      </c>
      <c r="H618" s="3" t="s">
        <v>27</v>
      </c>
      <c r="I618" s="3" t="s">
        <v>15</v>
      </c>
    </row>
    <row r="619" spans="1:9" s="3" customFormat="1" x14ac:dyDescent="0.3">
      <c r="A619" s="3" t="s">
        <v>291</v>
      </c>
      <c r="B619" s="3" t="s">
        <v>292</v>
      </c>
      <c r="C619" s="3" t="s">
        <v>64</v>
      </c>
      <c r="D619" s="3" t="s">
        <v>376</v>
      </c>
      <c r="E619" s="6">
        <v>0.48958333333333331</v>
      </c>
      <c r="F619" s="6">
        <v>0.70694444444444449</v>
      </c>
      <c r="G619" s="3" t="s">
        <v>13</v>
      </c>
      <c r="H619" s="3" t="s">
        <v>14</v>
      </c>
      <c r="I619" s="3" t="s">
        <v>21</v>
      </c>
    </row>
    <row r="620" spans="1:9" s="3" customFormat="1" x14ac:dyDescent="0.3">
      <c r="A620" s="3" t="s">
        <v>69</v>
      </c>
      <c r="B620" s="3" t="s">
        <v>70</v>
      </c>
      <c r="C620" s="3" t="s">
        <v>42</v>
      </c>
      <c r="D620" s="3" t="s">
        <v>392</v>
      </c>
      <c r="E620" s="6">
        <v>0.40486111111111112</v>
      </c>
      <c r="F620" s="6">
        <v>0.71597222222222223</v>
      </c>
      <c r="G620" s="3" t="s">
        <v>26</v>
      </c>
      <c r="H620" s="3" t="s">
        <v>27</v>
      </c>
      <c r="I620" s="3" t="s">
        <v>21</v>
      </c>
    </row>
    <row r="621" spans="1:9" s="3" customFormat="1" x14ac:dyDescent="0.3">
      <c r="A621" s="3" t="s">
        <v>40</v>
      </c>
      <c r="B621" s="3" t="s">
        <v>41</v>
      </c>
      <c r="C621" s="3" t="s">
        <v>64</v>
      </c>
      <c r="D621" s="3" t="s">
        <v>283</v>
      </c>
      <c r="E621" s="6">
        <v>0.49027777777777776</v>
      </c>
      <c r="F621" s="6">
        <v>0.6791666666666667</v>
      </c>
      <c r="G621" s="3" t="s">
        <v>26</v>
      </c>
      <c r="H621" s="3" t="s">
        <v>14</v>
      </c>
      <c r="I621" s="3" t="s">
        <v>15</v>
      </c>
    </row>
    <row r="622" spans="1:9" s="3" customFormat="1" x14ac:dyDescent="0.3">
      <c r="A622" s="3" t="s">
        <v>81</v>
      </c>
      <c r="B622" s="3" t="s">
        <v>82</v>
      </c>
      <c r="C622" s="3" t="s">
        <v>167</v>
      </c>
      <c r="D622" s="3" t="s">
        <v>77</v>
      </c>
      <c r="E622" s="6">
        <v>0.46527777777777779</v>
      </c>
      <c r="F622" s="6">
        <v>0.71736111111111112</v>
      </c>
      <c r="G622" s="3" t="s">
        <v>20</v>
      </c>
      <c r="H622" s="3" t="s">
        <v>14</v>
      </c>
      <c r="I622" s="3" t="s">
        <v>15</v>
      </c>
    </row>
    <row r="623" spans="1:9" s="3" customFormat="1" x14ac:dyDescent="0.3">
      <c r="A623" s="3" t="s">
        <v>362</v>
      </c>
      <c r="B623" s="3" t="s">
        <v>363</v>
      </c>
      <c r="C623" s="3" t="s">
        <v>24</v>
      </c>
      <c r="D623" s="3" t="s">
        <v>364</v>
      </c>
      <c r="E623" s="6">
        <v>0.4236111111111111</v>
      </c>
      <c r="F623" s="6">
        <v>0.84861111111111109</v>
      </c>
      <c r="G623" s="3" t="s">
        <v>20</v>
      </c>
      <c r="H623" s="3" t="s">
        <v>14</v>
      </c>
      <c r="I623" s="3" t="s">
        <v>15</v>
      </c>
    </row>
    <row r="624" spans="1:9" s="3" customFormat="1" x14ac:dyDescent="0.3">
      <c r="A624" s="3" t="s">
        <v>191</v>
      </c>
      <c r="B624" s="3" t="s">
        <v>192</v>
      </c>
      <c r="C624" s="3" t="s">
        <v>167</v>
      </c>
      <c r="D624" s="3" t="s">
        <v>126</v>
      </c>
      <c r="E624" s="6"/>
      <c r="F624" s="6"/>
      <c r="G624" s="3" t="s">
        <v>44</v>
      </c>
      <c r="H624" s="3" t="s">
        <v>27</v>
      </c>
      <c r="I624" s="3" t="s">
        <v>21</v>
      </c>
    </row>
    <row r="625" spans="1:9" s="3" customFormat="1" x14ac:dyDescent="0.3">
      <c r="A625" s="3" t="s">
        <v>150</v>
      </c>
      <c r="B625" s="3" t="s">
        <v>151</v>
      </c>
      <c r="C625" s="3" t="s">
        <v>64</v>
      </c>
      <c r="D625" s="3" t="s">
        <v>280</v>
      </c>
      <c r="E625" s="6">
        <v>0.45208333333333334</v>
      </c>
      <c r="F625" s="6">
        <v>0.68472222222222223</v>
      </c>
      <c r="G625" s="3" t="s">
        <v>13</v>
      </c>
      <c r="H625" s="3" t="s">
        <v>27</v>
      </c>
      <c r="I625" s="3" t="s">
        <v>21</v>
      </c>
    </row>
    <row r="626" spans="1:9" s="3" customFormat="1" x14ac:dyDescent="0.3">
      <c r="A626" s="3" t="s">
        <v>34</v>
      </c>
      <c r="B626" s="3" t="s">
        <v>35</v>
      </c>
      <c r="C626" s="3" t="s">
        <v>18</v>
      </c>
      <c r="D626" s="3" t="s">
        <v>253</v>
      </c>
      <c r="E626" s="6">
        <v>0.35</v>
      </c>
      <c r="F626" s="6">
        <v>0.68333333333333335</v>
      </c>
      <c r="G626" s="3" t="s">
        <v>13</v>
      </c>
      <c r="H626" s="3" t="s">
        <v>14</v>
      </c>
      <c r="I626" s="3" t="s">
        <v>21</v>
      </c>
    </row>
    <row r="627" spans="1:9" s="3" customFormat="1" x14ac:dyDescent="0.3">
      <c r="A627" s="3" t="s">
        <v>48</v>
      </c>
      <c r="B627" s="3" t="s">
        <v>49</v>
      </c>
      <c r="C627" s="3" t="s">
        <v>127</v>
      </c>
      <c r="D627" s="3" t="s">
        <v>332</v>
      </c>
      <c r="E627" s="6"/>
      <c r="F627" s="6"/>
      <c r="G627" s="3" t="s">
        <v>44</v>
      </c>
      <c r="H627" s="3" t="s">
        <v>27</v>
      </c>
      <c r="I627" s="3" t="s">
        <v>21</v>
      </c>
    </row>
    <row r="628" spans="1:9" s="3" customFormat="1" x14ac:dyDescent="0.3">
      <c r="A628" s="3" t="s">
        <v>52</v>
      </c>
      <c r="B628" s="3" t="s">
        <v>53</v>
      </c>
      <c r="C628" s="3" t="s">
        <v>24</v>
      </c>
      <c r="D628" s="3" t="s">
        <v>263</v>
      </c>
      <c r="E628" s="6">
        <v>0.47361111111111109</v>
      </c>
      <c r="F628" s="6">
        <v>0.78125</v>
      </c>
      <c r="G628" s="3" t="s">
        <v>13</v>
      </c>
      <c r="H628" s="3" t="s">
        <v>14</v>
      </c>
      <c r="I628" s="3" t="s">
        <v>15</v>
      </c>
    </row>
    <row r="629" spans="1:9" s="3" customFormat="1" x14ac:dyDescent="0.3">
      <c r="A629" s="3" t="s">
        <v>119</v>
      </c>
      <c r="B629" s="3" t="s">
        <v>120</v>
      </c>
      <c r="C629" s="3" t="s">
        <v>64</v>
      </c>
      <c r="D629" s="3" t="s">
        <v>136</v>
      </c>
      <c r="E629" s="6">
        <v>0.41458333333333336</v>
      </c>
      <c r="F629" s="6">
        <v>0.86875000000000002</v>
      </c>
      <c r="G629" s="3" t="s">
        <v>13</v>
      </c>
      <c r="H629" s="3" t="s">
        <v>27</v>
      </c>
      <c r="I629" s="3" t="s">
        <v>15</v>
      </c>
    </row>
    <row r="630" spans="1:9" s="3" customFormat="1" x14ac:dyDescent="0.3">
      <c r="A630" s="3" t="s">
        <v>31</v>
      </c>
      <c r="B630" s="3" t="s">
        <v>32</v>
      </c>
      <c r="C630" s="3" t="s">
        <v>18</v>
      </c>
      <c r="D630" s="3" t="s">
        <v>321</v>
      </c>
      <c r="E630" s="6">
        <v>0.4861111111111111</v>
      </c>
      <c r="F630" s="6">
        <v>0.82499999999999996</v>
      </c>
      <c r="G630" s="3" t="s">
        <v>26</v>
      </c>
      <c r="H630" s="3" t="s">
        <v>27</v>
      </c>
      <c r="I630" s="3" t="s">
        <v>15</v>
      </c>
    </row>
    <row r="631" spans="1:9" s="3" customFormat="1" x14ac:dyDescent="0.3">
      <c r="A631" s="3" t="s">
        <v>96</v>
      </c>
      <c r="B631" s="3" t="s">
        <v>97</v>
      </c>
      <c r="C631" s="3" t="s">
        <v>64</v>
      </c>
      <c r="D631" s="3" t="s">
        <v>282</v>
      </c>
      <c r="E631" s="6"/>
      <c r="F631" s="6"/>
      <c r="G631" s="3" t="s">
        <v>44</v>
      </c>
      <c r="H631" s="3" t="s">
        <v>27</v>
      </c>
      <c r="I631" s="3" t="s">
        <v>21</v>
      </c>
    </row>
    <row r="632" spans="1:9" s="3" customFormat="1" x14ac:dyDescent="0.3">
      <c r="A632" s="3" t="s">
        <v>200</v>
      </c>
      <c r="B632" s="3" t="s">
        <v>201</v>
      </c>
      <c r="C632" s="3" t="s">
        <v>42</v>
      </c>
      <c r="D632" s="3" t="s">
        <v>124</v>
      </c>
      <c r="E632" s="6">
        <v>0.46666666666666667</v>
      </c>
      <c r="F632" s="6">
        <v>0.82499999999999996</v>
      </c>
      <c r="G632" s="3" t="s">
        <v>13</v>
      </c>
      <c r="H632" s="3" t="s">
        <v>14</v>
      </c>
      <c r="I632" s="3" t="s">
        <v>15</v>
      </c>
    </row>
    <row r="633" spans="1:9" s="3" customFormat="1" x14ac:dyDescent="0.3">
      <c r="A633" s="3" t="s">
        <v>204</v>
      </c>
      <c r="B633" s="3" t="s">
        <v>205</v>
      </c>
      <c r="C633" s="3" t="s">
        <v>64</v>
      </c>
      <c r="D633" s="3" t="s">
        <v>162</v>
      </c>
      <c r="E633" s="6">
        <v>0.37430555555555556</v>
      </c>
      <c r="F633" s="6">
        <v>0.76527777777777772</v>
      </c>
      <c r="G633" s="3" t="s">
        <v>13</v>
      </c>
      <c r="H633" s="3" t="s">
        <v>27</v>
      </c>
      <c r="I633" s="3" t="s">
        <v>21</v>
      </c>
    </row>
    <row r="634" spans="1:9" s="3" customFormat="1" x14ac:dyDescent="0.3">
      <c r="A634" s="3" t="s">
        <v>175</v>
      </c>
      <c r="B634" s="3" t="s">
        <v>176</v>
      </c>
      <c r="C634" s="3" t="s">
        <v>18</v>
      </c>
      <c r="D634" s="3" t="s">
        <v>393</v>
      </c>
      <c r="E634" s="6"/>
      <c r="F634" s="6"/>
      <c r="G634" s="3" t="s">
        <v>44</v>
      </c>
      <c r="H634" s="3" t="s">
        <v>27</v>
      </c>
      <c r="I634" s="3" t="s">
        <v>21</v>
      </c>
    </row>
    <row r="635" spans="1:9" s="3" customFormat="1" x14ac:dyDescent="0.3">
      <c r="A635" s="3" t="s">
        <v>34</v>
      </c>
      <c r="B635" s="3" t="s">
        <v>35</v>
      </c>
      <c r="C635" s="3" t="s">
        <v>18</v>
      </c>
      <c r="D635" s="3" t="s">
        <v>342</v>
      </c>
      <c r="E635" s="6">
        <v>0.39791666666666664</v>
      </c>
      <c r="F635" s="6">
        <v>0.74861111111111112</v>
      </c>
      <c r="G635" s="3" t="s">
        <v>170</v>
      </c>
      <c r="H635" s="3" t="s">
        <v>14</v>
      </c>
      <c r="I635" s="3" t="s">
        <v>21</v>
      </c>
    </row>
    <row r="636" spans="1:9" s="3" customFormat="1" x14ac:dyDescent="0.3">
      <c r="A636" s="3" t="s">
        <v>40</v>
      </c>
      <c r="B636" s="3" t="s">
        <v>41</v>
      </c>
      <c r="C636" s="3" t="s">
        <v>60</v>
      </c>
      <c r="D636" s="3" t="s">
        <v>394</v>
      </c>
      <c r="E636" s="6">
        <v>0.37847222222222221</v>
      </c>
      <c r="F636" s="6">
        <v>0.78749999999999998</v>
      </c>
      <c r="G636" s="3" t="s">
        <v>26</v>
      </c>
      <c r="H636" s="3" t="s">
        <v>14</v>
      </c>
      <c r="I636" s="3" t="s">
        <v>21</v>
      </c>
    </row>
    <row r="637" spans="1:9" s="3" customFormat="1" x14ac:dyDescent="0.3">
      <c r="A637" s="3" t="s">
        <v>187</v>
      </c>
      <c r="B637" s="3" t="s">
        <v>188</v>
      </c>
      <c r="C637" s="3" t="s">
        <v>24</v>
      </c>
      <c r="D637" s="3" t="s">
        <v>283</v>
      </c>
      <c r="E637" s="6">
        <v>0.45277777777777778</v>
      </c>
      <c r="F637" s="6">
        <v>0.84861111111111109</v>
      </c>
      <c r="G637" s="3" t="s">
        <v>13</v>
      </c>
      <c r="H637" s="3" t="s">
        <v>27</v>
      </c>
      <c r="I637" s="3" t="s">
        <v>21</v>
      </c>
    </row>
    <row r="638" spans="1:9" s="3" customFormat="1" x14ac:dyDescent="0.3">
      <c r="A638" s="3" t="s">
        <v>250</v>
      </c>
      <c r="B638" s="3" t="s">
        <v>251</v>
      </c>
      <c r="C638" s="3" t="s">
        <v>18</v>
      </c>
      <c r="D638" s="3" t="s">
        <v>57</v>
      </c>
      <c r="E638" s="6">
        <v>0.36875000000000002</v>
      </c>
      <c r="F638" s="6">
        <v>0.7104166666666667</v>
      </c>
      <c r="G638" s="3" t="s">
        <v>125</v>
      </c>
      <c r="H638" s="3" t="s">
        <v>27</v>
      </c>
      <c r="I638" s="3" t="s">
        <v>15</v>
      </c>
    </row>
    <row r="639" spans="1:9" s="3" customFormat="1" x14ac:dyDescent="0.3">
      <c r="A639" s="3" t="s">
        <v>200</v>
      </c>
      <c r="B639" s="3" t="s">
        <v>201</v>
      </c>
      <c r="C639" s="3" t="s">
        <v>60</v>
      </c>
      <c r="D639" s="3" t="s">
        <v>136</v>
      </c>
      <c r="E639" s="6">
        <v>0.40277777777777779</v>
      </c>
      <c r="F639" s="6">
        <v>0.79861111111111116</v>
      </c>
      <c r="G639" s="3" t="s">
        <v>13</v>
      </c>
      <c r="H639" s="3" t="s">
        <v>14</v>
      </c>
      <c r="I639" s="3" t="s">
        <v>21</v>
      </c>
    </row>
    <row r="640" spans="1:9" s="3" customFormat="1" x14ac:dyDescent="0.3">
      <c r="A640" s="3" t="s">
        <v>338</v>
      </c>
      <c r="B640" s="3" t="s">
        <v>339</v>
      </c>
      <c r="C640" s="3" t="s">
        <v>60</v>
      </c>
      <c r="D640" s="3" t="s">
        <v>266</v>
      </c>
      <c r="E640" s="6"/>
      <c r="F640" s="6"/>
      <c r="G640" s="3" t="s">
        <v>44</v>
      </c>
      <c r="H640" s="3" t="s">
        <v>14</v>
      </c>
      <c r="I640" s="3" t="s">
        <v>21</v>
      </c>
    </row>
    <row r="641" spans="1:9" s="3" customFormat="1" x14ac:dyDescent="0.3">
      <c r="A641" s="3" t="s">
        <v>16</v>
      </c>
      <c r="B641" s="3" t="s">
        <v>17</v>
      </c>
      <c r="C641" s="3" t="s">
        <v>24</v>
      </c>
      <c r="D641" s="3" t="s">
        <v>352</v>
      </c>
      <c r="E641" s="6">
        <v>0.46111111111111114</v>
      </c>
      <c r="F641" s="6">
        <v>0.67291666666666672</v>
      </c>
      <c r="G641" s="3" t="s">
        <v>26</v>
      </c>
      <c r="H641" s="3" t="s">
        <v>27</v>
      </c>
      <c r="I641" s="3" t="s">
        <v>21</v>
      </c>
    </row>
    <row r="642" spans="1:9" s="3" customFormat="1" x14ac:dyDescent="0.3">
      <c r="A642" s="3" t="s">
        <v>93</v>
      </c>
      <c r="B642" s="3" t="s">
        <v>94</v>
      </c>
      <c r="C642" s="3" t="s">
        <v>60</v>
      </c>
      <c r="D642" s="3" t="s">
        <v>263</v>
      </c>
      <c r="E642" s="6">
        <v>0.36805555555555558</v>
      </c>
      <c r="F642" s="6">
        <v>0.7944444444444444</v>
      </c>
      <c r="G642" s="3" t="s">
        <v>20</v>
      </c>
      <c r="H642" s="3" t="s">
        <v>14</v>
      </c>
      <c r="I642" s="3" t="s">
        <v>15</v>
      </c>
    </row>
    <row r="643" spans="1:9" s="3" customFormat="1" x14ac:dyDescent="0.3">
      <c r="A643" s="3" t="s">
        <v>154</v>
      </c>
      <c r="B643" s="3" t="s">
        <v>155</v>
      </c>
      <c r="C643" s="3" t="s">
        <v>64</v>
      </c>
      <c r="D643" s="3" t="s">
        <v>25</v>
      </c>
      <c r="E643" s="6">
        <v>0.43680555555555556</v>
      </c>
      <c r="F643" s="6">
        <v>0.84375</v>
      </c>
      <c r="G643" s="3" t="s">
        <v>13</v>
      </c>
      <c r="H643" s="3" t="s">
        <v>14</v>
      </c>
      <c r="I643" s="3" t="s">
        <v>15</v>
      </c>
    </row>
    <row r="644" spans="1:9" s="3" customFormat="1" x14ac:dyDescent="0.3">
      <c r="A644" s="3" t="s">
        <v>213</v>
      </c>
      <c r="B644" s="3" t="s">
        <v>214</v>
      </c>
      <c r="C644" s="3" t="s">
        <v>42</v>
      </c>
      <c r="D644" s="3" t="s">
        <v>299</v>
      </c>
      <c r="E644" s="6">
        <v>0.47708333333333336</v>
      </c>
      <c r="F644" s="6">
        <v>0.85763888888888884</v>
      </c>
      <c r="G644" s="3" t="s">
        <v>13</v>
      </c>
      <c r="H644" s="3" t="s">
        <v>14</v>
      </c>
      <c r="I644" s="3" t="s">
        <v>21</v>
      </c>
    </row>
    <row r="645" spans="1:9" s="3" customFormat="1" x14ac:dyDescent="0.3">
      <c r="A645" s="3" t="s">
        <v>78</v>
      </c>
      <c r="B645" s="3" t="s">
        <v>79</v>
      </c>
      <c r="C645" s="3" t="s">
        <v>64</v>
      </c>
      <c r="D645" s="3" t="s">
        <v>265</v>
      </c>
      <c r="E645" s="6">
        <v>0.34930555555555554</v>
      </c>
      <c r="F645" s="6">
        <v>0.68472222222222223</v>
      </c>
      <c r="G645" s="3" t="s">
        <v>125</v>
      </c>
      <c r="H645" s="3" t="s">
        <v>27</v>
      </c>
      <c r="I645" s="3" t="s">
        <v>15</v>
      </c>
    </row>
    <row r="646" spans="1:9" s="3" customFormat="1" x14ac:dyDescent="0.3">
      <c r="A646" s="3" t="s">
        <v>69</v>
      </c>
      <c r="B646" s="3" t="s">
        <v>70</v>
      </c>
      <c r="C646" s="3" t="s">
        <v>24</v>
      </c>
      <c r="D646" s="3" t="s">
        <v>395</v>
      </c>
      <c r="E646" s="6"/>
      <c r="F646" s="6"/>
      <c r="G646" s="3" t="s">
        <v>44</v>
      </c>
      <c r="H646" s="3" t="s">
        <v>27</v>
      </c>
      <c r="I646" s="3" t="s">
        <v>21</v>
      </c>
    </row>
    <row r="647" spans="1:9" s="3" customFormat="1" x14ac:dyDescent="0.3">
      <c r="A647" s="3" t="s">
        <v>93</v>
      </c>
      <c r="B647" s="3" t="s">
        <v>94</v>
      </c>
      <c r="C647" s="3" t="s">
        <v>64</v>
      </c>
      <c r="D647" s="3" t="s">
        <v>382</v>
      </c>
      <c r="E647" s="6">
        <v>0.38055555555555554</v>
      </c>
      <c r="F647" s="6">
        <v>0.86597222222222225</v>
      </c>
      <c r="G647" s="3" t="s">
        <v>20</v>
      </c>
      <c r="H647" s="3" t="s">
        <v>27</v>
      </c>
      <c r="I647" s="3" t="s">
        <v>21</v>
      </c>
    </row>
    <row r="648" spans="1:9" s="3" customFormat="1" x14ac:dyDescent="0.3">
      <c r="A648" s="3" t="s">
        <v>291</v>
      </c>
      <c r="B648" s="3" t="s">
        <v>292</v>
      </c>
      <c r="C648" s="3" t="s">
        <v>42</v>
      </c>
      <c r="D648" s="3" t="s">
        <v>369</v>
      </c>
      <c r="E648" s="6"/>
      <c r="F648" s="6"/>
      <c r="G648" s="3" t="s">
        <v>44</v>
      </c>
      <c r="H648" s="3" t="s">
        <v>14</v>
      </c>
      <c r="I648" s="3" t="s">
        <v>21</v>
      </c>
    </row>
    <row r="649" spans="1:9" s="3" customFormat="1" x14ac:dyDescent="0.3">
      <c r="A649" s="3" t="s">
        <v>236</v>
      </c>
      <c r="B649" s="3" t="s">
        <v>237</v>
      </c>
      <c r="C649" s="3" t="s">
        <v>60</v>
      </c>
      <c r="D649" s="3" t="s">
        <v>278</v>
      </c>
      <c r="E649" s="6">
        <v>0.35972222222222222</v>
      </c>
      <c r="F649" s="6">
        <v>0.73124999999999996</v>
      </c>
      <c r="G649" s="3" t="s">
        <v>13</v>
      </c>
      <c r="H649" s="3" t="s">
        <v>27</v>
      </c>
      <c r="I649" s="3" t="s">
        <v>21</v>
      </c>
    </row>
    <row r="650" spans="1:9" s="3" customFormat="1" x14ac:dyDescent="0.3">
      <c r="A650" s="3" t="s">
        <v>250</v>
      </c>
      <c r="B650" s="3" t="s">
        <v>251</v>
      </c>
      <c r="C650" s="3" t="s">
        <v>24</v>
      </c>
      <c r="D650" s="3" t="s">
        <v>380</v>
      </c>
      <c r="E650" s="6">
        <v>0.34027777777777779</v>
      </c>
      <c r="F650" s="6">
        <v>0.87152777777777779</v>
      </c>
      <c r="G650" s="3" t="s">
        <v>149</v>
      </c>
      <c r="H650" s="3" t="s">
        <v>14</v>
      </c>
      <c r="I650" s="3" t="s">
        <v>21</v>
      </c>
    </row>
    <row r="651" spans="1:9" s="3" customFormat="1" x14ac:dyDescent="0.3">
      <c r="A651" s="3" t="s">
        <v>246</v>
      </c>
      <c r="B651" s="3" t="s">
        <v>247</v>
      </c>
      <c r="C651" s="3" t="s">
        <v>60</v>
      </c>
      <c r="D651" s="3" t="s">
        <v>163</v>
      </c>
      <c r="E651" s="6">
        <v>0.4826388888888889</v>
      </c>
      <c r="F651" s="6">
        <v>0.73472222222222228</v>
      </c>
      <c r="G651" s="3" t="s">
        <v>26</v>
      </c>
      <c r="H651" s="3" t="s">
        <v>27</v>
      </c>
      <c r="I651" s="3" t="s">
        <v>21</v>
      </c>
    </row>
    <row r="652" spans="1:9" s="3" customFormat="1" x14ac:dyDescent="0.3">
      <c r="A652" s="3" t="s">
        <v>34</v>
      </c>
      <c r="B652" s="3" t="s">
        <v>35</v>
      </c>
      <c r="C652" s="3" t="s">
        <v>60</v>
      </c>
      <c r="D652" s="3" t="s">
        <v>311</v>
      </c>
      <c r="E652" s="6">
        <v>0.45902777777777776</v>
      </c>
      <c r="F652" s="6">
        <v>0.70277777777777772</v>
      </c>
      <c r="G652" s="3" t="s">
        <v>13</v>
      </c>
      <c r="H652" s="3" t="s">
        <v>14</v>
      </c>
      <c r="I652" s="3" t="s">
        <v>15</v>
      </c>
    </row>
    <row r="653" spans="1:9" s="3" customFormat="1" x14ac:dyDescent="0.3">
      <c r="A653" s="3" t="s">
        <v>62</v>
      </c>
      <c r="B653" s="3" t="s">
        <v>63</v>
      </c>
      <c r="C653" s="3" t="s">
        <v>64</v>
      </c>
      <c r="D653" s="3" t="s">
        <v>30</v>
      </c>
      <c r="E653" s="6">
        <v>0.35555555555555557</v>
      </c>
      <c r="F653" s="6">
        <v>0.8041666666666667</v>
      </c>
      <c r="G653" s="3" t="s">
        <v>149</v>
      </c>
      <c r="H653" s="3" t="s">
        <v>14</v>
      </c>
      <c r="I653" s="3" t="s">
        <v>21</v>
      </c>
    </row>
    <row r="654" spans="1:9" s="3" customFormat="1" x14ac:dyDescent="0.3">
      <c r="A654" s="3" t="s">
        <v>112</v>
      </c>
      <c r="B654" s="3" t="s">
        <v>113</v>
      </c>
      <c r="C654" s="3" t="s">
        <v>64</v>
      </c>
      <c r="D654" s="3" t="s">
        <v>185</v>
      </c>
      <c r="E654" s="6">
        <v>0.37013888888888891</v>
      </c>
      <c r="F654" s="6">
        <v>0.84375</v>
      </c>
      <c r="G654" s="3" t="s">
        <v>13</v>
      </c>
      <c r="H654" s="3" t="s">
        <v>27</v>
      </c>
      <c r="I654" s="3" t="s">
        <v>15</v>
      </c>
    </row>
    <row r="655" spans="1:9" s="3" customFormat="1" x14ac:dyDescent="0.3">
      <c r="A655" s="3" t="s">
        <v>9</v>
      </c>
      <c r="B655" s="3" t="s">
        <v>10</v>
      </c>
      <c r="C655" s="3" t="s">
        <v>24</v>
      </c>
      <c r="D655" s="3" t="s">
        <v>361</v>
      </c>
      <c r="E655" s="6">
        <v>0.41180555555555554</v>
      </c>
      <c r="F655" s="6">
        <v>0.77986111111111112</v>
      </c>
      <c r="G655" s="3" t="s">
        <v>20</v>
      </c>
      <c r="H655" s="3" t="s">
        <v>27</v>
      </c>
      <c r="I655" s="3" t="s">
        <v>15</v>
      </c>
    </row>
    <row r="656" spans="1:9" s="3" customFormat="1" x14ac:dyDescent="0.3">
      <c r="A656" s="3" t="s">
        <v>16</v>
      </c>
      <c r="B656" s="3" t="s">
        <v>17</v>
      </c>
      <c r="C656" s="3" t="s">
        <v>18</v>
      </c>
      <c r="D656" s="3" t="s">
        <v>12</v>
      </c>
      <c r="E656" s="6">
        <v>0.39097222222222222</v>
      </c>
      <c r="F656" s="6">
        <v>0.73333333333333328</v>
      </c>
      <c r="G656" s="3" t="s">
        <v>13</v>
      </c>
      <c r="H656" s="3" t="s">
        <v>14</v>
      </c>
      <c r="I656" s="3" t="s">
        <v>21</v>
      </c>
    </row>
    <row r="657" spans="1:9" s="3" customFormat="1" x14ac:dyDescent="0.3">
      <c r="A657" s="3" t="s">
        <v>55</v>
      </c>
      <c r="B657" s="3" t="s">
        <v>56</v>
      </c>
      <c r="C657" s="3" t="s">
        <v>60</v>
      </c>
      <c r="D657" s="3" t="s">
        <v>395</v>
      </c>
      <c r="E657" s="6">
        <v>0.35694444444444445</v>
      </c>
      <c r="F657" s="6">
        <v>0.67777777777777781</v>
      </c>
      <c r="G657" s="3" t="s">
        <v>26</v>
      </c>
      <c r="H657" s="3" t="s">
        <v>14</v>
      </c>
      <c r="I657" s="3" t="s">
        <v>15</v>
      </c>
    </row>
    <row r="658" spans="1:9" s="3" customFormat="1" x14ac:dyDescent="0.3">
      <c r="A658" s="3" t="s">
        <v>52</v>
      </c>
      <c r="B658" s="3" t="s">
        <v>53</v>
      </c>
      <c r="C658" s="3" t="s">
        <v>60</v>
      </c>
      <c r="D658" s="3" t="s">
        <v>394</v>
      </c>
      <c r="E658" s="6">
        <v>0.4236111111111111</v>
      </c>
      <c r="F658" s="6">
        <v>0.82152777777777775</v>
      </c>
      <c r="G658" s="3" t="s">
        <v>26</v>
      </c>
      <c r="H658" s="3" t="s">
        <v>27</v>
      </c>
      <c r="I658" s="3" t="s">
        <v>21</v>
      </c>
    </row>
    <row r="659" spans="1:9" s="3" customFormat="1" x14ac:dyDescent="0.3">
      <c r="A659" s="3" t="s">
        <v>216</v>
      </c>
      <c r="B659" s="3" t="s">
        <v>217</v>
      </c>
      <c r="C659" s="3" t="s">
        <v>60</v>
      </c>
      <c r="D659" s="3" t="s">
        <v>106</v>
      </c>
      <c r="E659" s="6"/>
      <c r="F659" s="6"/>
      <c r="G659" s="3" t="s">
        <v>44</v>
      </c>
      <c r="H659" s="3" t="s">
        <v>27</v>
      </c>
      <c r="I659" s="3" t="s">
        <v>21</v>
      </c>
    </row>
    <row r="660" spans="1:9" s="3" customFormat="1" x14ac:dyDescent="0.3">
      <c r="A660" s="3" t="s">
        <v>48</v>
      </c>
      <c r="B660" s="3" t="s">
        <v>49</v>
      </c>
      <c r="C660" s="3" t="s">
        <v>18</v>
      </c>
      <c r="D660" s="3" t="s">
        <v>396</v>
      </c>
      <c r="E660" s="6">
        <v>0.40416666666666667</v>
      </c>
      <c r="F660" s="6">
        <v>0.83472222222222225</v>
      </c>
      <c r="G660" s="3" t="s">
        <v>13</v>
      </c>
      <c r="H660" s="3" t="s">
        <v>14</v>
      </c>
      <c r="I660" s="3" t="s">
        <v>21</v>
      </c>
    </row>
    <row r="661" spans="1:9" s="3" customFormat="1" x14ac:dyDescent="0.3">
      <c r="A661" s="3" t="s">
        <v>84</v>
      </c>
      <c r="B661" s="3" t="s">
        <v>85</v>
      </c>
      <c r="C661" s="3" t="s">
        <v>64</v>
      </c>
      <c r="D661" s="3" t="s">
        <v>297</v>
      </c>
      <c r="E661" s="6"/>
      <c r="F661" s="6"/>
      <c r="G661" s="3" t="s">
        <v>44</v>
      </c>
      <c r="H661" s="3" t="s">
        <v>27</v>
      </c>
      <c r="I661" s="3" t="s">
        <v>21</v>
      </c>
    </row>
    <row r="662" spans="1:9" s="3" customFormat="1" x14ac:dyDescent="0.3">
      <c r="A662" s="3" t="s">
        <v>87</v>
      </c>
      <c r="B662" s="3" t="s">
        <v>88</v>
      </c>
      <c r="C662" s="3" t="s">
        <v>60</v>
      </c>
      <c r="D662" s="3" t="s">
        <v>336</v>
      </c>
      <c r="E662" s="6">
        <v>0.47708333333333336</v>
      </c>
      <c r="F662" s="6">
        <v>0.70208333333333328</v>
      </c>
      <c r="G662" s="3" t="s">
        <v>26</v>
      </c>
      <c r="H662" s="3" t="s">
        <v>27</v>
      </c>
      <c r="I662" s="3" t="s">
        <v>21</v>
      </c>
    </row>
    <row r="663" spans="1:9" s="3" customFormat="1" x14ac:dyDescent="0.3">
      <c r="A663" s="3" t="s">
        <v>28</v>
      </c>
      <c r="B663" s="3" t="s">
        <v>29</v>
      </c>
      <c r="C663" s="3" t="s">
        <v>64</v>
      </c>
      <c r="D663" s="3" t="s">
        <v>397</v>
      </c>
      <c r="E663" s="6">
        <v>0.36944444444444446</v>
      </c>
      <c r="F663" s="6">
        <v>0.87361111111111112</v>
      </c>
      <c r="G663" s="3" t="s">
        <v>26</v>
      </c>
      <c r="H663" s="3" t="s">
        <v>27</v>
      </c>
      <c r="I663" s="3" t="s">
        <v>21</v>
      </c>
    </row>
    <row r="664" spans="1:9" s="3" customFormat="1" x14ac:dyDescent="0.3">
      <c r="A664" s="3" t="s">
        <v>96</v>
      </c>
      <c r="B664" s="3" t="s">
        <v>97</v>
      </c>
      <c r="C664" s="3" t="s">
        <v>60</v>
      </c>
      <c r="D664" s="3" t="s">
        <v>137</v>
      </c>
      <c r="E664" s="6"/>
      <c r="F664" s="6"/>
      <c r="G664" s="3" t="s">
        <v>44</v>
      </c>
      <c r="H664" s="3" t="s">
        <v>27</v>
      </c>
      <c r="I664" s="3" t="s">
        <v>15</v>
      </c>
    </row>
    <row r="665" spans="1:9" s="3" customFormat="1" x14ac:dyDescent="0.3">
      <c r="A665" s="3" t="s">
        <v>224</v>
      </c>
      <c r="B665" s="3" t="s">
        <v>225</v>
      </c>
      <c r="C665" s="3" t="s">
        <v>24</v>
      </c>
      <c r="D665" s="3" t="s">
        <v>219</v>
      </c>
      <c r="E665" s="6"/>
      <c r="F665" s="6"/>
      <c r="G665" s="3" t="s">
        <v>44</v>
      </c>
      <c r="H665" s="3" t="s">
        <v>27</v>
      </c>
      <c r="I665" s="3" t="s">
        <v>21</v>
      </c>
    </row>
    <row r="666" spans="1:9" s="3" customFormat="1" x14ac:dyDescent="0.3">
      <c r="A666" s="3" t="s">
        <v>130</v>
      </c>
      <c r="B666" s="3" t="s">
        <v>131</v>
      </c>
      <c r="C666" s="3" t="s">
        <v>64</v>
      </c>
      <c r="D666" s="3" t="s">
        <v>333</v>
      </c>
      <c r="E666" s="6">
        <v>0.42499999999999999</v>
      </c>
      <c r="F666" s="6">
        <v>0.81944444444444442</v>
      </c>
      <c r="G666" s="3" t="s">
        <v>20</v>
      </c>
      <c r="H666" s="3" t="s">
        <v>14</v>
      </c>
      <c r="I666" s="3" t="s">
        <v>21</v>
      </c>
    </row>
    <row r="667" spans="1:9" s="3" customFormat="1" x14ac:dyDescent="0.3">
      <c r="A667" s="3" t="s">
        <v>134</v>
      </c>
      <c r="B667" s="3" t="s">
        <v>135</v>
      </c>
      <c r="C667" s="3" t="s">
        <v>42</v>
      </c>
      <c r="D667" s="3" t="s">
        <v>54</v>
      </c>
      <c r="E667" s="6">
        <v>0.39930555555555558</v>
      </c>
      <c r="F667" s="6">
        <v>0.78749999999999998</v>
      </c>
      <c r="G667" s="3" t="s">
        <v>26</v>
      </c>
      <c r="H667" s="3" t="s">
        <v>27</v>
      </c>
      <c r="I667" s="3" t="s">
        <v>15</v>
      </c>
    </row>
    <row r="668" spans="1:9" s="3" customFormat="1" x14ac:dyDescent="0.3">
      <c r="A668" s="3" t="s">
        <v>90</v>
      </c>
      <c r="B668" s="3" t="s">
        <v>91</v>
      </c>
      <c r="C668" s="3" t="s">
        <v>64</v>
      </c>
      <c r="D668" s="3" t="s">
        <v>354</v>
      </c>
      <c r="E668" s="6"/>
      <c r="F668" s="6"/>
      <c r="G668" s="3" t="s">
        <v>44</v>
      </c>
      <c r="H668" s="3" t="s">
        <v>14</v>
      </c>
      <c r="I668" s="3" t="s">
        <v>21</v>
      </c>
    </row>
    <row r="669" spans="1:9" s="3" customFormat="1" x14ac:dyDescent="0.3">
      <c r="A669" s="3" t="s">
        <v>72</v>
      </c>
      <c r="B669" s="3" t="s">
        <v>73</v>
      </c>
      <c r="C669" s="3" t="s">
        <v>64</v>
      </c>
      <c r="D669" s="3" t="s">
        <v>300</v>
      </c>
      <c r="E669" s="6">
        <v>0.36388888888888887</v>
      </c>
      <c r="F669" s="6">
        <v>0.77569444444444446</v>
      </c>
      <c r="G669" s="3" t="s">
        <v>26</v>
      </c>
      <c r="H669" s="3" t="s">
        <v>14</v>
      </c>
      <c r="I669" s="3" t="s">
        <v>21</v>
      </c>
    </row>
    <row r="670" spans="1:9" s="3" customFormat="1" x14ac:dyDescent="0.3">
      <c r="A670" s="3" t="s">
        <v>102</v>
      </c>
      <c r="B670" s="3" t="s">
        <v>103</v>
      </c>
      <c r="C670" s="3" t="s">
        <v>24</v>
      </c>
      <c r="D670" s="3" t="s">
        <v>313</v>
      </c>
      <c r="E670" s="6">
        <v>0.47569444444444442</v>
      </c>
      <c r="F670" s="6">
        <v>0.72430555555555554</v>
      </c>
      <c r="G670" s="3" t="s">
        <v>20</v>
      </c>
      <c r="H670" s="3" t="s">
        <v>14</v>
      </c>
      <c r="I670" s="3" t="s">
        <v>15</v>
      </c>
    </row>
    <row r="671" spans="1:9" s="3" customFormat="1" x14ac:dyDescent="0.3">
      <c r="A671" s="3" t="s">
        <v>102</v>
      </c>
      <c r="B671" s="3" t="s">
        <v>103</v>
      </c>
      <c r="C671" s="3" t="s">
        <v>24</v>
      </c>
      <c r="D671" s="3" t="s">
        <v>309</v>
      </c>
      <c r="E671" s="6"/>
      <c r="F671" s="6"/>
      <c r="G671" s="3" t="s">
        <v>44</v>
      </c>
      <c r="H671" s="3" t="s">
        <v>27</v>
      </c>
      <c r="I671" s="3" t="s">
        <v>15</v>
      </c>
    </row>
    <row r="672" spans="1:9" s="3" customFormat="1" x14ac:dyDescent="0.3">
      <c r="A672" s="3" t="s">
        <v>236</v>
      </c>
      <c r="B672" s="3" t="s">
        <v>237</v>
      </c>
      <c r="C672" s="3" t="s">
        <v>239</v>
      </c>
      <c r="D672" s="3" t="s">
        <v>260</v>
      </c>
      <c r="E672" s="6">
        <v>0.3527777777777778</v>
      </c>
      <c r="F672" s="6">
        <v>0.87361111111111112</v>
      </c>
      <c r="G672" s="3" t="s">
        <v>26</v>
      </c>
      <c r="H672" s="3" t="s">
        <v>14</v>
      </c>
      <c r="I672" s="3" t="s">
        <v>15</v>
      </c>
    </row>
    <row r="673" spans="1:9" s="3" customFormat="1" x14ac:dyDescent="0.3">
      <c r="A673" s="3" t="s">
        <v>216</v>
      </c>
      <c r="B673" s="3" t="s">
        <v>217</v>
      </c>
      <c r="C673" s="3" t="s">
        <v>60</v>
      </c>
      <c r="D673" s="3" t="s">
        <v>283</v>
      </c>
      <c r="E673" s="6">
        <v>0.42499999999999999</v>
      </c>
      <c r="F673" s="6">
        <v>0.68680555555555556</v>
      </c>
      <c r="G673" s="3" t="s">
        <v>20</v>
      </c>
      <c r="H673" s="3" t="s">
        <v>14</v>
      </c>
      <c r="I673" s="3" t="s">
        <v>15</v>
      </c>
    </row>
    <row r="674" spans="1:9" s="3" customFormat="1" x14ac:dyDescent="0.3">
      <c r="A674" s="3" t="s">
        <v>87</v>
      </c>
      <c r="B674" s="3" t="s">
        <v>88</v>
      </c>
      <c r="C674" s="3" t="s">
        <v>64</v>
      </c>
      <c r="D674" s="3" t="s">
        <v>340</v>
      </c>
      <c r="E674" s="6"/>
      <c r="F674" s="6"/>
      <c r="G674" s="3" t="s">
        <v>44</v>
      </c>
      <c r="H674" s="3" t="s">
        <v>27</v>
      </c>
      <c r="I674" s="3" t="s">
        <v>21</v>
      </c>
    </row>
    <row r="675" spans="1:9" s="3" customFormat="1" x14ac:dyDescent="0.3">
      <c r="A675" s="3" t="s">
        <v>171</v>
      </c>
      <c r="B675" s="3" t="s">
        <v>172</v>
      </c>
      <c r="C675" s="3" t="s">
        <v>42</v>
      </c>
      <c r="D675" s="3" t="s">
        <v>265</v>
      </c>
      <c r="E675" s="6">
        <v>0.42499999999999999</v>
      </c>
      <c r="F675" s="6">
        <v>0.76111111111111107</v>
      </c>
      <c r="G675" s="3" t="s">
        <v>26</v>
      </c>
      <c r="H675" s="3" t="s">
        <v>27</v>
      </c>
      <c r="I675" s="3" t="s">
        <v>21</v>
      </c>
    </row>
    <row r="676" spans="1:9" s="3" customFormat="1" x14ac:dyDescent="0.3">
      <c r="A676" s="3" t="s">
        <v>72</v>
      </c>
      <c r="B676" s="3" t="s">
        <v>73</v>
      </c>
      <c r="C676" s="3" t="s">
        <v>42</v>
      </c>
      <c r="D676" s="3" t="s">
        <v>398</v>
      </c>
      <c r="E676" s="6"/>
      <c r="F676" s="6"/>
      <c r="G676" s="3" t="s">
        <v>44</v>
      </c>
      <c r="H676" s="3" t="s">
        <v>27</v>
      </c>
      <c r="I676" s="3" t="s">
        <v>15</v>
      </c>
    </row>
    <row r="677" spans="1:9" s="3" customFormat="1" x14ac:dyDescent="0.3">
      <c r="A677" s="3" t="s">
        <v>141</v>
      </c>
      <c r="B677" s="3" t="s">
        <v>142</v>
      </c>
      <c r="C677" s="3" t="s">
        <v>24</v>
      </c>
      <c r="D677" s="3" t="s">
        <v>333</v>
      </c>
      <c r="E677" s="6"/>
      <c r="F677" s="6"/>
      <c r="G677" s="3" t="s">
        <v>125</v>
      </c>
      <c r="H677" s="3" t="s">
        <v>27</v>
      </c>
      <c r="I677" s="3" t="s">
        <v>21</v>
      </c>
    </row>
    <row r="678" spans="1:9" s="3" customFormat="1" x14ac:dyDescent="0.3">
      <c r="A678" s="3" t="s">
        <v>72</v>
      </c>
      <c r="B678" s="3" t="s">
        <v>73</v>
      </c>
      <c r="C678" s="3" t="s">
        <v>42</v>
      </c>
      <c r="D678" s="3" t="s">
        <v>287</v>
      </c>
      <c r="E678" s="6"/>
      <c r="F678" s="6"/>
      <c r="G678" s="3" t="s">
        <v>44</v>
      </c>
      <c r="H678" s="3" t="s">
        <v>27</v>
      </c>
      <c r="I678" s="3" t="s">
        <v>15</v>
      </c>
    </row>
    <row r="679" spans="1:9" s="3" customFormat="1" x14ac:dyDescent="0.3">
      <c r="A679" s="3" t="s">
        <v>75</v>
      </c>
      <c r="B679" s="3" t="s">
        <v>76</v>
      </c>
      <c r="C679" s="3" t="s">
        <v>18</v>
      </c>
      <c r="D679" s="3" t="s">
        <v>307</v>
      </c>
      <c r="E679" s="6">
        <v>0.45</v>
      </c>
      <c r="F679" s="6">
        <v>0.72777777777777775</v>
      </c>
      <c r="G679" s="3" t="s">
        <v>20</v>
      </c>
      <c r="H679" s="3" t="s">
        <v>27</v>
      </c>
      <c r="I679" s="3" t="s">
        <v>21</v>
      </c>
    </row>
    <row r="680" spans="1:9" s="3" customFormat="1" x14ac:dyDescent="0.3">
      <c r="A680" s="3" t="s">
        <v>146</v>
      </c>
      <c r="B680" s="3" t="s">
        <v>147</v>
      </c>
      <c r="C680" s="3" t="s">
        <v>42</v>
      </c>
      <c r="D680" s="3" t="s">
        <v>275</v>
      </c>
      <c r="E680" s="6">
        <v>0.34166666666666667</v>
      </c>
      <c r="F680" s="6">
        <v>0.7104166666666667</v>
      </c>
      <c r="G680" s="3" t="s">
        <v>20</v>
      </c>
      <c r="H680" s="3" t="s">
        <v>14</v>
      </c>
      <c r="I680" s="3" t="s">
        <v>15</v>
      </c>
    </row>
    <row r="681" spans="1:9" s="3" customFormat="1" x14ac:dyDescent="0.3">
      <c r="A681" s="3" t="s">
        <v>236</v>
      </c>
      <c r="B681" s="3" t="s">
        <v>237</v>
      </c>
      <c r="C681" s="3" t="s">
        <v>24</v>
      </c>
      <c r="D681" s="3" t="s">
        <v>219</v>
      </c>
      <c r="E681" s="6"/>
      <c r="F681" s="6"/>
      <c r="G681" s="3" t="s">
        <v>44</v>
      </c>
      <c r="H681" s="3" t="s">
        <v>27</v>
      </c>
      <c r="I681" s="3" t="s">
        <v>21</v>
      </c>
    </row>
    <row r="682" spans="1:9" s="3" customFormat="1" x14ac:dyDescent="0.3">
      <c r="A682" s="3" t="s">
        <v>130</v>
      </c>
      <c r="B682" s="3" t="s">
        <v>131</v>
      </c>
      <c r="C682" s="3" t="s">
        <v>24</v>
      </c>
      <c r="D682" s="3" t="s">
        <v>368</v>
      </c>
      <c r="E682" s="6">
        <v>0.42222222222222222</v>
      </c>
      <c r="F682" s="6">
        <v>0.75902777777777775</v>
      </c>
      <c r="G682" s="3" t="s">
        <v>20</v>
      </c>
      <c r="H682" s="3" t="s">
        <v>14</v>
      </c>
      <c r="I682" s="3" t="s">
        <v>21</v>
      </c>
    </row>
    <row r="683" spans="1:9" s="3" customFormat="1" x14ac:dyDescent="0.3">
      <c r="A683" s="3" t="s">
        <v>154</v>
      </c>
      <c r="B683" s="3" t="s">
        <v>155</v>
      </c>
      <c r="C683" s="3" t="s">
        <v>24</v>
      </c>
      <c r="D683" s="3" t="s">
        <v>333</v>
      </c>
      <c r="E683" s="6"/>
      <c r="F683" s="6"/>
      <c r="G683" s="3" t="s">
        <v>44</v>
      </c>
      <c r="H683" s="3" t="s">
        <v>27</v>
      </c>
      <c r="I683" s="3" t="s">
        <v>15</v>
      </c>
    </row>
    <row r="684" spans="1:9" s="3" customFormat="1" x14ac:dyDescent="0.3">
      <c r="A684" s="3" t="s">
        <v>200</v>
      </c>
      <c r="B684" s="3" t="s">
        <v>201</v>
      </c>
      <c r="C684" s="3" t="s">
        <v>24</v>
      </c>
      <c r="D684" s="3" t="s">
        <v>295</v>
      </c>
      <c r="E684" s="6"/>
      <c r="F684" s="6"/>
      <c r="G684" s="3" t="s">
        <v>125</v>
      </c>
      <c r="H684" s="3" t="s">
        <v>14</v>
      </c>
      <c r="I684" s="3" t="s">
        <v>15</v>
      </c>
    </row>
    <row r="685" spans="1:9" s="3" customFormat="1" x14ac:dyDescent="0.3">
      <c r="A685" s="3" t="s">
        <v>146</v>
      </c>
      <c r="B685" s="3" t="s">
        <v>147</v>
      </c>
      <c r="C685" s="3" t="s">
        <v>24</v>
      </c>
      <c r="D685" s="3" t="s">
        <v>354</v>
      </c>
      <c r="E685" s="6">
        <v>0.46736111111111112</v>
      </c>
      <c r="F685" s="6">
        <v>0.71944444444444444</v>
      </c>
      <c r="G685" s="3" t="s">
        <v>20</v>
      </c>
      <c r="H685" s="3" t="s">
        <v>14</v>
      </c>
      <c r="I685" s="3" t="s">
        <v>15</v>
      </c>
    </row>
    <row r="686" spans="1:9" s="3" customFormat="1" x14ac:dyDescent="0.3">
      <c r="A686" s="3" t="s">
        <v>191</v>
      </c>
      <c r="B686" s="3" t="s">
        <v>192</v>
      </c>
      <c r="C686" s="3" t="s">
        <v>18</v>
      </c>
      <c r="D686" s="3" t="s">
        <v>399</v>
      </c>
      <c r="E686" s="6">
        <v>0.43611111111111112</v>
      </c>
      <c r="F686" s="6">
        <v>0.83611111111111114</v>
      </c>
      <c r="G686" s="3" t="s">
        <v>26</v>
      </c>
      <c r="H686" s="3" t="s">
        <v>14</v>
      </c>
      <c r="I686" s="3" t="s">
        <v>21</v>
      </c>
    </row>
    <row r="687" spans="1:9" s="3" customFormat="1" x14ac:dyDescent="0.3">
      <c r="A687" s="3" t="s">
        <v>16</v>
      </c>
      <c r="B687" s="3" t="s">
        <v>17</v>
      </c>
      <c r="C687" s="3" t="s">
        <v>60</v>
      </c>
      <c r="D687" s="3" t="s">
        <v>178</v>
      </c>
      <c r="E687" s="6">
        <v>0.44027777777777777</v>
      </c>
      <c r="F687" s="6">
        <v>0.70833333333333337</v>
      </c>
      <c r="G687" s="3" t="s">
        <v>26</v>
      </c>
      <c r="H687" s="3" t="s">
        <v>27</v>
      </c>
      <c r="I687" s="3" t="s">
        <v>15</v>
      </c>
    </row>
    <row r="688" spans="1:9" s="3" customFormat="1" x14ac:dyDescent="0.3">
      <c r="A688" s="3" t="s">
        <v>200</v>
      </c>
      <c r="B688" s="3" t="s">
        <v>201</v>
      </c>
      <c r="C688" s="3" t="s">
        <v>60</v>
      </c>
      <c r="D688" s="3" t="s">
        <v>295</v>
      </c>
      <c r="E688" s="6">
        <v>0.34444444444444444</v>
      </c>
      <c r="F688" s="6">
        <v>0.6791666666666667</v>
      </c>
      <c r="G688" s="3" t="s">
        <v>13</v>
      </c>
      <c r="H688" s="3" t="s">
        <v>27</v>
      </c>
      <c r="I688" s="3" t="s">
        <v>21</v>
      </c>
    </row>
    <row r="689" spans="1:9" s="3" customFormat="1" x14ac:dyDescent="0.3">
      <c r="A689" s="3" t="s">
        <v>213</v>
      </c>
      <c r="B689" s="3" t="s">
        <v>214</v>
      </c>
      <c r="C689" s="3" t="s">
        <v>60</v>
      </c>
      <c r="D689" s="3" t="s">
        <v>248</v>
      </c>
      <c r="E689" s="6">
        <v>0.43541666666666667</v>
      </c>
      <c r="F689" s="6">
        <v>0.82430555555555551</v>
      </c>
      <c r="G689" s="3" t="s">
        <v>125</v>
      </c>
      <c r="H689" s="3" t="s">
        <v>27</v>
      </c>
      <c r="I689" s="3" t="s">
        <v>21</v>
      </c>
    </row>
    <row r="690" spans="1:9" s="3" customFormat="1" x14ac:dyDescent="0.3">
      <c r="A690" s="3" t="s">
        <v>37</v>
      </c>
      <c r="B690" s="3" t="s">
        <v>38</v>
      </c>
      <c r="C690" s="3" t="s">
        <v>42</v>
      </c>
      <c r="D690" s="3" t="s">
        <v>400</v>
      </c>
      <c r="E690" s="6">
        <v>0.46527777777777779</v>
      </c>
      <c r="F690" s="6">
        <v>0.81319444444444444</v>
      </c>
      <c r="G690" s="3" t="s">
        <v>26</v>
      </c>
      <c r="H690" s="3" t="s">
        <v>14</v>
      </c>
      <c r="I690" s="3" t="s">
        <v>21</v>
      </c>
    </row>
    <row r="691" spans="1:9" s="3" customFormat="1" x14ac:dyDescent="0.3">
      <c r="A691" s="3" t="s">
        <v>157</v>
      </c>
      <c r="B691" s="3" t="s">
        <v>158</v>
      </c>
      <c r="C691" s="3" t="s">
        <v>24</v>
      </c>
      <c r="D691" s="3" t="s">
        <v>347</v>
      </c>
      <c r="E691" s="6">
        <v>0.38124999999999998</v>
      </c>
      <c r="F691" s="6">
        <v>0.77847222222222223</v>
      </c>
      <c r="G691" s="3" t="s">
        <v>125</v>
      </c>
      <c r="H691" s="3" t="s">
        <v>27</v>
      </c>
      <c r="I691" s="3" t="s">
        <v>21</v>
      </c>
    </row>
    <row r="692" spans="1:9" s="3" customFormat="1" x14ac:dyDescent="0.3">
      <c r="A692" s="3" t="s">
        <v>191</v>
      </c>
      <c r="B692" s="3" t="s">
        <v>192</v>
      </c>
      <c r="C692" s="3" t="s">
        <v>64</v>
      </c>
      <c r="D692" s="3" t="s">
        <v>343</v>
      </c>
      <c r="E692" s="6">
        <v>0.43472222222222223</v>
      </c>
      <c r="F692" s="6">
        <v>0.73750000000000004</v>
      </c>
      <c r="G692" s="3" t="s">
        <v>20</v>
      </c>
      <c r="H692" s="3" t="s">
        <v>27</v>
      </c>
      <c r="I692" s="3" t="s">
        <v>15</v>
      </c>
    </row>
    <row r="693" spans="1:9" s="3" customFormat="1" x14ac:dyDescent="0.3">
      <c r="A693" s="3" t="s">
        <v>150</v>
      </c>
      <c r="B693" s="3" t="s">
        <v>151</v>
      </c>
      <c r="C693" s="3" t="s">
        <v>60</v>
      </c>
      <c r="D693" s="3" t="s">
        <v>384</v>
      </c>
      <c r="E693" s="6">
        <v>0.33541666666666664</v>
      </c>
      <c r="F693" s="6">
        <v>0.73819444444444449</v>
      </c>
      <c r="G693" s="3" t="s">
        <v>20</v>
      </c>
      <c r="H693" s="3" t="s">
        <v>14</v>
      </c>
      <c r="I693" s="3" t="s">
        <v>15</v>
      </c>
    </row>
    <row r="694" spans="1:9" s="3" customFormat="1" x14ac:dyDescent="0.3">
      <c r="A694" s="3" t="s">
        <v>31</v>
      </c>
      <c r="B694" s="3" t="s">
        <v>32</v>
      </c>
      <c r="C694" s="3" t="s">
        <v>42</v>
      </c>
      <c r="D694" s="3" t="s">
        <v>152</v>
      </c>
      <c r="E694" s="6">
        <v>0.46805555555555556</v>
      </c>
      <c r="F694" s="6">
        <v>0.82291666666666663</v>
      </c>
      <c r="G694" s="3" t="s">
        <v>26</v>
      </c>
      <c r="H694" s="3" t="s">
        <v>14</v>
      </c>
      <c r="I694" s="3" t="s">
        <v>15</v>
      </c>
    </row>
    <row r="695" spans="1:9" s="3" customFormat="1" x14ac:dyDescent="0.3">
      <c r="A695" s="3" t="s">
        <v>31</v>
      </c>
      <c r="B695" s="3" t="s">
        <v>32</v>
      </c>
      <c r="C695" s="3" t="s">
        <v>60</v>
      </c>
      <c r="D695" s="3" t="s">
        <v>160</v>
      </c>
      <c r="E695" s="6">
        <v>0.44236111111111109</v>
      </c>
      <c r="F695" s="6">
        <v>0.70833333333333337</v>
      </c>
      <c r="G695" s="3" t="s">
        <v>13</v>
      </c>
      <c r="H695" s="3" t="s">
        <v>27</v>
      </c>
      <c r="I695" s="3" t="s">
        <v>21</v>
      </c>
    </row>
    <row r="696" spans="1:9" s="3" customFormat="1" x14ac:dyDescent="0.3">
      <c r="A696" s="3" t="s">
        <v>75</v>
      </c>
      <c r="B696" s="3" t="s">
        <v>76</v>
      </c>
      <c r="C696" s="3" t="s">
        <v>42</v>
      </c>
      <c r="D696" s="3" t="s">
        <v>299</v>
      </c>
      <c r="E696" s="6">
        <v>0.3347222222222222</v>
      </c>
      <c r="F696" s="6">
        <v>0.68888888888888888</v>
      </c>
      <c r="G696" s="3" t="s">
        <v>26</v>
      </c>
      <c r="H696" s="3" t="s">
        <v>27</v>
      </c>
      <c r="I696" s="3" t="s">
        <v>15</v>
      </c>
    </row>
    <row r="697" spans="1:9" s="3" customFormat="1" x14ac:dyDescent="0.3">
      <c r="A697" s="3" t="s">
        <v>72</v>
      </c>
      <c r="B697" s="3" t="s">
        <v>73</v>
      </c>
      <c r="C697" s="3" t="s">
        <v>64</v>
      </c>
      <c r="D697" s="3" t="s">
        <v>356</v>
      </c>
      <c r="E697" s="6">
        <v>0.46597222222222223</v>
      </c>
      <c r="F697" s="6">
        <v>0.77916666666666667</v>
      </c>
      <c r="G697" s="3" t="s">
        <v>26</v>
      </c>
      <c r="H697" s="3" t="s">
        <v>27</v>
      </c>
      <c r="I697" s="3" t="s">
        <v>21</v>
      </c>
    </row>
    <row r="698" spans="1:9" s="3" customFormat="1" x14ac:dyDescent="0.3">
      <c r="A698" s="3" t="s">
        <v>291</v>
      </c>
      <c r="B698" s="3" t="s">
        <v>292</v>
      </c>
      <c r="C698" s="3" t="s">
        <v>24</v>
      </c>
      <c r="D698" s="3" t="s">
        <v>343</v>
      </c>
      <c r="E698" s="6">
        <v>0.34930555555555554</v>
      </c>
      <c r="F698" s="6">
        <v>0.80208333333333337</v>
      </c>
      <c r="G698" s="3" t="s">
        <v>20</v>
      </c>
      <c r="H698" s="3" t="s">
        <v>27</v>
      </c>
      <c r="I698" s="3" t="s">
        <v>15</v>
      </c>
    </row>
    <row r="699" spans="1:9" s="3" customFormat="1" x14ac:dyDescent="0.3">
      <c r="A699" s="3" t="s">
        <v>9</v>
      </c>
      <c r="B699" s="3" t="s">
        <v>10</v>
      </c>
      <c r="C699" s="3" t="s">
        <v>42</v>
      </c>
      <c r="D699" s="3" t="s">
        <v>374</v>
      </c>
      <c r="E699" s="6">
        <v>0.375</v>
      </c>
      <c r="F699" s="6">
        <v>0.87291666666666667</v>
      </c>
      <c r="G699" s="3" t="s">
        <v>26</v>
      </c>
      <c r="H699" s="3" t="s">
        <v>14</v>
      </c>
      <c r="I699" s="3" t="s">
        <v>21</v>
      </c>
    </row>
    <row r="700" spans="1:9" s="3" customFormat="1" x14ac:dyDescent="0.3">
      <c r="A700" s="3" t="s">
        <v>55</v>
      </c>
      <c r="B700" s="3" t="s">
        <v>56</v>
      </c>
      <c r="C700" s="3" t="s">
        <v>42</v>
      </c>
      <c r="D700" s="3" t="s">
        <v>323</v>
      </c>
      <c r="E700" s="6">
        <v>0.44374999999999998</v>
      </c>
      <c r="F700" s="6">
        <v>0.86250000000000004</v>
      </c>
      <c r="G700" s="3" t="s">
        <v>20</v>
      </c>
      <c r="H700" s="3" t="s">
        <v>27</v>
      </c>
      <c r="I700" s="3" t="s">
        <v>21</v>
      </c>
    </row>
    <row r="701" spans="1:9" s="3" customFormat="1" x14ac:dyDescent="0.3">
      <c r="A701" s="3" t="s">
        <v>157</v>
      </c>
      <c r="B701" s="3" t="s">
        <v>158</v>
      </c>
      <c r="C701" s="3" t="s">
        <v>60</v>
      </c>
      <c r="D701" s="3" t="s">
        <v>231</v>
      </c>
      <c r="E701" s="6">
        <v>0.34722222222222221</v>
      </c>
      <c r="F701" s="6">
        <v>0.70208333333333328</v>
      </c>
      <c r="G701" s="3" t="s">
        <v>13</v>
      </c>
      <c r="H701" s="3" t="s">
        <v>27</v>
      </c>
      <c r="I701" s="3" t="s">
        <v>21</v>
      </c>
    </row>
    <row r="702" spans="1:9" s="3" customFormat="1" x14ac:dyDescent="0.3">
      <c r="A702" s="3" t="s">
        <v>224</v>
      </c>
      <c r="B702" s="3" t="s">
        <v>225</v>
      </c>
      <c r="C702" s="3" t="s">
        <v>18</v>
      </c>
      <c r="D702" s="3" t="s">
        <v>266</v>
      </c>
      <c r="E702" s="6">
        <v>0.38958333333333334</v>
      </c>
      <c r="F702" s="6">
        <v>0.78819444444444442</v>
      </c>
      <c r="G702" s="3" t="s">
        <v>13</v>
      </c>
      <c r="H702" s="3" t="s">
        <v>14</v>
      </c>
      <c r="I702" s="3" t="s">
        <v>21</v>
      </c>
    </row>
    <row r="703" spans="1:9" s="3" customFormat="1" x14ac:dyDescent="0.3">
      <c r="A703" s="3" t="s">
        <v>96</v>
      </c>
      <c r="B703" s="3" t="s">
        <v>97</v>
      </c>
      <c r="C703" s="3" t="s">
        <v>42</v>
      </c>
      <c r="D703" s="3" t="s">
        <v>356</v>
      </c>
      <c r="E703" s="6"/>
      <c r="F703" s="6"/>
      <c r="G703" s="3" t="s">
        <v>44</v>
      </c>
      <c r="H703" s="3" t="s">
        <v>14</v>
      </c>
      <c r="I703" s="3" t="s">
        <v>15</v>
      </c>
    </row>
    <row r="704" spans="1:9" s="3" customFormat="1" x14ac:dyDescent="0.3">
      <c r="A704" s="3" t="s">
        <v>115</v>
      </c>
      <c r="B704" s="3" t="s">
        <v>116</v>
      </c>
      <c r="C704" s="3" t="s">
        <v>60</v>
      </c>
      <c r="D704" s="3" t="s">
        <v>330</v>
      </c>
      <c r="E704" s="6">
        <v>0.33541666666666664</v>
      </c>
      <c r="F704" s="6">
        <v>0.81944444444444442</v>
      </c>
      <c r="G704" s="3" t="s">
        <v>26</v>
      </c>
      <c r="H704" s="3" t="s">
        <v>14</v>
      </c>
      <c r="I704" s="3" t="s">
        <v>15</v>
      </c>
    </row>
    <row r="705" spans="1:9" s="3" customFormat="1" x14ac:dyDescent="0.3">
      <c r="A705" s="3" t="s">
        <v>191</v>
      </c>
      <c r="B705" s="3" t="s">
        <v>192</v>
      </c>
      <c r="C705" s="3" t="s">
        <v>60</v>
      </c>
      <c r="D705" s="3" t="s">
        <v>255</v>
      </c>
      <c r="E705" s="6">
        <v>0.47499999999999998</v>
      </c>
      <c r="F705" s="6">
        <v>0.86736111111111114</v>
      </c>
      <c r="G705" s="3" t="s">
        <v>20</v>
      </c>
      <c r="H705" s="3" t="s">
        <v>27</v>
      </c>
      <c r="I705" s="3" t="s">
        <v>15</v>
      </c>
    </row>
    <row r="706" spans="1:9" s="3" customFormat="1" x14ac:dyDescent="0.3">
      <c r="A706" s="3" t="s">
        <v>213</v>
      </c>
      <c r="B706" s="3" t="s">
        <v>214</v>
      </c>
      <c r="C706" s="3" t="s">
        <v>42</v>
      </c>
      <c r="D706" s="3" t="s">
        <v>401</v>
      </c>
      <c r="E706" s="6">
        <v>0.36944444444444446</v>
      </c>
      <c r="F706" s="6">
        <v>0.83333333333333337</v>
      </c>
      <c r="G706" s="3" t="s">
        <v>26</v>
      </c>
      <c r="H706" s="3" t="s">
        <v>27</v>
      </c>
      <c r="I706" s="3" t="s">
        <v>21</v>
      </c>
    </row>
    <row r="707" spans="1:9" s="3" customFormat="1" x14ac:dyDescent="0.3">
      <c r="A707" s="3" t="s">
        <v>58</v>
      </c>
      <c r="B707" s="3" t="s">
        <v>59</v>
      </c>
      <c r="C707" s="3" t="s">
        <v>42</v>
      </c>
      <c r="D707" s="3" t="s">
        <v>145</v>
      </c>
      <c r="E707" s="6">
        <v>0.46041666666666664</v>
      </c>
      <c r="F707" s="6">
        <v>0.85555555555555551</v>
      </c>
      <c r="G707" s="3" t="s">
        <v>26</v>
      </c>
      <c r="H707" s="3" t="s">
        <v>14</v>
      </c>
      <c r="I707" s="3" t="s">
        <v>21</v>
      </c>
    </row>
    <row r="708" spans="1:9" s="3" customFormat="1" x14ac:dyDescent="0.3">
      <c r="A708" s="3" t="s">
        <v>45</v>
      </c>
      <c r="B708" s="3" t="s">
        <v>46</v>
      </c>
      <c r="C708" s="3" t="s">
        <v>42</v>
      </c>
      <c r="D708" s="3" t="s">
        <v>128</v>
      </c>
      <c r="E708" s="6">
        <v>0.47638888888888886</v>
      </c>
      <c r="F708" s="6">
        <v>0.72638888888888886</v>
      </c>
      <c r="G708" s="3" t="s">
        <v>13</v>
      </c>
      <c r="H708" s="3" t="s">
        <v>14</v>
      </c>
      <c r="I708" s="3" t="s">
        <v>15</v>
      </c>
    </row>
    <row r="709" spans="1:9" s="3" customFormat="1" x14ac:dyDescent="0.3">
      <c r="A709" s="3" t="s">
        <v>315</v>
      </c>
      <c r="B709" s="3" t="s">
        <v>316</v>
      </c>
      <c r="C709" s="3" t="s">
        <v>18</v>
      </c>
      <c r="D709" s="3" t="s">
        <v>300</v>
      </c>
      <c r="E709" s="6">
        <v>0.37152777777777779</v>
      </c>
      <c r="F709" s="6">
        <v>0.81944444444444442</v>
      </c>
      <c r="G709" s="3" t="s">
        <v>274</v>
      </c>
      <c r="H709" s="3" t="s">
        <v>27</v>
      </c>
      <c r="I709" s="3" t="s">
        <v>15</v>
      </c>
    </row>
    <row r="710" spans="1:9" s="3" customFormat="1" x14ac:dyDescent="0.3">
      <c r="A710" s="3" t="s">
        <v>146</v>
      </c>
      <c r="B710" s="3" t="s">
        <v>147</v>
      </c>
      <c r="C710" s="3" t="s">
        <v>42</v>
      </c>
      <c r="D710" s="3" t="s">
        <v>248</v>
      </c>
      <c r="E710" s="6"/>
      <c r="F710" s="6"/>
      <c r="G710" s="3" t="s">
        <v>44</v>
      </c>
      <c r="H710" s="3" t="s">
        <v>27</v>
      </c>
      <c r="I710" s="3" t="s">
        <v>15</v>
      </c>
    </row>
    <row r="711" spans="1:9" s="3" customFormat="1" x14ac:dyDescent="0.3">
      <c r="A711" s="3" t="s">
        <v>119</v>
      </c>
      <c r="B711" s="3" t="s">
        <v>120</v>
      </c>
      <c r="C711" s="3" t="s">
        <v>64</v>
      </c>
      <c r="D711" s="3" t="s">
        <v>104</v>
      </c>
      <c r="E711" s="6">
        <v>0.41180555555555554</v>
      </c>
      <c r="F711" s="6">
        <v>0.79722222222222228</v>
      </c>
      <c r="G711" s="3" t="s">
        <v>13</v>
      </c>
      <c r="H711" s="3" t="s">
        <v>14</v>
      </c>
      <c r="I711" s="3" t="s">
        <v>15</v>
      </c>
    </row>
    <row r="712" spans="1:9" s="3" customFormat="1" x14ac:dyDescent="0.3">
      <c r="A712" s="3" t="s">
        <v>84</v>
      </c>
      <c r="B712" s="3" t="s">
        <v>85</v>
      </c>
      <c r="C712" s="3" t="s">
        <v>60</v>
      </c>
      <c r="D712" s="3" t="s">
        <v>277</v>
      </c>
      <c r="E712" s="6">
        <v>0.38333333333333336</v>
      </c>
      <c r="F712" s="6">
        <v>0.87083333333333335</v>
      </c>
      <c r="G712" s="3" t="s">
        <v>26</v>
      </c>
      <c r="H712" s="3" t="s">
        <v>14</v>
      </c>
      <c r="I712" s="3" t="s">
        <v>21</v>
      </c>
    </row>
    <row r="713" spans="1:9" s="3" customFormat="1" x14ac:dyDescent="0.3">
      <c r="A713" s="3" t="s">
        <v>122</v>
      </c>
      <c r="B713" s="3" t="s">
        <v>123</v>
      </c>
      <c r="C713" s="3" t="s">
        <v>18</v>
      </c>
      <c r="D713" s="3" t="s">
        <v>397</v>
      </c>
      <c r="E713" s="6">
        <v>0.4777777777777778</v>
      </c>
      <c r="F713" s="6">
        <v>0.81041666666666667</v>
      </c>
      <c r="G713" s="3" t="s">
        <v>26</v>
      </c>
      <c r="H713" s="3" t="s">
        <v>27</v>
      </c>
      <c r="I713" s="3" t="s">
        <v>21</v>
      </c>
    </row>
    <row r="714" spans="1:9" s="3" customFormat="1" x14ac:dyDescent="0.3">
      <c r="A714" s="3" t="s">
        <v>22</v>
      </c>
      <c r="B714" s="3" t="s">
        <v>23</v>
      </c>
      <c r="C714" s="3" t="s">
        <v>64</v>
      </c>
      <c r="D714" s="3" t="s">
        <v>337</v>
      </c>
      <c r="E714" s="6">
        <v>0.33819444444444446</v>
      </c>
      <c r="F714" s="6">
        <v>0.72222222222222221</v>
      </c>
      <c r="G714" s="3" t="s">
        <v>20</v>
      </c>
      <c r="H714" s="3" t="s">
        <v>27</v>
      </c>
      <c r="I714" s="3" t="s">
        <v>21</v>
      </c>
    </row>
    <row r="715" spans="1:9" s="3" customFormat="1" x14ac:dyDescent="0.3">
      <c r="A715" s="3" t="s">
        <v>246</v>
      </c>
      <c r="B715" s="3" t="s">
        <v>247</v>
      </c>
      <c r="C715" s="3" t="s">
        <v>18</v>
      </c>
      <c r="D715" s="3" t="s">
        <v>402</v>
      </c>
      <c r="E715" s="6">
        <v>0.42569444444444443</v>
      </c>
      <c r="F715" s="6">
        <v>0.76597222222222228</v>
      </c>
      <c r="G715" s="3" t="s">
        <v>20</v>
      </c>
      <c r="H715" s="3" t="s">
        <v>27</v>
      </c>
      <c r="I715" s="3" t="s">
        <v>21</v>
      </c>
    </row>
    <row r="716" spans="1:9" s="3" customFormat="1" x14ac:dyDescent="0.3">
      <c r="A716" s="3" t="s">
        <v>90</v>
      </c>
      <c r="B716" s="3" t="s">
        <v>91</v>
      </c>
      <c r="C716" s="3" t="s">
        <v>42</v>
      </c>
      <c r="D716" s="3" t="s">
        <v>312</v>
      </c>
      <c r="E716" s="6"/>
      <c r="F716" s="6"/>
      <c r="G716" s="3" t="s">
        <v>44</v>
      </c>
      <c r="H716" s="3" t="s">
        <v>27</v>
      </c>
      <c r="I716" s="3" t="s">
        <v>15</v>
      </c>
    </row>
    <row r="717" spans="1:9" s="3" customFormat="1" x14ac:dyDescent="0.3">
      <c r="A717" s="3" t="s">
        <v>146</v>
      </c>
      <c r="B717" s="3" t="s">
        <v>147</v>
      </c>
      <c r="C717" s="3" t="s">
        <v>24</v>
      </c>
      <c r="D717" s="3" t="s">
        <v>354</v>
      </c>
      <c r="E717" s="6">
        <v>0.41666666666666669</v>
      </c>
      <c r="F717" s="6">
        <v>0.7993055555555556</v>
      </c>
      <c r="G717" s="3" t="s">
        <v>20</v>
      </c>
      <c r="H717" s="3" t="s">
        <v>27</v>
      </c>
      <c r="I717" s="3" t="s">
        <v>15</v>
      </c>
    </row>
    <row r="718" spans="1:9" s="3" customFormat="1" x14ac:dyDescent="0.3">
      <c r="A718" s="3" t="s">
        <v>90</v>
      </c>
      <c r="B718" s="3" t="s">
        <v>91</v>
      </c>
      <c r="C718" s="3" t="s">
        <v>60</v>
      </c>
      <c r="D718" s="3" t="s">
        <v>348</v>
      </c>
      <c r="E718" s="6">
        <v>0.38819444444444445</v>
      </c>
      <c r="F718" s="6">
        <v>0.83194444444444449</v>
      </c>
      <c r="G718" s="3" t="s">
        <v>13</v>
      </c>
      <c r="H718" s="3" t="s">
        <v>14</v>
      </c>
      <c r="I718" s="3" t="s">
        <v>21</v>
      </c>
    </row>
    <row r="719" spans="1:9" s="3" customFormat="1" x14ac:dyDescent="0.3">
      <c r="A719" s="3" t="s">
        <v>115</v>
      </c>
      <c r="B719" s="3" t="s">
        <v>116</v>
      </c>
      <c r="C719" s="3" t="s">
        <v>24</v>
      </c>
      <c r="D719" s="3" t="s">
        <v>262</v>
      </c>
      <c r="E719" s="6">
        <v>0.43611111111111112</v>
      </c>
      <c r="F719" s="6">
        <v>0.82013888888888886</v>
      </c>
      <c r="G719" s="3" t="s">
        <v>13</v>
      </c>
      <c r="H719" s="3" t="s">
        <v>27</v>
      </c>
      <c r="I719" s="3" t="s">
        <v>21</v>
      </c>
    </row>
    <row r="720" spans="1:9" s="3" customFormat="1" x14ac:dyDescent="0.3">
      <c r="A720" s="3" t="s">
        <v>69</v>
      </c>
      <c r="B720" s="3" t="s">
        <v>70</v>
      </c>
      <c r="C720" s="3" t="s">
        <v>24</v>
      </c>
      <c r="D720" s="3" t="s">
        <v>57</v>
      </c>
      <c r="E720" s="6">
        <v>0.45694444444444443</v>
      </c>
      <c r="F720" s="6">
        <v>0.81388888888888888</v>
      </c>
      <c r="G720" s="3" t="s">
        <v>26</v>
      </c>
      <c r="H720" s="3" t="s">
        <v>27</v>
      </c>
      <c r="I720" s="3" t="s">
        <v>15</v>
      </c>
    </row>
    <row r="721" spans="1:9" s="3" customFormat="1" x14ac:dyDescent="0.3">
      <c r="A721" s="3" t="s">
        <v>250</v>
      </c>
      <c r="B721" s="3" t="s">
        <v>251</v>
      </c>
      <c r="C721" s="3" t="s">
        <v>18</v>
      </c>
      <c r="D721" s="3" t="s">
        <v>374</v>
      </c>
      <c r="E721" s="6">
        <v>0.41805555555555557</v>
      </c>
      <c r="F721" s="6">
        <v>0.70486111111111116</v>
      </c>
      <c r="G721" s="3" t="s">
        <v>13</v>
      </c>
      <c r="H721" s="3" t="s">
        <v>14</v>
      </c>
      <c r="I721" s="3" t="s">
        <v>15</v>
      </c>
    </row>
    <row r="722" spans="1:9" s="3" customFormat="1" x14ac:dyDescent="0.3">
      <c r="A722" s="3" t="s">
        <v>55</v>
      </c>
      <c r="B722" s="3" t="s">
        <v>56</v>
      </c>
      <c r="C722" s="3" t="s">
        <v>42</v>
      </c>
      <c r="D722" s="3" t="s">
        <v>400</v>
      </c>
      <c r="E722" s="6">
        <v>0.36944444444444446</v>
      </c>
      <c r="F722" s="6">
        <v>0.67638888888888893</v>
      </c>
      <c r="G722" s="3" t="s">
        <v>26</v>
      </c>
      <c r="H722" s="3" t="s">
        <v>27</v>
      </c>
      <c r="I722" s="3" t="s">
        <v>15</v>
      </c>
    </row>
    <row r="723" spans="1:9" s="3" customFormat="1" x14ac:dyDescent="0.3">
      <c r="A723" s="3" t="s">
        <v>194</v>
      </c>
      <c r="B723" s="3" t="s">
        <v>195</v>
      </c>
      <c r="C723" s="3" t="s">
        <v>60</v>
      </c>
      <c r="D723" s="3" t="s">
        <v>256</v>
      </c>
      <c r="E723" s="6">
        <v>0.36875000000000002</v>
      </c>
      <c r="F723" s="6">
        <v>0.84930555555555554</v>
      </c>
      <c r="G723" s="3" t="s">
        <v>13</v>
      </c>
      <c r="H723" s="3" t="s">
        <v>27</v>
      </c>
      <c r="I723" s="3" t="s">
        <v>15</v>
      </c>
    </row>
    <row r="724" spans="1:9" s="3" customFormat="1" x14ac:dyDescent="0.3">
      <c r="A724" s="3" t="s">
        <v>130</v>
      </c>
      <c r="B724" s="3" t="s">
        <v>131</v>
      </c>
      <c r="C724" s="3" t="s">
        <v>64</v>
      </c>
      <c r="D724" s="3" t="s">
        <v>374</v>
      </c>
      <c r="E724" s="6"/>
      <c r="F724" s="6"/>
      <c r="G724" s="3" t="s">
        <v>51</v>
      </c>
      <c r="H724" s="3" t="s">
        <v>27</v>
      </c>
      <c r="I724" s="3" t="s">
        <v>21</v>
      </c>
    </row>
    <row r="725" spans="1:9" s="3" customFormat="1" x14ac:dyDescent="0.3">
      <c r="A725" s="3" t="s">
        <v>52</v>
      </c>
      <c r="B725" s="3" t="s">
        <v>53</v>
      </c>
      <c r="C725" s="3" t="s">
        <v>42</v>
      </c>
      <c r="D725" s="3" t="s">
        <v>193</v>
      </c>
      <c r="E725" s="6">
        <v>0.44166666666666665</v>
      </c>
      <c r="F725" s="6">
        <v>0.85277777777777775</v>
      </c>
      <c r="G725" s="3" t="s">
        <v>13</v>
      </c>
      <c r="H725" s="3" t="s">
        <v>14</v>
      </c>
      <c r="I725" s="3" t="s">
        <v>15</v>
      </c>
    </row>
    <row r="726" spans="1:9" s="3" customFormat="1" x14ac:dyDescent="0.3">
      <c r="A726" s="3" t="s">
        <v>130</v>
      </c>
      <c r="B726" s="3" t="s">
        <v>131</v>
      </c>
      <c r="C726" s="3" t="s">
        <v>64</v>
      </c>
      <c r="D726" s="3" t="s">
        <v>80</v>
      </c>
      <c r="E726" s="6"/>
      <c r="F726" s="6"/>
      <c r="G726" s="3" t="s">
        <v>44</v>
      </c>
      <c r="H726" s="3" t="s">
        <v>27</v>
      </c>
      <c r="I726" s="3" t="s">
        <v>15</v>
      </c>
    </row>
    <row r="727" spans="1:9" s="3" customFormat="1" x14ac:dyDescent="0.3">
      <c r="A727" s="3" t="s">
        <v>109</v>
      </c>
      <c r="B727" s="3" t="s">
        <v>110</v>
      </c>
      <c r="C727" s="3" t="s">
        <v>64</v>
      </c>
      <c r="D727" s="3" t="s">
        <v>373</v>
      </c>
      <c r="E727" s="6">
        <v>0.44166666666666665</v>
      </c>
      <c r="F727" s="6">
        <v>0.86736111111111114</v>
      </c>
      <c r="G727" s="3" t="s">
        <v>26</v>
      </c>
      <c r="H727" s="3" t="s">
        <v>14</v>
      </c>
      <c r="I727" s="3" t="s">
        <v>15</v>
      </c>
    </row>
    <row r="728" spans="1:9" s="3" customFormat="1" x14ac:dyDescent="0.3">
      <c r="A728" s="3" t="s">
        <v>48</v>
      </c>
      <c r="B728" s="3" t="s">
        <v>49</v>
      </c>
      <c r="C728" s="3" t="s">
        <v>18</v>
      </c>
      <c r="D728" s="3" t="s">
        <v>243</v>
      </c>
      <c r="E728" s="6">
        <v>0.37708333333333333</v>
      </c>
      <c r="F728" s="6">
        <v>0.68819444444444444</v>
      </c>
      <c r="G728" s="3" t="s">
        <v>26</v>
      </c>
      <c r="H728" s="3" t="s">
        <v>14</v>
      </c>
      <c r="I728" s="3" t="s">
        <v>15</v>
      </c>
    </row>
    <row r="729" spans="1:9" s="3" customFormat="1" x14ac:dyDescent="0.3">
      <c r="A729" s="3" t="s">
        <v>90</v>
      </c>
      <c r="B729" s="3" t="s">
        <v>91</v>
      </c>
      <c r="C729" s="3" t="s">
        <v>24</v>
      </c>
      <c r="D729" s="3" t="s">
        <v>346</v>
      </c>
      <c r="E729" s="6">
        <v>0.46180555555555558</v>
      </c>
      <c r="F729" s="6">
        <v>0.66736111111111107</v>
      </c>
      <c r="G729" s="3" t="s">
        <v>26</v>
      </c>
      <c r="H729" s="3" t="s">
        <v>27</v>
      </c>
      <c r="I729" s="3" t="s">
        <v>15</v>
      </c>
    </row>
    <row r="730" spans="1:9" s="3" customFormat="1" x14ac:dyDescent="0.3">
      <c r="A730" s="3" t="s">
        <v>34</v>
      </c>
      <c r="B730" s="3" t="s">
        <v>35</v>
      </c>
      <c r="C730" s="3" t="s">
        <v>60</v>
      </c>
      <c r="D730" s="3" t="s">
        <v>74</v>
      </c>
      <c r="E730" s="6">
        <v>0.35347222222222224</v>
      </c>
      <c r="F730" s="6">
        <v>0.86736111111111114</v>
      </c>
      <c r="G730" s="3" t="s">
        <v>26</v>
      </c>
      <c r="H730" s="3" t="s">
        <v>14</v>
      </c>
      <c r="I730" s="3" t="s">
        <v>21</v>
      </c>
    </row>
    <row r="731" spans="1:9" s="3" customFormat="1" x14ac:dyDescent="0.3">
      <c r="A731" s="3" t="s">
        <v>213</v>
      </c>
      <c r="B731" s="3" t="s">
        <v>214</v>
      </c>
      <c r="C731" s="3" t="s">
        <v>18</v>
      </c>
      <c r="D731" s="3" t="s">
        <v>174</v>
      </c>
      <c r="E731" s="6">
        <v>0.48888888888888887</v>
      </c>
      <c r="F731" s="6">
        <v>0.74930555555555556</v>
      </c>
      <c r="G731" s="3" t="s">
        <v>125</v>
      </c>
      <c r="H731" s="3" t="s">
        <v>14</v>
      </c>
      <c r="I731" s="3" t="s">
        <v>21</v>
      </c>
    </row>
    <row r="732" spans="1:9" s="3" customFormat="1" x14ac:dyDescent="0.3">
      <c r="A732" s="3" t="s">
        <v>112</v>
      </c>
      <c r="B732" s="3" t="s">
        <v>113</v>
      </c>
      <c r="C732" s="3" t="s">
        <v>42</v>
      </c>
      <c r="D732" s="3" t="s">
        <v>288</v>
      </c>
      <c r="E732" s="6">
        <v>0.39097222222222222</v>
      </c>
      <c r="F732" s="6">
        <v>0.85</v>
      </c>
      <c r="G732" s="3" t="s">
        <v>26</v>
      </c>
      <c r="H732" s="3" t="s">
        <v>14</v>
      </c>
      <c r="I732" s="3" t="s">
        <v>15</v>
      </c>
    </row>
    <row r="733" spans="1:9" s="3" customFormat="1" x14ac:dyDescent="0.3">
      <c r="A733" s="3" t="s">
        <v>81</v>
      </c>
      <c r="B733" s="3" t="s">
        <v>82</v>
      </c>
      <c r="C733" s="3" t="s">
        <v>60</v>
      </c>
      <c r="D733" s="3" t="s">
        <v>121</v>
      </c>
      <c r="E733" s="6">
        <v>0.39583333333333331</v>
      </c>
      <c r="F733" s="6">
        <v>0.84027777777777779</v>
      </c>
      <c r="G733" s="3" t="s">
        <v>20</v>
      </c>
      <c r="H733" s="3" t="s">
        <v>27</v>
      </c>
      <c r="I733" s="3" t="s">
        <v>21</v>
      </c>
    </row>
    <row r="734" spans="1:9" s="3" customFormat="1" x14ac:dyDescent="0.3">
      <c r="A734" s="3" t="s">
        <v>187</v>
      </c>
      <c r="B734" s="3" t="s">
        <v>188</v>
      </c>
      <c r="C734" s="3" t="s">
        <v>60</v>
      </c>
      <c r="D734" s="3" t="s">
        <v>148</v>
      </c>
      <c r="E734" s="6">
        <v>0.35416666666666669</v>
      </c>
      <c r="F734" s="6">
        <v>0.75</v>
      </c>
      <c r="G734" s="3" t="s">
        <v>26</v>
      </c>
      <c r="H734" s="3" t="s">
        <v>14</v>
      </c>
      <c r="I734" s="3" t="s">
        <v>15</v>
      </c>
    </row>
    <row r="735" spans="1:9" s="3" customFormat="1" x14ac:dyDescent="0.3">
      <c r="A735" s="3" t="s">
        <v>75</v>
      </c>
      <c r="B735" s="3" t="s">
        <v>76</v>
      </c>
      <c r="C735" s="3" t="s">
        <v>24</v>
      </c>
      <c r="D735" s="3" t="s">
        <v>314</v>
      </c>
      <c r="E735" s="6">
        <v>0.47499999999999998</v>
      </c>
      <c r="F735" s="6">
        <v>0.75347222222222221</v>
      </c>
      <c r="G735" s="3" t="s">
        <v>20</v>
      </c>
      <c r="H735" s="3" t="s">
        <v>14</v>
      </c>
      <c r="I735" s="3" t="s">
        <v>21</v>
      </c>
    </row>
    <row r="736" spans="1:9" s="3" customFormat="1" x14ac:dyDescent="0.3">
      <c r="A736" s="3" t="s">
        <v>134</v>
      </c>
      <c r="B736" s="3" t="s">
        <v>135</v>
      </c>
      <c r="C736" s="3" t="s">
        <v>24</v>
      </c>
      <c r="D736" s="3" t="s">
        <v>178</v>
      </c>
      <c r="E736" s="6">
        <v>0.35416666666666669</v>
      </c>
      <c r="F736" s="6">
        <v>0.78680555555555554</v>
      </c>
      <c r="G736" s="3" t="s">
        <v>13</v>
      </c>
      <c r="H736" s="3" t="s">
        <v>14</v>
      </c>
      <c r="I736" s="3" t="s">
        <v>15</v>
      </c>
    </row>
    <row r="737" spans="1:9" s="3" customFormat="1" x14ac:dyDescent="0.3">
      <c r="A737" s="3" t="s">
        <v>112</v>
      </c>
      <c r="B737" s="3" t="s">
        <v>113</v>
      </c>
      <c r="C737" s="3" t="s">
        <v>18</v>
      </c>
      <c r="D737" s="3" t="s">
        <v>307</v>
      </c>
      <c r="E737" s="6">
        <v>0.40625</v>
      </c>
      <c r="F737" s="6">
        <v>0.83333333333333337</v>
      </c>
      <c r="G737" s="3" t="s">
        <v>20</v>
      </c>
      <c r="H737" s="3" t="s">
        <v>27</v>
      </c>
      <c r="I737" s="3" t="s">
        <v>21</v>
      </c>
    </row>
    <row r="738" spans="1:9" s="3" customFormat="1" x14ac:dyDescent="0.3">
      <c r="A738" s="3" t="s">
        <v>45</v>
      </c>
      <c r="B738" s="3" t="s">
        <v>46</v>
      </c>
      <c r="C738" s="3" t="s">
        <v>18</v>
      </c>
      <c r="D738" s="3" t="s">
        <v>50</v>
      </c>
      <c r="E738" s="6">
        <v>0.48194444444444445</v>
      </c>
      <c r="F738" s="6">
        <v>0.8618055555555556</v>
      </c>
      <c r="G738" s="3" t="s">
        <v>13</v>
      </c>
      <c r="H738" s="3" t="s">
        <v>27</v>
      </c>
      <c r="I738" s="3" t="s">
        <v>21</v>
      </c>
    </row>
    <row r="739" spans="1:9" s="3" customFormat="1" x14ac:dyDescent="0.3">
      <c r="A739" s="3" t="s">
        <v>37</v>
      </c>
      <c r="B739" s="3" t="s">
        <v>38</v>
      </c>
      <c r="C739" s="3" t="s">
        <v>24</v>
      </c>
      <c r="D739" s="3" t="s">
        <v>389</v>
      </c>
      <c r="E739" s="6"/>
      <c r="F739" s="6"/>
      <c r="G739" s="3" t="s">
        <v>44</v>
      </c>
      <c r="H739" s="3" t="s">
        <v>27</v>
      </c>
      <c r="I739" s="3" t="s">
        <v>15</v>
      </c>
    </row>
    <row r="740" spans="1:9" s="3" customFormat="1" x14ac:dyDescent="0.3">
      <c r="A740" s="3" t="s">
        <v>40</v>
      </c>
      <c r="B740" s="3" t="s">
        <v>41</v>
      </c>
      <c r="C740" s="3" t="s">
        <v>42</v>
      </c>
      <c r="D740" s="3" t="s">
        <v>278</v>
      </c>
      <c r="E740" s="6">
        <v>0.47847222222222224</v>
      </c>
      <c r="F740" s="6">
        <v>0.87361111111111112</v>
      </c>
      <c r="G740" s="3" t="s">
        <v>170</v>
      </c>
      <c r="H740" s="3" t="s">
        <v>27</v>
      </c>
      <c r="I740" s="3" t="s">
        <v>21</v>
      </c>
    </row>
    <row r="741" spans="1:9" s="3" customFormat="1" x14ac:dyDescent="0.3">
      <c r="A741" s="3" t="s">
        <v>40</v>
      </c>
      <c r="B741" s="3" t="s">
        <v>41</v>
      </c>
      <c r="C741" s="3" t="s">
        <v>64</v>
      </c>
      <c r="D741" s="3" t="s">
        <v>182</v>
      </c>
      <c r="E741" s="6"/>
      <c r="F741" s="6"/>
      <c r="G741" s="3" t="s">
        <v>44</v>
      </c>
      <c r="H741" s="3" t="s">
        <v>14</v>
      </c>
      <c r="I741" s="3" t="s">
        <v>15</v>
      </c>
    </row>
    <row r="742" spans="1:9" s="3" customFormat="1" x14ac:dyDescent="0.3">
      <c r="A742" s="3" t="s">
        <v>52</v>
      </c>
      <c r="B742" s="3" t="s">
        <v>53</v>
      </c>
      <c r="C742" s="3" t="s">
        <v>24</v>
      </c>
      <c r="D742" s="3" t="s">
        <v>65</v>
      </c>
      <c r="E742" s="6">
        <v>0.34583333333333333</v>
      </c>
      <c r="F742" s="6">
        <v>0.7583333333333333</v>
      </c>
      <c r="G742" s="3" t="s">
        <v>26</v>
      </c>
      <c r="H742" s="3" t="s">
        <v>14</v>
      </c>
      <c r="I742" s="3" t="s">
        <v>21</v>
      </c>
    </row>
    <row r="743" spans="1:9" s="3" customFormat="1" x14ac:dyDescent="0.3">
      <c r="A743" s="3" t="s">
        <v>78</v>
      </c>
      <c r="B743" s="3" t="s">
        <v>79</v>
      </c>
      <c r="C743" s="3" t="s">
        <v>42</v>
      </c>
      <c r="D743" s="3" t="s">
        <v>344</v>
      </c>
      <c r="E743" s="6">
        <v>0.40902777777777777</v>
      </c>
      <c r="F743" s="6">
        <v>0.77361111111111114</v>
      </c>
      <c r="G743" s="3" t="s">
        <v>26</v>
      </c>
      <c r="H743" s="3" t="s">
        <v>27</v>
      </c>
      <c r="I743" s="3" t="s">
        <v>15</v>
      </c>
    </row>
    <row r="744" spans="1:9" s="3" customFormat="1" x14ac:dyDescent="0.3">
      <c r="A744" s="3" t="s">
        <v>146</v>
      </c>
      <c r="B744" s="3" t="s">
        <v>147</v>
      </c>
      <c r="C744" s="3" t="s">
        <v>64</v>
      </c>
      <c r="D744" s="3" t="s">
        <v>403</v>
      </c>
      <c r="E744" s="6">
        <v>0.42499999999999999</v>
      </c>
      <c r="F744" s="6">
        <v>0.69930555555555551</v>
      </c>
      <c r="G744" s="3" t="s">
        <v>13</v>
      </c>
      <c r="H744" s="3" t="s">
        <v>27</v>
      </c>
      <c r="I744" s="3" t="s">
        <v>15</v>
      </c>
    </row>
    <row r="745" spans="1:9" s="3" customFormat="1" x14ac:dyDescent="0.3">
      <c r="A745" s="3" t="s">
        <v>22</v>
      </c>
      <c r="B745" s="3" t="s">
        <v>23</v>
      </c>
      <c r="C745" s="3" t="s">
        <v>60</v>
      </c>
      <c r="D745" s="3" t="s">
        <v>230</v>
      </c>
      <c r="E745" s="6">
        <v>0.42569444444444443</v>
      </c>
      <c r="F745" s="6">
        <v>0.74791666666666667</v>
      </c>
      <c r="G745" s="3" t="s">
        <v>20</v>
      </c>
      <c r="H745" s="3" t="s">
        <v>14</v>
      </c>
      <c r="I745" s="3" t="s">
        <v>21</v>
      </c>
    </row>
    <row r="746" spans="1:9" s="3" customFormat="1" x14ac:dyDescent="0.3">
      <c r="A746" s="3" t="s">
        <v>112</v>
      </c>
      <c r="B746" s="3" t="s">
        <v>113</v>
      </c>
      <c r="C746" s="3" t="s">
        <v>18</v>
      </c>
      <c r="D746" s="3" t="s">
        <v>222</v>
      </c>
      <c r="E746" s="6"/>
      <c r="F746" s="6"/>
      <c r="G746" s="3" t="s">
        <v>44</v>
      </c>
      <c r="H746" s="3" t="s">
        <v>27</v>
      </c>
      <c r="I746" s="3" t="s">
        <v>21</v>
      </c>
    </row>
    <row r="747" spans="1:9" s="3" customFormat="1" x14ac:dyDescent="0.3">
      <c r="A747" s="3" t="s">
        <v>216</v>
      </c>
      <c r="B747" s="3" t="s">
        <v>217</v>
      </c>
      <c r="C747" s="3" t="s">
        <v>18</v>
      </c>
      <c r="D747" s="3" t="s">
        <v>273</v>
      </c>
      <c r="E747" s="6">
        <v>0.47013888888888888</v>
      </c>
      <c r="F747" s="6">
        <v>0.7631944444444444</v>
      </c>
      <c r="G747" s="3" t="s">
        <v>26</v>
      </c>
      <c r="H747" s="3" t="s">
        <v>27</v>
      </c>
      <c r="I747" s="3" t="s">
        <v>15</v>
      </c>
    </row>
    <row r="748" spans="1:9" s="3" customFormat="1" x14ac:dyDescent="0.3">
      <c r="A748" s="3" t="s">
        <v>224</v>
      </c>
      <c r="B748" s="3" t="s">
        <v>225</v>
      </c>
      <c r="C748" s="3" t="s">
        <v>60</v>
      </c>
      <c r="D748" s="3" t="s">
        <v>253</v>
      </c>
      <c r="E748" s="6">
        <v>0.41805555555555557</v>
      </c>
      <c r="F748" s="6">
        <v>0.73263888888888884</v>
      </c>
      <c r="G748" s="3" t="s">
        <v>20</v>
      </c>
      <c r="H748" s="3" t="s">
        <v>14</v>
      </c>
      <c r="I748" s="3" t="s">
        <v>21</v>
      </c>
    </row>
    <row r="749" spans="1:9" s="3" customFormat="1" x14ac:dyDescent="0.3">
      <c r="A749" s="3" t="s">
        <v>69</v>
      </c>
      <c r="B749" s="3" t="s">
        <v>70</v>
      </c>
      <c r="C749" s="3" t="s">
        <v>64</v>
      </c>
      <c r="D749" s="3" t="s">
        <v>300</v>
      </c>
      <c r="E749" s="6"/>
      <c r="F749" s="6"/>
      <c r="G749" s="3" t="s">
        <v>44</v>
      </c>
      <c r="H749" s="3" t="s">
        <v>27</v>
      </c>
      <c r="I749" s="3" t="s">
        <v>21</v>
      </c>
    </row>
    <row r="750" spans="1:9" s="3" customFormat="1" x14ac:dyDescent="0.3">
      <c r="A750" s="3" t="s">
        <v>22</v>
      </c>
      <c r="B750" s="3" t="s">
        <v>23</v>
      </c>
      <c r="C750" s="3" t="s">
        <v>64</v>
      </c>
      <c r="D750" s="3" t="s">
        <v>209</v>
      </c>
      <c r="E750" s="6">
        <v>0.44236111111111109</v>
      </c>
      <c r="F750" s="6">
        <v>0.68402777777777779</v>
      </c>
      <c r="G750" s="3" t="s">
        <v>26</v>
      </c>
      <c r="H750" s="3" t="s">
        <v>14</v>
      </c>
      <c r="I750" s="3" t="s">
        <v>15</v>
      </c>
    </row>
    <row r="751" spans="1:9" s="3" customFormat="1" x14ac:dyDescent="0.3">
      <c r="A751" s="3" t="s">
        <v>204</v>
      </c>
      <c r="B751" s="3" t="s">
        <v>205</v>
      </c>
      <c r="C751" s="3" t="s">
        <v>24</v>
      </c>
      <c r="D751" s="3" t="s">
        <v>95</v>
      </c>
      <c r="E751" s="6">
        <v>0.36249999999999999</v>
      </c>
      <c r="F751" s="6">
        <v>0.87430555555555556</v>
      </c>
      <c r="G751" s="3" t="s">
        <v>26</v>
      </c>
      <c r="H751" s="3" t="s">
        <v>14</v>
      </c>
      <c r="I751" s="3" t="s">
        <v>15</v>
      </c>
    </row>
    <row r="752" spans="1:9" s="3" customFormat="1" x14ac:dyDescent="0.3">
      <c r="A752" s="3" t="s">
        <v>96</v>
      </c>
      <c r="B752" s="3" t="s">
        <v>97</v>
      </c>
      <c r="C752" s="3" t="s">
        <v>18</v>
      </c>
      <c r="D752" s="3" t="s">
        <v>344</v>
      </c>
      <c r="E752" s="6">
        <v>0.45694444444444443</v>
      </c>
      <c r="F752" s="6">
        <v>0.85902777777777772</v>
      </c>
      <c r="G752" s="3" t="s">
        <v>20</v>
      </c>
      <c r="H752" s="3" t="s">
        <v>27</v>
      </c>
      <c r="I752" s="3" t="s">
        <v>21</v>
      </c>
    </row>
    <row r="753" spans="1:9" s="3" customFormat="1" x14ac:dyDescent="0.3">
      <c r="A753" s="3" t="s">
        <v>224</v>
      </c>
      <c r="B753" s="3" t="s">
        <v>225</v>
      </c>
      <c r="C753" s="3" t="s">
        <v>60</v>
      </c>
      <c r="D753" s="3" t="s">
        <v>108</v>
      </c>
      <c r="E753" s="6"/>
      <c r="F753" s="6"/>
      <c r="G753" s="3" t="s">
        <v>44</v>
      </c>
      <c r="H753" s="3" t="s">
        <v>14</v>
      </c>
      <c r="I753" s="3" t="s">
        <v>15</v>
      </c>
    </row>
    <row r="754" spans="1:9" s="3" customFormat="1" x14ac:dyDescent="0.3">
      <c r="A754" s="3" t="s">
        <v>134</v>
      </c>
      <c r="B754" s="3" t="s">
        <v>135</v>
      </c>
      <c r="C754" s="3" t="s">
        <v>18</v>
      </c>
      <c r="D754" s="3" t="s">
        <v>169</v>
      </c>
      <c r="E754" s="6">
        <v>0.36736111111111114</v>
      </c>
      <c r="F754" s="6">
        <v>0.68819444444444444</v>
      </c>
      <c r="G754" s="3" t="s">
        <v>13</v>
      </c>
      <c r="H754" s="3" t="s">
        <v>27</v>
      </c>
      <c r="I754" s="3" t="s">
        <v>21</v>
      </c>
    </row>
    <row r="755" spans="1:9" s="3" customFormat="1" x14ac:dyDescent="0.3">
      <c r="A755" s="3" t="s">
        <v>22</v>
      </c>
      <c r="B755" s="3" t="s">
        <v>23</v>
      </c>
      <c r="C755" s="3" t="s">
        <v>64</v>
      </c>
      <c r="D755" s="3" t="s">
        <v>311</v>
      </c>
      <c r="E755" s="6">
        <v>0.36180555555555555</v>
      </c>
      <c r="F755" s="6">
        <v>0.78055555555555556</v>
      </c>
      <c r="G755" s="3" t="s">
        <v>26</v>
      </c>
      <c r="H755" s="3" t="s">
        <v>27</v>
      </c>
      <c r="I755" s="3" t="s">
        <v>15</v>
      </c>
    </row>
    <row r="756" spans="1:9" s="3" customFormat="1" x14ac:dyDescent="0.3">
      <c r="A756" s="3" t="s">
        <v>55</v>
      </c>
      <c r="B756" s="3" t="s">
        <v>56</v>
      </c>
      <c r="C756" s="3" t="s">
        <v>64</v>
      </c>
      <c r="D756" s="3" t="s">
        <v>255</v>
      </c>
      <c r="E756" s="6">
        <v>0.4826388888888889</v>
      </c>
      <c r="F756" s="6">
        <v>0.85763888888888884</v>
      </c>
      <c r="G756" s="3" t="s">
        <v>26</v>
      </c>
      <c r="H756" s="3" t="s">
        <v>27</v>
      </c>
      <c r="I756" s="3" t="s">
        <v>15</v>
      </c>
    </row>
    <row r="757" spans="1:9" s="3" customFormat="1" x14ac:dyDescent="0.3">
      <c r="A757" s="3" t="s">
        <v>9</v>
      </c>
      <c r="B757" s="3" t="s">
        <v>10</v>
      </c>
      <c r="C757" s="3" t="s">
        <v>42</v>
      </c>
      <c r="D757" s="3" t="s">
        <v>168</v>
      </c>
      <c r="E757" s="6"/>
      <c r="F757" s="6"/>
      <c r="G757" s="3" t="s">
        <v>44</v>
      </c>
      <c r="H757" s="3" t="s">
        <v>27</v>
      </c>
      <c r="I757" s="3" t="s">
        <v>21</v>
      </c>
    </row>
    <row r="758" spans="1:9" s="3" customFormat="1" x14ac:dyDescent="0.3">
      <c r="A758" s="3" t="s">
        <v>191</v>
      </c>
      <c r="B758" s="3" t="s">
        <v>192</v>
      </c>
      <c r="C758" s="3" t="s">
        <v>24</v>
      </c>
      <c r="D758" s="3" t="s">
        <v>371</v>
      </c>
      <c r="E758" s="6"/>
      <c r="F758" s="6"/>
      <c r="G758" s="3" t="s">
        <v>44</v>
      </c>
      <c r="H758" s="3" t="s">
        <v>14</v>
      </c>
      <c r="I758" s="3" t="s">
        <v>15</v>
      </c>
    </row>
    <row r="759" spans="1:9" s="3" customFormat="1" x14ac:dyDescent="0.3">
      <c r="A759" s="3" t="s">
        <v>138</v>
      </c>
      <c r="B759" s="3" t="s">
        <v>139</v>
      </c>
      <c r="C759" s="3" t="s">
        <v>60</v>
      </c>
      <c r="D759" s="3" t="s">
        <v>322</v>
      </c>
      <c r="E759" s="6">
        <v>0.38750000000000001</v>
      </c>
      <c r="F759" s="6">
        <v>0.74930555555555556</v>
      </c>
      <c r="G759" s="3" t="s">
        <v>13</v>
      </c>
      <c r="H759" s="3" t="s">
        <v>14</v>
      </c>
      <c r="I759" s="3" t="s">
        <v>15</v>
      </c>
    </row>
    <row r="760" spans="1:9" s="3" customFormat="1" x14ac:dyDescent="0.3">
      <c r="A760" s="3" t="s">
        <v>130</v>
      </c>
      <c r="B760" s="3" t="s">
        <v>131</v>
      </c>
      <c r="C760" s="3" t="s">
        <v>42</v>
      </c>
      <c r="D760" s="3" t="s">
        <v>367</v>
      </c>
      <c r="E760" s="6"/>
      <c r="F760" s="6"/>
      <c r="G760" s="3" t="s">
        <v>44</v>
      </c>
      <c r="H760" s="3" t="s">
        <v>14</v>
      </c>
      <c r="I760" s="3" t="s">
        <v>21</v>
      </c>
    </row>
    <row r="761" spans="1:9" s="3" customFormat="1" x14ac:dyDescent="0.3">
      <c r="A761" s="3" t="s">
        <v>213</v>
      </c>
      <c r="B761" s="3" t="s">
        <v>214</v>
      </c>
      <c r="C761" s="3" t="s">
        <v>24</v>
      </c>
      <c r="D761" s="3" t="s">
        <v>156</v>
      </c>
      <c r="E761" s="6">
        <v>0.36944444444444446</v>
      </c>
      <c r="F761" s="6">
        <v>0.68194444444444446</v>
      </c>
      <c r="G761" s="3" t="s">
        <v>26</v>
      </c>
      <c r="H761" s="3" t="s">
        <v>27</v>
      </c>
      <c r="I761" s="3" t="s">
        <v>21</v>
      </c>
    </row>
    <row r="762" spans="1:9" s="3" customFormat="1" x14ac:dyDescent="0.3">
      <c r="A762" s="3" t="s">
        <v>141</v>
      </c>
      <c r="B762" s="3" t="s">
        <v>142</v>
      </c>
      <c r="C762" s="3" t="s">
        <v>24</v>
      </c>
      <c r="D762" s="3" t="s">
        <v>257</v>
      </c>
      <c r="E762" s="6">
        <v>0.4152777777777778</v>
      </c>
      <c r="F762" s="6">
        <v>0.86944444444444446</v>
      </c>
      <c r="G762" s="3" t="s">
        <v>26</v>
      </c>
      <c r="H762" s="3" t="s">
        <v>14</v>
      </c>
      <c r="I762" s="3" t="s">
        <v>15</v>
      </c>
    </row>
    <row r="763" spans="1:9" s="3" customFormat="1" x14ac:dyDescent="0.3">
      <c r="A763" s="3" t="s">
        <v>204</v>
      </c>
      <c r="B763" s="3" t="s">
        <v>205</v>
      </c>
      <c r="C763" s="3" t="s">
        <v>60</v>
      </c>
      <c r="D763" s="3" t="s">
        <v>384</v>
      </c>
      <c r="E763" s="6">
        <v>0.43888888888888888</v>
      </c>
      <c r="F763" s="6">
        <v>0.74305555555555558</v>
      </c>
      <c r="G763" s="3" t="s">
        <v>20</v>
      </c>
      <c r="H763" s="3" t="s">
        <v>14</v>
      </c>
      <c r="I763" s="3" t="s">
        <v>15</v>
      </c>
    </row>
    <row r="764" spans="1:9" s="3" customFormat="1" x14ac:dyDescent="0.3">
      <c r="A764" s="3" t="s">
        <v>291</v>
      </c>
      <c r="B764" s="3" t="s">
        <v>292</v>
      </c>
      <c r="C764" s="3" t="s">
        <v>24</v>
      </c>
      <c r="D764" s="3" t="s">
        <v>367</v>
      </c>
      <c r="E764" s="6">
        <v>0.37708333333333333</v>
      </c>
      <c r="F764" s="6">
        <v>0.84027777777777779</v>
      </c>
      <c r="G764" s="3" t="s">
        <v>26</v>
      </c>
      <c r="H764" s="3" t="s">
        <v>27</v>
      </c>
      <c r="I764" s="3" t="s">
        <v>21</v>
      </c>
    </row>
    <row r="765" spans="1:9" s="3" customFormat="1" x14ac:dyDescent="0.3">
      <c r="A765" s="3" t="s">
        <v>150</v>
      </c>
      <c r="B765" s="3" t="s">
        <v>151</v>
      </c>
      <c r="C765" s="3" t="s">
        <v>60</v>
      </c>
      <c r="D765" s="3" t="s">
        <v>221</v>
      </c>
      <c r="E765" s="6">
        <v>0.43680555555555556</v>
      </c>
      <c r="F765" s="6">
        <v>0.79027777777777775</v>
      </c>
      <c r="G765" s="3" t="s">
        <v>20</v>
      </c>
      <c r="H765" s="3" t="s">
        <v>27</v>
      </c>
      <c r="I765" s="3" t="s">
        <v>15</v>
      </c>
    </row>
    <row r="766" spans="1:9" s="3" customFormat="1" x14ac:dyDescent="0.3">
      <c r="A766" s="3" t="s">
        <v>87</v>
      </c>
      <c r="B766" s="3" t="s">
        <v>88</v>
      </c>
      <c r="C766" s="3" t="s">
        <v>24</v>
      </c>
      <c r="D766" s="3" t="s">
        <v>381</v>
      </c>
      <c r="E766" s="6"/>
      <c r="F766" s="6"/>
      <c r="G766" s="3" t="s">
        <v>44</v>
      </c>
      <c r="H766" s="3" t="s">
        <v>14</v>
      </c>
      <c r="I766" s="3" t="s">
        <v>21</v>
      </c>
    </row>
    <row r="767" spans="1:9" s="3" customFormat="1" x14ac:dyDescent="0.3">
      <c r="A767" s="3" t="s">
        <v>102</v>
      </c>
      <c r="B767" s="3" t="s">
        <v>103</v>
      </c>
      <c r="C767" s="3" t="s">
        <v>24</v>
      </c>
      <c r="D767" s="3" t="s">
        <v>313</v>
      </c>
      <c r="E767" s="6">
        <v>0.48749999999999999</v>
      </c>
      <c r="F767" s="6">
        <v>0.73402777777777772</v>
      </c>
      <c r="G767" s="3" t="s">
        <v>20</v>
      </c>
      <c r="H767" s="3" t="s">
        <v>14</v>
      </c>
      <c r="I767" s="3" t="s">
        <v>21</v>
      </c>
    </row>
    <row r="768" spans="1:9" s="3" customFormat="1" x14ac:dyDescent="0.3">
      <c r="A768" s="3" t="s">
        <v>62</v>
      </c>
      <c r="B768" s="3" t="s">
        <v>63</v>
      </c>
      <c r="C768" s="3" t="s">
        <v>18</v>
      </c>
      <c r="D768" s="3" t="s">
        <v>263</v>
      </c>
      <c r="E768" s="6">
        <v>0.35833333333333334</v>
      </c>
      <c r="F768" s="6">
        <v>0.85902777777777772</v>
      </c>
      <c r="G768" s="3" t="s">
        <v>13</v>
      </c>
      <c r="H768" s="3" t="s">
        <v>14</v>
      </c>
      <c r="I768" s="3" t="s">
        <v>21</v>
      </c>
    </row>
    <row r="769" spans="1:9" s="3" customFormat="1" x14ac:dyDescent="0.3">
      <c r="A769" s="3" t="s">
        <v>66</v>
      </c>
      <c r="B769" s="3" t="s">
        <v>67</v>
      </c>
      <c r="C769" s="3" t="s">
        <v>24</v>
      </c>
      <c r="D769" s="3" t="s">
        <v>140</v>
      </c>
      <c r="E769" s="6">
        <v>0.41736111111111113</v>
      </c>
      <c r="F769" s="6">
        <v>0.69374999999999998</v>
      </c>
      <c r="G769" s="3" t="s">
        <v>149</v>
      </c>
      <c r="H769" s="3" t="s">
        <v>27</v>
      </c>
      <c r="I769" s="3" t="s">
        <v>15</v>
      </c>
    </row>
    <row r="770" spans="1:9" s="3" customFormat="1" x14ac:dyDescent="0.3">
      <c r="A770" s="3" t="s">
        <v>96</v>
      </c>
      <c r="B770" s="3" t="s">
        <v>97</v>
      </c>
      <c r="C770" s="3" t="s">
        <v>64</v>
      </c>
      <c r="D770" s="3" t="s">
        <v>189</v>
      </c>
      <c r="E770" s="6"/>
      <c r="F770" s="6"/>
      <c r="G770" s="3" t="s">
        <v>44</v>
      </c>
      <c r="H770" s="3" t="s">
        <v>14</v>
      </c>
      <c r="I770" s="3" t="s">
        <v>15</v>
      </c>
    </row>
    <row r="771" spans="1:9" s="3" customFormat="1" x14ac:dyDescent="0.3">
      <c r="A771" s="3" t="s">
        <v>141</v>
      </c>
      <c r="B771" s="3" t="s">
        <v>142</v>
      </c>
      <c r="C771" s="3" t="s">
        <v>24</v>
      </c>
      <c r="D771" s="3" t="s">
        <v>393</v>
      </c>
      <c r="E771" s="6">
        <v>0.36249999999999999</v>
      </c>
      <c r="F771" s="6">
        <v>0.82916666666666672</v>
      </c>
      <c r="G771" s="3" t="s">
        <v>125</v>
      </c>
      <c r="H771" s="3" t="s">
        <v>27</v>
      </c>
      <c r="I771" s="3" t="s">
        <v>21</v>
      </c>
    </row>
    <row r="772" spans="1:9" s="3" customFormat="1" x14ac:dyDescent="0.3">
      <c r="A772" s="3" t="s">
        <v>16</v>
      </c>
      <c r="B772" s="3" t="s">
        <v>17</v>
      </c>
      <c r="C772" s="3" t="s">
        <v>42</v>
      </c>
      <c r="D772" s="3" t="s">
        <v>404</v>
      </c>
      <c r="E772" s="6">
        <v>0.38680555555555557</v>
      </c>
      <c r="F772" s="6">
        <v>0.76944444444444449</v>
      </c>
      <c r="G772" s="3" t="s">
        <v>26</v>
      </c>
      <c r="H772" s="3" t="s">
        <v>14</v>
      </c>
      <c r="I772" s="3" t="s">
        <v>21</v>
      </c>
    </row>
    <row r="773" spans="1:9" s="3" customFormat="1" x14ac:dyDescent="0.3">
      <c r="A773" s="3" t="s">
        <v>37</v>
      </c>
      <c r="B773" s="3" t="s">
        <v>38</v>
      </c>
      <c r="C773" s="3" t="s">
        <v>64</v>
      </c>
      <c r="D773" s="3" t="s">
        <v>405</v>
      </c>
      <c r="E773" s="6">
        <v>0.45416666666666666</v>
      </c>
      <c r="F773" s="6">
        <v>0.79861111111111116</v>
      </c>
      <c r="G773" s="3" t="s">
        <v>13</v>
      </c>
      <c r="H773" s="3" t="s">
        <v>14</v>
      </c>
      <c r="I773" s="3" t="s">
        <v>15</v>
      </c>
    </row>
    <row r="774" spans="1:9" s="3" customFormat="1" x14ac:dyDescent="0.3">
      <c r="A774" s="3" t="s">
        <v>250</v>
      </c>
      <c r="B774" s="3" t="s">
        <v>251</v>
      </c>
      <c r="C774" s="3" t="s">
        <v>18</v>
      </c>
      <c r="D774" s="3" t="s">
        <v>384</v>
      </c>
      <c r="E774" s="6">
        <v>0.4548611111111111</v>
      </c>
      <c r="F774" s="6">
        <v>0.87083333333333335</v>
      </c>
      <c r="G774" s="3" t="s">
        <v>26</v>
      </c>
      <c r="H774" s="3" t="s">
        <v>27</v>
      </c>
      <c r="I774" s="3" t="s">
        <v>21</v>
      </c>
    </row>
    <row r="775" spans="1:9" s="3" customFormat="1" x14ac:dyDescent="0.3">
      <c r="A775" s="3" t="s">
        <v>99</v>
      </c>
      <c r="B775" s="3" t="s">
        <v>100</v>
      </c>
      <c r="C775" s="3" t="s">
        <v>64</v>
      </c>
      <c r="D775" s="3" t="s">
        <v>314</v>
      </c>
      <c r="E775" s="6">
        <v>0.34027777777777779</v>
      </c>
      <c r="F775" s="6">
        <v>0.80625000000000002</v>
      </c>
      <c r="G775" s="3" t="s">
        <v>20</v>
      </c>
      <c r="H775" s="3" t="s">
        <v>14</v>
      </c>
      <c r="I775" s="3" t="s">
        <v>21</v>
      </c>
    </row>
    <row r="776" spans="1:9" s="3" customFormat="1" x14ac:dyDescent="0.3">
      <c r="A776" s="3" t="s">
        <v>96</v>
      </c>
      <c r="B776" s="3" t="s">
        <v>97</v>
      </c>
      <c r="C776" s="3" t="s">
        <v>24</v>
      </c>
      <c r="D776" s="3" t="s">
        <v>168</v>
      </c>
      <c r="E776" s="6">
        <v>0.40069444444444446</v>
      </c>
      <c r="F776" s="6">
        <v>0.79097222222222219</v>
      </c>
      <c r="G776" s="3" t="s">
        <v>13</v>
      </c>
      <c r="H776" s="3" t="s">
        <v>27</v>
      </c>
      <c r="I776" s="3" t="s">
        <v>21</v>
      </c>
    </row>
    <row r="777" spans="1:9" s="3" customFormat="1" x14ac:dyDescent="0.3">
      <c r="A777" s="3" t="s">
        <v>157</v>
      </c>
      <c r="B777" s="3" t="s">
        <v>158</v>
      </c>
      <c r="C777" s="3" t="s">
        <v>64</v>
      </c>
      <c r="D777" s="3" t="s">
        <v>256</v>
      </c>
      <c r="E777" s="6">
        <v>0.49791666666666667</v>
      </c>
      <c r="F777" s="6">
        <v>0.82430555555555551</v>
      </c>
      <c r="G777" s="3" t="s">
        <v>13</v>
      </c>
      <c r="H777" s="3" t="s">
        <v>14</v>
      </c>
      <c r="I777" s="3" t="s">
        <v>15</v>
      </c>
    </row>
    <row r="778" spans="1:9" s="3" customFormat="1" x14ac:dyDescent="0.3">
      <c r="A778" s="3" t="s">
        <v>315</v>
      </c>
      <c r="B778" s="3" t="s">
        <v>316</v>
      </c>
      <c r="C778" s="3" t="s">
        <v>18</v>
      </c>
      <c r="D778" s="3" t="s">
        <v>393</v>
      </c>
      <c r="E778" s="6">
        <v>0.46250000000000002</v>
      </c>
      <c r="F778" s="6">
        <v>0.85555555555555551</v>
      </c>
      <c r="G778" s="3" t="s">
        <v>170</v>
      </c>
      <c r="H778" s="3" t="s">
        <v>27</v>
      </c>
      <c r="I778" s="3" t="s">
        <v>15</v>
      </c>
    </row>
    <row r="779" spans="1:9" s="3" customFormat="1" x14ac:dyDescent="0.3">
      <c r="A779" s="3" t="s">
        <v>246</v>
      </c>
      <c r="B779" s="3" t="s">
        <v>247</v>
      </c>
      <c r="C779" s="3" t="s">
        <v>64</v>
      </c>
      <c r="D779" s="3" t="s">
        <v>324</v>
      </c>
      <c r="E779" s="6">
        <v>0.41597222222222224</v>
      </c>
      <c r="F779" s="6">
        <v>0.82222222222222219</v>
      </c>
      <c r="G779" s="3" t="s">
        <v>26</v>
      </c>
      <c r="H779" s="3" t="s">
        <v>27</v>
      </c>
      <c r="I779" s="3" t="s">
        <v>21</v>
      </c>
    </row>
    <row r="780" spans="1:9" s="3" customFormat="1" x14ac:dyDescent="0.3">
      <c r="A780" s="3" t="s">
        <v>40</v>
      </c>
      <c r="B780" s="3" t="s">
        <v>41</v>
      </c>
      <c r="C780" s="3" t="s">
        <v>24</v>
      </c>
      <c r="D780" s="3" t="s">
        <v>253</v>
      </c>
      <c r="E780" s="6">
        <v>0.39097222222222222</v>
      </c>
      <c r="F780" s="6">
        <v>0.85624999999999996</v>
      </c>
      <c r="G780" s="3" t="s">
        <v>13</v>
      </c>
      <c r="H780" s="3" t="s">
        <v>27</v>
      </c>
      <c r="I780" s="3" t="s">
        <v>15</v>
      </c>
    </row>
    <row r="781" spans="1:9" s="3" customFormat="1" x14ac:dyDescent="0.3">
      <c r="A781" s="3" t="s">
        <v>213</v>
      </c>
      <c r="B781" s="3" t="s">
        <v>214</v>
      </c>
      <c r="C781" s="3" t="s">
        <v>60</v>
      </c>
      <c r="D781" s="3" t="s">
        <v>196</v>
      </c>
      <c r="E781" s="6">
        <v>0.4826388888888889</v>
      </c>
      <c r="F781" s="6">
        <v>0.75763888888888886</v>
      </c>
      <c r="G781" s="3" t="s">
        <v>20</v>
      </c>
      <c r="H781" s="3" t="s">
        <v>27</v>
      </c>
      <c r="I781" s="3" t="s">
        <v>15</v>
      </c>
    </row>
    <row r="782" spans="1:9" s="3" customFormat="1" x14ac:dyDescent="0.3">
      <c r="A782" s="3" t="s">
        <v>122</v>
      </c>
      <c r="B782" s="3" t="s">
        <v>123</v>
      </c>
      <c r="C782" s="3" t="s">
        <v>64</v>
      </c>
      <c r="D782" s="3" t="s">
        <v>244</v>
      </c>
      <c r="E782" s="6">
        <v>0.45277777777777778</v>
      </c>
      <c r="F782" s="6">
        <v>0.7</v>
      </c>
      <c r="G782" s="3" t="s">
        <v>20</v>
      </c>
      <c r="H782" s="3" t="s">
        <v>27</v>
      </c>
      <c r="I782" s="3" t="s">
        <v>21</v>
      </c>
    </row>
    <row r="783" spans="1:9" s="3" customFormat="1" x14ac:dyDescent="0.3">
      <c r="A783" s="3" t="s">
        <v>40</v>
      </c>
      <c r="B783" s="3" t="s">
        <v>41</v>
      </c>
      <c r="C783" s="3" t="s">
        <v>42</v>
      </c>
      <c r="D783" s="3" t="s">
        <v>89</v>
      </c>
      <c r="E783" s="6">
        <v>0.34722222222222221</v>
      </c>
      <c r="F783" s="6">
        <v>0.72222222222222221</v>
      </c>
      <c r="G783" s="3" t="s">
        <v>13</v>
      </c>
      <c r="H783" s="3" t="s">
        <v>14</v>
      </c>
      <c r="I783" s="3" t="s">
        <v>15</v>
      </c>
    </row>
    <row r="784" spans="1:9" s="3" customFormat="1" x14ac:dyDescent="0.3">
      <c r="A784" s="3" t="s">
        <v>146</v>
      </c>
      <c r="B784" s="3" t="s">
        <v>147</v>
      </c>
      <c r="C784" s="3" t="s">
        <v>18</v>
      </c>
      <c r="D784" s="3" t="s">
        <v>365</v>
      </c>
      <c r="E784" s="6">
        <v>0.43194444444444446</v>
      </c>
      <c r="F784" s="6">
        <v>0.69513888888888886</v>
      </c>
      <c r="G784" s="3" t="s">
        <v>20</v>
      </c>
      <c r="H784" s="3" t="s">
        <v>14</v>
      </c>
      <c r="I784" s="3" t="s">
        <v>21</v>
      </c>
    </row>
    <row r="785" spans="1:9" s="3" customFormat="1" x14ac:dyDescent="0.3">
      <c r="A785" s="3" t="s">
        <v>72</v>
      </c>
      <c r="B785" s="3" t="s">
        <v>73</v>
      </c>
      <c r="C785" s="3" t="s">
        <v>11</v>
      </c>
      <c r="D785" s="3" t="s">
        <v>398</v>
      </c>
      <c r="E785" s="6">
        <v>0.39097222222222222</v>
      </c>
      <c r="F785" s="6">
        <v>0.77152777777777781</v>
      </c>
      <c r="G785" s="3" t="s">
        <v>13</v>
      </c>
      <c r="H785" s="3" t="s">
        <v>14</v>
      </c>
      <c r="I785" s="3" t="s">
        <v>15</v>
      </c>
    </row>
    <row r="786" spans="1:9" s="3" customFormat="1" x14ac:dyDescent="0.3">
      <c r="A786" s="3" t="s">
        <v>146</v>
      </c>
      <c r="B786" s="3" t="s">
        <v>147</v>
      </c>
      <c r="C786" s="3" t="s">
        <v>60</v>
      </c>
      <c r="D786" s="3" t="s">
        <v>365</v>
      </c>
      <c r="E786" s="6">
        <v>0.41388888888888886</v>
      </c>
      <c r="F786" s="6">
        <v>0.83333333333333337</v>
      </c>
      <c r="G786" s="3" t="s">
        <v>26</v>
      </c>
      <c r="H786" s="3" t="s">
        <v>27</v>
      </c>
      <c r="I786" s="3" t="s">
        <v>15</v>
      </c>
    </row>
    <row r="787" spans="1:9" s="3" customFormat="1" x14ac:dyDescent="0.3">
      <c r="A787" s="3" t="s">
        <v>109</v>
      </c>
      <c r="B787" s="3" t="s">
        <v>110</v>
      </c>
      <c r="C787" s="3" t="s">
        <v>18</v>
      </c>
      <c r="D787" s="3" t="s">
        <v>218</v>
      </c>
      <c r="E787" s="6">
        <v>0.43611111111111112</v>
      </c>
      <c r="F787" s="6">
        <v>0.69166666666666665</v>
      </c>
      <c r="G787" s="3" t="s">
        <v>13</v>
      </c>
      <c r="H787" s="3" t="s">
        <v>27</v>
      </c>
      <c r="I787" s="3" t="s">
        <v>21</v>
      </c>
    </row>
    <row r="788" spans="1:9" s="3" customFormat="1" x14ac:dyDescent="0.3">
      <c r="A788" s="3" t="s">
        <v>315</v>
      </c>
      <c r="B788" s="3" t="s">
        <v>316</v>
      </c>
      <c r="C788" s="3" t="s">
        <v>18</v>
      </c>
      <c r="D788" s="3" t="s">
        <v>325</v>
      </c>
      <c r="E788" s="6">
        <v>0.46111111111111114</v>
      </c>
      <c r="F788" s="6">
        <v>0.77152777777777781</v>
      </c>
      <c r="G788" s="3" t="s">
        <v>26</v>
      </c>
      <c r="H788" s="3" t="s">
        <v>14</v>
      </c>
      <c r="I788" s="3" t="s">
        <v>15</v>
      </c>
    </row>
    <row r="789" spans="1:9" s="3" customFormat="1" x14ac:dyDescent="0.3">
      <c r="A789" s="3" t="s">
        <v>62</v>
      </c>
      <c r="B789" s="3" t="s">
        <v>63</v>
      </c>
      <c r="C789" s="3" t="s">
        <v>18</v>
      </c>
      <c r="D789" s="3" t="s">
        <v>314</v>
      </c>
      <c r="E789" s="6">
        <v>0.48194444444444445</v>
      </c>
      <c r="F789" s="6">
        <v>0.86944444444444446</v>
      </c>
      <c r="G789" s="3" t="s">
        <v>20</v>
      </c>
      <c r="H789" s="3" t="s">
        <v>27</v>
      </c>
      <c r="I789" s="3" t="s">
        <v>21</v>
      </c>
    </row>
    <row r="790" spans="1:9" s="3" customFormat="1" x14ac:dyDescent="0.3">
      <c r="A790" s="3" t="s">
        <v>115</v>
      </c>
      <c r="B790" s="3" t="s">
        <v>116</v>
      </c>
      <c r="C790" s="3" t="s">
        <v>18</v>
      </c>
      <c r="D790" s="3" t="s">
        <v>322</v>
      </c>
      <c r="E790" s="6">
        <v>0.39513888888888887</v>
      </c>
      <c r="F790" s="6">
        <v>0.69513888888888886</v>
      </c>
      <c r="G790" s="3" t="s">
        <v>20</v>
      </c>
      <c r="H790" s="3" t="s">
        <v>14</v>
      </c>
      <c r="I790" s="3" t="s">
        <v>21</v>
      </c>
    </row>
    <row r="791" spans="1:9" s="3" customFormat="1" x14ac:dyDescent="0.3">
      <c r="A791" s="3" t="s">
        <v>224</v>
      </c>
      <c r="B791" s="3" t="s">
        <v>225</v>
      </c>
      <c r="C791" s="3" t="s">
        <v>60</v>
      </c>
      <c r="D791" s="3" t="s">
        <v>395</v>
      </c>
      <c r="E791" s="6"/>
      <c r="F791" s="6"/>
      <c r="G791" s="3" t="s">
        <v>44</v>
      </c>
      <c r="H791" s="3" t="s">
        <v>14</v>
      </c>
      <c r="I791" s="3" t="s">
        <v>21</v>
      </c>
    </row>
    <row r="792" spans="1:9" s="3" customFormat="1" x14ac:dyDescent="0.3">
      <c r="A792" s="3" t="s">
        <v>93</v>
      </c>
      <c r="B792" s="3" t="s">
        <v>94</v>
      </c>
      <c r="C792" s="3" t="s">
        <v>24</v>
      </c>
      <c r="D792" s="3" t="s">
        <v>406</v>
      </c>
      <c r="E792" s="6">
        <v>0.48541666666666666</v>
      </c>
      <c r="F792" s="6">
        <v>0.84791666666666665</v>
      </c>
      <c r="G792" s="3" t="s">
        <v>13</v>
      </c>
      <c r="H792" s="3" t="s">
        <v>27</v>
      </c>
      <c r="I792" s="3" t="s">
        <v>21</v>
      </c>
    </row>
    <row r="793" spans="1:9" s="3" customFormat="1" x14ac:dyDescent="0.3">
      <c r="A793" s="3" t="s">
        <v>122</v>
      </c>
      <c r="B793" s="3" t="s">
        <v>123</v>
      </c>
      <c r="C793" s="3" t="s">
        <v>60</v>
      </c>
      <c r="D793" s="3" t="s">
        <v>252</v>
      </c>
      <c r="E793" s="6">
        <v>0.44236111111111109</v>
      </c>
      <c r="F793" s="6">
        <v>0.6958333333333333</v>
      </c>
      <c r="G793" s="3" t="s">
        <v>20</v>
      </c>
      <c r="H793" s="3" t="s">
        <v>27</v>
      </c>
      <c r="I793" s="3" t="s">
        <v>15</v>
      </c>
    </row>
    <row r="794" spans="1:9" s="3" customFormat="1" x14ac:dyDescent="0.3">
      <c r="A794" s="3" t="s">
        <v>102</v>
      </c>
      <c r="B794" s="3" t="s">
        <v>103</v>
      </c>
      <c r="C794" s="3" t="s">
        <v>42</v>
      </c>
      <c r="D794" s="3" t="s">
        <v>322</v>
      </c>
      <c r="E794" s="6"/>
      <c r="F794" s="6"/>
      <c r="G794" s="3" t="s">
        <v>44</v>
      </c>
      <c r="H794" s="3" t="s">
        <v>27</v>
      </c>
      <c r="I794" s="3" t="s">
        <v>15</v>
      </c>
    </row>
    <row r="795" spans="1:9" s="3" customFormat="1" x14ac:dyDescent="0.3">
      <c r="A795" s="3" t="s">
        <v>115</v>
      </c>
      <c r="B795" s="3" t="s">
        <v>116</v>
      </c>
      <c r="C795" s="3" t="s">
        <v>64</v>
      </c>
      <c r="D795" s="3" t="s">
        <v>389</v>
      </c>
      <c r="E795" s="6">
        <v>0.40069444444444446</v>
      </c>
      <c r="F795" s="6">
        <v>0.76736111111111116</v>
      </c>
      <c r="G795" s="3" t="s">
        <v>13</v>
      </c>
      <c r="H795" s="3" t="s">
        <v>14</v>
      </c>
      <c r="I795" s="3" t="s">
        <v>15</v>
      </c>
    </row>
    <row r="796" spans="1:9" s="3" customFormat="1" x14ac:dyDescent="0.3">
      <c r="A796" s="3" t="s">
        <v>130</v>
      </c>
      <c r="B796" s="3" t="s">
        <v>131</v>
      </c>
      <c r="C796" s="3" t="s">
        <v>42</v>
      </c>
      <c r="D796" s="3" t="s">
        <v>240</v>
      </c>
      <c r="E796" s="6"/>
      <c r="F796" s="6"/>
      <c r="G796" s="3" t="s">
        <v>44</v>
      </c>
      <c r="H796" s="3" t="s">
        <v>27</v>
      </c>
      <c r="I796" s="3" t="s">
        <v>15</v>
      </c>
    </row>
    <row r="797" spans="1:9" s="3" customFormat="1" x14ac:dyDescent="0.3">
      <c r="A797" s="3" t="s">
        <v>109</v>
      </c>
      <c r="B797" s="3" t="s">
        <v>110</v>
      </c>
      <c r="C797" s="3" t="s">
        <v>18</v>
      </c>
      <c r="D797" s="3" t="s">
        <v>183</v>
      </c>
      <c r="E797" s="6">
        <v>0.4465277777777778</v>
      </c>
      <c r="F797" s="6">
        <v>0.85763888888888884</v>
      </c>
      <c r="G797" s="3" t="s">
        <v>26</v>
      </c>
      <c r="H797" s="3" t="s">
        <v>14</v>
      </c>
      <c r="I797" s="3" t="s">
        <v>15</v>
      </c>
    </row>
    <row r="798" spans="1:9" s="3" customFormat="1" x14ac:dyDescent="0.3">
      <c r="A798" s="3" t="s">
        <v>40</v>
      </c>
      <c r="B798" s="3" t="s">
        <v>41</v>
      </c>
      <c r="C798" s="3" t="s">
        <v>64</v>
      </c>
      <c r="D798" s="3" t="s">
        <v>322</v>
      </c>
      <c r="E798" s="6"/>
      <c r="F798" s="6"/>
      <c r="G798" s="3" t="s">
        <v>51</v>
      </c>
      <c r="H798" s="3" t="s">
        <v>14</v>
      </c>
      <c r="I798" s="3" t="s">
        <v>21</v>
      </c>
    </row>
    <row r="799" spans="1:9" s="3" customFormat="1" x14ac:dyDescent="0.3">
      <c r="A799" s="3" t="s">
        <v>191</v>
      </c>
      <c r="B799" s="3" t="s">
        <v>192</v>
      </c>
      <c r="C799" s="3" t="s">
        <v>42</v>
      </c>
      <c r="D799" s="3" t="s">
        <v>293</v>
      </c>
      <c r="E799" s="6">
        <v>0.37013888888888891</v>
      </c>
      <c r="F799" s="6">
        <v>0.69027777777777777</v>
      </c>
      <c r="G799" s="3" t="s">
        <v>20</v>
      </c>
      <c r="H799" s="3" t="s">
        <v>14</v>
      </c>
      <c r="I799" s="3" t="s">
        <v>21</v>
      </c>
    </row>
    <row r="800" spans="1:9" s="3" customFormat="1" x14ac:dyDescent="0.3">
      <c r="A800" s="3" t="s">
        <v>194</v>
      </c>
      <c r="B800" s="3" t="s">
        <v>195</v>
      </c>
      <c r="C800" s="3" t="s">
        <v>42</v>
      </c>
      <c r="D800" s="3" t="s">
        <v>160</v>
      </c>
      <c r="E800" s="6">
        <v>0.45833333333333331</v>
      </c>
      <c r="F800" s="6">
        <v>0.74027777777777781</v>
      </c>
      <c r="G800" s="3" t="s">
        <v>13</v>
      </c>
      <c r="H800" s="3" t="s">
        <v>14</v>
      </c>
      <c r="I800" s="3" t="s">
        <v>15</v>
      </c>
    </row>
    <row r="801" spans="1:9" s="3" customFormat="1" x14ac:dyDescent="0.3">
      <c r="A801" s="3" t="s">
        <v>157</v>
      </c>
      <c r="B801" s="3" t="s">
        <v>158</v>
      </c>
      <c r="C801" s="3" t="s">
        <v>18</v>
      </c>
      <c r="D801" s="3" t="s">
        <v>332</v>
      </c>
      <c r="E801" s="6">
        <v>0.44722222222222224</v>
      </c>
      <c r="F801" s="6">
        <v>0.66805555555555551</v>
      </c>
      <c r="G801" s="3" t="s">
        <v>20</v>
      </c>
      <c r="H801" s="3" t="s">
        <v>14</v>
      </c>
      <c r="I801" s="3" t="s">
        <v>21</v>
      </c>
    </row>
    <row r="802" spans="1:9" s="3" customFormat="1" x14ac:dyDescent="0.3">
      <c r="A802" s="3" t="s">
        <v>66</v>
      </c>
      <c r="B802" s="3" t="s">
        <v>67</v>
      </c>
      <c r="C802" s="3" t="s">
        <v>42</v>
      </c>
      <c r="D802" s="3" t="s">
        <v>86</v>
      </c>
      <c r="E802" s="6">
        <v>0.44791666666666669</v>
      </c>
      <c r="F802" s="6">
        <v>0.81041666666666667</v>
      </c>
      <c r="G802" s="3" t="s">
        <v>26</v>
      </c>
      <c r="H802" s="3" t="s">
        <v>27</v>
      </c>
      <c r="I802" s="3" t="s">
        <v>21</v>
      </c>
    </row>
    <row r="803" spans="1:9" s="3" customFormat="1" x14ac:dyDescent="0.3">
      <c r="A803" s="3" t="s">
        <v>99</v>
      </c>
      <c r="B803" s="3" t="s">
        <v>100</v>
      </c>
      <c r="C803" s="3" t="s">
        <v>60</v>
      </c>
      <c r="D803" s="3" t="s">
        <v>364</v>
      </c>
      <c r="E803" s="6">
        <v>0.44930555555555557</v>
      </c>
      <c r="F803" s="6">
        <v>0.72430555555555554</v>
      </c>
      <c r="G803" s="3" t="s">
        <v>26</v>
      </c>
      <c r="H803" s="3" t="s">
        <v>27</v>
      </c>
      <c r="I803" s="3" t="s">
        <v>15</v>
      </c>
    </row>
    <row r="804" spans="1:9" s="3" customFormat="1" x14ac:dyDescent="0.3">
      <c r="A804" s="3" t="s">
        <v>99</v>
      </c>
      <c r="B804" s="3" t="s">
        <v>100</v>
      </c>
      <c r="C804" s="3" t="s">
        <v>42</v>
      </c>
      <c r="D804" s="3" t="s">
        <v>203</v>
      </c>
      <c r="E804" s="6">
        <v>0.45555555555555555</v>
      </c>
      <c r="F804" s="6">
        <v>0.85972222222222228</v>
      </c>
      <c r="G804" s="3" t="s">
        <v>20</v>
      </c>
      <c r="H804" s="3" t="s">
        <v>14</v>
      </c>
      <c r="I804" s="3" t="s">
        <v>21</v>
      </c>
    </row>
    <row r="805" spans="1:9" s="3" customFormat="1" x14ac:dyDescent="0.3">
      <c r="A805" s="3" t="s">
        <v>291</v>
      </c>
      <c r="B805" s="3" t="s">
        <v>292</v>
      </c>
      <c r="C805" s="3" t="s">
        <v>18</v>
      </c>
      <c r="D805" s="3" t="s">
        <v>159</v>
      </c>
      <c r="E805" s="6"/>
      <c r="F805" s="6"/>
      <c r="G805" s="3" t="s">
        <v>44</v>
      </c>
      <c r="H805" s="3" t="s">
        <v>27</v>
      </c>
      <c r="I805" s="3" t="s">
        <v>21</v>
      </c>
    </row>
    <row r="806" spans="1:9" s="3" customFormat="1" x14ac:dyDescent="0.3">
      <c r="A806" s="3" t="s">
        <v>204</v>
      </c>
      <c r="B806" s="3" t="s">
        <v>205</v>
      </c>
      <c r="C806" s="3" t="s">
        <v>143</v>
      </c>
      <c r="D806" s="3" t="s">
        <v>278</v>
      </c>
      <c r="E806" s="6">
        <v>0.41180555555555554</v>
      </c>
      <c r="F806" s="6">
        <v>0.67083333333333328</v>
      </c>
      <c r="G806" s="3" t="s">
        <v>20</v>
      </c>
      <c r="H806" s="3" t="s">
        <v>14</v>
      </c>
      <c r="I806" s="3" t="s">
        <v>21</v>
      </c>
    </row>
    <row r="807" spans="1:9" s="3" customFormat="1" x14ac:dyDescent="0.3">
      <c r="A807" s="3" t="s">
        <v>37</v>
      </c>
      <c r="B807" s="3" t="s">
        <v>38</v>
      </c>
      <c r="C807" s="3" t="s">
        <v>18</v>
      </c>
      <c r="D807" s="3" t="s">
        <v>178</v>
      </c>
      <c r="E807" s="6"/>
      <c r="F807" s="6"/>
      <c r="G807" s="3" t="s">
        <v>44</v>
      </c>
      <c r="H807" s="3" t="s">
        <v>27</v>
      </c>
      <c r="I807" s="3" t="s">
        <v>21</v>
      </c>
    </row>
    <row r="808" spans="1:9" s="3" customFormat="1" x14ac:dyDescent="0.3">
      <c r="A808" s="3" t="s">
        <v>34</v>
      </c>
      <c r="B808" s="3" t="s">
        <v>35</v>
      </c>
      <c r="C808" s="3" t="s">
        <v>239</v>
      </c>
      <c r="D808" s="3" t="s">
        <v>376</v>
      </c>
      <c r="E808" s="6">
        <v>0.36388888888888887</v>
      </c>
      <c r="F808" s="6">
        <v>0.67847222222222225</v>
      </c>
      <c r="G808" s="3" t="s">
        <v>20</v>
      </c>
      <c r="H808" s="3" t="s">
        <v>27</v>
      </c>
      <c r="I808" s="3" t="s">
        <v>21</v>
      </c>
    </row>
    <row r="809" spans="1:9" s="3" customFormat="1" x14ac:dyDescent="0.3">
      <c r="A809" s="3" t="s">
        <v>112</v>
      </c>
      <c r="B809" s="3" t="s">
        <v>113</v>
      </c>
      <c r="C809" s="3" t="s">
        <v>42</v>
      </c>
      <c r="D809" s="3" t="s">
        <v>180</v>
      </c>
      <c r="E809" s="6">
        <v>0.36249999999999999</v>
      </c>
      <c r="F809" s="6">
        <v>0.66666666666666663</v>
      </c>
      <c r="G809" s="3" t="s">
        <v>26</v>
      </c>
      <c r="H809" s="3" t="s">
        <v>27</v>
      </c>
      <c r="I809" s="3" t="s">
        <v>15</v>
      </c>
    </row>
    <row r="810" spans="1:9" s="3" customFormat="1" x14ac:dyDescent="0.3">
      <c r="A810" s="3" t="s">
        <v>52</v>
      </c>
      <c r="B810" s="3" t="s">
        <v>53</v>
      </c>
      <c r="C810" s="3" t="s">
        <v>42</v>
      </c>
      <c r="D810" s="3" t="s">
        <v>351</v>
      </c>
      <c r="E810" s="6">
        <v>0.38958333333333334</v>
      </c>
      <c r="F810" s="6">
        <v>0.72916666666666663</v>
      </c>
      <c r="G810" s="3" t="s">
        <v>26</v>
      </c>
      <c r="H810" s="3" t="s">
        <v>27</v>
      </c>
      <c r="I810" s="3" t="s">
        <v>21</v>
      </c>
    </row>
    <row r="811" spans="1:9" s="3" customFormat="1" x14ac:dyDescent="0.3">
      <c r="A811" s="3" t="s">
        <v>171</v>
      </c>
      <c r="B811" s="3" t="s">
        <v>172</v>
      </c>
      <c r="C811" s="3" t="s">
        <v>11</v>
      </c>
      <c r="D811" s="3" t="s">
        <v>365</v>
      </c>
      <c r="E811" s="6"/>
      <c r="F811" s="6"/>
      <c r="G811" s="3" t="s">
        <v>44</v>
      </c>
      <c r="H811" s="3" t="s">
        <v>27</v>
      </c>
      <c r="I811" s="3" t="s">
        <v>21</v>
      </c>
    </row>
    <row r="812" spans="1:9" s="3" customFormat="1" x14ac:dyDescent="0.3">
      <c r="A812" s="3" t="s">
        <v>40</v>
      </c>
      <c r="B812" s="3" t="s">
        <v>41</v>
      </c>
      <c r="C812" s="3" t="s">
        <v>60</v>
      </c>
      <c r="D812" s="3" t="s">
        <v>182</v>
      </c>
      <c r="E812" s="6">
        <v>0.38263888888888886</v>
      </c>
      <c r="F812" s="6">
        <v>0.72569444444444442</v>
      </c>
      <c r="G812" s="3" t="s">
        <v>13</v>
      </c>
      <c r="H812" s="3" t="s">
        <v>27</v>
      </c>
      <c r="I812" s="3" t="s">
        <v>15</v>
      </c>
    </row>
    <row r="813" spans="1:9" s="3" customFormat="1" x14ac:dyDescent="0.3">
      <c r="A813" s="3" t="s">
        <v>246</v>
      </c>
      <c r="B813" s="3" t="s">
        <v>247</v>
      </c>
      <c r="C813" s="3" t="s">
        <v>24</v>
      </c>
      <c r="D813" s="3" t="s">
        <v>169</v>
      </c>
      <c r="E813" s="6">
        <v>0.43402777777777779</v>
      </c>
      <c r="F813" s="6">
        <v>0.73611111111111116</v>
      </c>
      <c r="G813" s="3" t="s">
        <v>26</v>
      </c>
      <c r="H813" s="3" t="s">
        <v>14</v>
      </c>
      <c r="I813" s="3" t="s">
        <v>15</v>
      </c>
    </row>
    <row r="814" spans="1:9" s="3" customFormat="1" x14ac:dyDescent="0.3">
      <c r="A814" s="3" t="s">
        <v>246</v>
      </c>
      <c r="B814" s="3" t="s">
        <v>247</v>
      </c>
      <c r="C814" s="3" t="s">
        <v>11</v>
      </c>
      <c r="D814" s="3" t="s">
        <v>402</v>
      </c>
      <c r="E814" s="6">
        <v>0.38194444444444442</v>
      </c>
      <c r="F814" s="6">
        <v>0.8520833333333333</v>
      </c>
      <c r="G814" s="3" t="s">
        <v>13</v>
      </c>
      <c r="H814" s="3" t="s">
        <v>27</v>
      </c>
      <c r="I814" s="3" t="s">
        <v>21</v>
      </c>
    </row>
    <row r="815" spans="1:9" s="3" customFormat="1" x14ac:dyDescent="0.3">
      <c r="A815" s="3" t="s">
        <v>175</v>
      </c>
      <c r="B815" s="3" t="s">
        <v>176</v>
      </c>
      <c r="C815" s="3" t="s">
        <v>18</v>
      </c>
      <c r="D815" s="3" t="s">
        <v>199</v>
      </c>
      <c r="E815" s="6">
        <v>0.39583333333333331</v>
      </c>
      <c r="F815" s="6">
        <v>0.81180555555555556</v>
      </c>
      <c r="G815" s="3" t="s">
        <v>13</v>
      </c>
      <c r="H815" s="3" t="s">
        <v>27</v>
      </c>
      <c r="I815" s="3" t="s">
        <v>15</v>
      </c>
    </row>
    <row r="816" spans="1:9" s="3" customFormat="1" x14ac:dyDescent="0.3">
      <c r="A816" s="3" t="s">
        <v>216</v>
      </c>
      <c r="B816" s="3" t="s">
        <v>217</v>
      </c>
      <c r="C816" s="3" t="s">
        <v>24</v>
      </c>
      <c r="D816" s="3" t="s">
        <v>360</v>
      </c>
      <c r="E816" s="6">
        <v>0.37638888888888888</v>
      </c>
      <c r="F816" s="6">
        <v>0.86805555555555558</v>
      </c>
      <c r="G816" s="3" t="s">
        <v>26</v>
      </c>
      <c r="H816" s="3" t="s">
        <v>14</v>
      </c>
      <c r="I816" s="3" t="s">
        <v>15</v>
      </c>
    </row>
    <row r="817" spans="1:9" s="3" customFormat="1" x14ac:dyDescent="0.3">
      <c r="A817" s="3" t="s">
        <v>216</v>
      </c>
      <c r="B817" s="3" t="s">
        <v>217</v>
      </c>
      <c r="C817" s="3" t="s">
        <v>24</v>
      </c>
      <c r="D817" s="3" t="s">
        <v>320</v>
      </c>
      <c r="E817" s="6">
        <v>0.39791666666666664</v>
      </c>
      <c r="F817" s="6">
        <v>0.75069444444444444</v>
      </c>
      <c r="G817" s="3" t="s">
        <v>20</v>
      </c>
      <c r="H817" s="3" t="s">
        <v>27</v>
      </c>
      <c r="I817" s="3" t="s">
        <v>15</v>
      </c>
    </row>
    <row r="818" spans="1:9" s="3" customFormat="1" x14ac:dyDescent="0.3">
      <c r="A818" s="3" t="s">
        <v>269</v>
      </c>
      <c r="B818" s="3" t="s">
        <v>270</v>
      </c>
      <c r="C818" s="3" t="s">
        <v>18</v>
      </c>
      <c r="D818" s="3" t="s">
        <v>248</v>
      </c>
      <c r="E818" s="6">
        <v>0.36388888888888887</v>
      </c>
      <c r="F818" s="6">
        <v>0.7319444444444444</v>
      </c>
      <c r="G818" s="3" t="s">
        <v>26</v>
      </c>
      <c r="H818" s="3" t="s">
        <v>27</v>
      </c>
      <c r="I818" s="3" t="s">
        <v>21</v>
      </c>
    </row>
    <row r="819" spans="1:9" s="3" customFormat="1" x14ac:dyDescent="0.3">
      <c r="A819" s="3" t="s">
        <v>157</v>
      </c>
      <c r="B819" s="3" t="s">
        <v>158</v>
      </c>
      <c r="C819" s="3" t="s">
        <v>64</v>
      </c>
      <c r="D819" s="3" t="s">
        <v>321</v>
      </c>
      <c r="E819" s="6">
        <v>0.34791666666666665</v>
      </c>
      <c r="F819" s="6">
        <v>0.70277777777777772</v>
      </c>
      <c r="G819" s="3" t="s">
        <v>13</v>
      </c>
      <c r="H819" s="3" t="s">
        <v>27</v>
      </c>
      <c r="I819" s="3" t="s">
        <v>15</v>
      </c>
    </row>
    <row r="820" spans="1:9" s="3" customFormat="1" x14ac:dyDescent="0.3">
      <c r="A820" s="3" t="s">
        <v>119</v>
      </c>
      <c r="B820" s="3" t="s">
        <v>120</v>
      </c>
      <c r="C820" s="3" t="s">
        <v>18</v>
      </c>
      <c r="D820" s="3" t="s">
        <v>124</v>
      </c>
      <c r="E820" s="6"/>
      <c r="F820" s="6"/>
      <c r="G820" s="3" t="s">
        <v>44</v>
      </c>
      <c r="H820" s="3" t="s">
        <v>27</v>
      </c>
      <c r="I820" s="3" t="s">
        <v>15</v>
      </c>
    </row>
    <row r="821" spans="1:9" s="3" customFormat="1" x14ac:dyDescent="0.3">
      <c r="A821" s="3" t="s">
        <v>48</v>
      </c>
      <c r="B821" s="3" t="s">
        <v>49</v>
      </c>
      <c r="C821" s="3" t="s">
        <v>18</v>
      </c>
      <c r="D821" s="3" t="s">
        <v>277</v>
      </c>
      <c r="E821" s="6">
        <v>0.36041666666666666</v>
      </c>
      <c r="F821" s="6">
        <v>0.72152777777777777</v>
      </c>
      <c r="G821" s="3" t="s">
        <v>13</v>
      </c>
      <c r="H821" s="3" t="s">
        <v>14</v>
      </c>
      <c r="I821" s="3" t="s">
        <v>21</v>
      </c>
    </row>
    <row r="822" spans="1:9" s="3" customFormat="1" x14ac:dyDescent="0.3">
      <c r="A822" s="3" t="s">
        <v>112</v>
      </c>
      <c r="B822" s="3" t="s">
        <v>113</v>
      </c>
      <c r="C822" s="3" t="s">
        <v>18</v>
      </c>
      <c r="D822" s="3" t="s">
        <v>297</v>
      </c>
      <c r="E822" s="6">
        <v>0.33402777777777776</v>
      </c>
      <c r="F822" s="6">
        <v>0.71805555555555556</v>
      </c>
      <c r="G822" s="3" t="s">
        <v>26</v>
      </c>
      <c r="H822" s="3" t="s">
        <v>14</v>
      </c>
      <c r="I822" s="3" t="s">
        <v>21</v>
      </c>
    </row>
    <row r="823" spans="1:9" s="3" customFormat="1" x14ac:dyDescent="0.3">
      <c r="A823" s="3" t="s">
        <v>90</v>
      </c>
      <c r="B823" s="3" t="s">
        <v>91</v>
      </c>
      <c r="C823" s="3" t="s">
        <v>42</v>
      </c>
      <c r="D823" s="3" t="s">
        <v>245</v>
      </c>
      <c r="E823" s="6">
        <v>0.3923611111111111</v>
      </c>
      <c r="F823" s="6">
        <v>0.8305555555555556</v>
      </c>
      <c r="G823" s="3" t="s">
        <v>26</v>
      </c>
      <c r="H823" s="3" t="s">
        <v>14</v>
      </c>
      <c r="I823" s="3" t="s">
        <v>15</v>
      </c>
    </row>
    <row r="824" spans="1:9" s="3" customFormat="1" x14ac:dyDescent="0.3">
      <c r="A824" s="3" t="s">
        <v>52</v>
      </c>
      <c r="B824" s="3" t="s">
        <v>53</v>
      </c>
      <c r="C824" s="3" t="s">
        <v>60</v>
      </c>
      <c r="D824" s="3" t="s">
        <v>367</v>
      </c>
      <c r="E824" s="6">
        <v>0.37986111111111109</v>
      </c>
      <c r="F824" s="6">
        <v>0.7583333333333333</v>
      </c>
      <c r="G824" s="3" t="s">
        <v>13</v>
      </c>
      <c r="H824" s="3" t="s">
        <v>14</v>
      </c>
      <c r="I824" s="3" t="s">
        <v>21</v>
      </c>
    </row>
    <row r="825" spans="1:9" s="3" customFormat="1" x14ac:dyDescent="0.3">
      <c r="A825" s="3" t="s">
        <v>45</v>
      </c>
      <c r="B825" s="3" t="s">
        <v>46</v>
      </c>
      <c r="C825" s="3" t="s">
        <v>18</v>
      </c>
      <c r="D825" s="3" t="s">
        <v>333</v>
      </c>
      <c r="E825" s="6">
        <v>0.46666666666666667</v>
      </c>
      <c r="F825" s="6">
        <v>0.87430555555555556</v>
      </c>
      <c r="G825" s="3" t="s">
        <v>13</v>
      </c>
      <c r="H825" s="3" t="s">
        <v>27</v>
      </c>
      <c r="I825" s="3" t="s">
        <v>21</v>
      </c>
    </row>
    <row r="826" spans="1:9" s="3" customFormat="1" x14ac:dyDescent="0.3">
      <c r="A826" s="3" t="s">
        <v>250</v>
      </c>
      <c r="B826" s="3" t="s">
        <v>251</v>
      </c>
      <c r="C826" s="3" t="s">
        <v>60</v>
      </c>
      <c r="D826" s="3" t="s">
        <v>342</v>
      </c>
      <c r="E826" s="6">
        <v>0.36944444444444446</v>
      </c>
      <c r="F826" s="6">
        <v>0.83958333333333335</v>
      </c>
      <c r="G826" s="3" t="s">
        <v>26</v>
      </c>
      <c r="H826" s="3" t="s">
        <v>27</v>
      </c>
      <c r="I826" s="3" t="s">
        <v>15</v>
      </c>
    </row>
    <row r="827" spans="1:9" s="3" customFormat="1" x14ac:dyDescent="0.3">
      <c r="A827" s="3" t="s">
        <v>187</v>
      </c>
      <c r="B827" s="3" t="s">
        <v>188</v>
      </c>
      <c r="C827" s="3" t="s">
        <v>18</v>
      </c>
      <c r="D827" s="3" t="s">
        <v>370</v>
      </c>
      <c r="E827" s="6">
        <v>0.36388888888888887</v>
      </c>
      <c r="F827" s="6">
        <v>0.87291666666666667</v>
      </c>
      <c r="G827" s="3" t="s">
        <v>26</v>
      </c>
      <c r="H827" s="3" t="s">
        <v>27</v>
      </c>
      <c r="I827" s="3" t="s">
        <v>21</v>
      </c>
    </row>
    <row r="828" spans="1:9" s="3" customFormat="1" x14ac:dyDescent="0.3">
      <c r="A828" s="3" t="s">
        <v>236</v>
      </c>
      <c r="B828" s="3" t="s">
        <v>237</v>
      </c>
      <c r="C828" s="3" t="s">
        <v>60</v>
      </c>
      <c r="D828" s="3" t="s">
        <v>277</v>
      </c>
      <c r="E828" s="6">
        <v>0.46388888888888891</v>
      </c>
      <c r="F828" s="6">
        <v>0.69652777777777775</v>
      </c>
      <c r="G828" s="3" t="s">
        <v>13</v>
      </c>
      <c r="H828" s="3" t="s">
        <v>14</v>
      </c>
      <c r="I828" s="3" t="s">
        <v>21</v>
      </c>
    </row>
    <row r="829" spans="1:9" s="3" customFormat="1" x14ac:dyDescent="0.3">
      <c r="A829" s="3" t="s">
        <v>146</v>
      </c>
      <c r="B829" s="3" t="s">
        <v>147</v>
      </c>
      <c r="C829" s="3" t="s">
        <v>60</v>
      </c>
      <c r="D829" s="3" t="s">
        <v>319</v>
      </c>
      <c r="E829" s="6">
        <v>0.46527777777777779</v>
      </c>
      <c r="F829" s="6">
        <v>0.79097222222222219</v>
      </c>
      <c r="G829" s="3" t="s">
        <v>13</v>
      </c>
      <c r="H829" s="3" t="s">
        <v>27</v>
      </c>
      <c r="I829" s="3" t="s">
        <v>21</v>
      </c>
    </row>
    <row r="830" spans="1:9" s="3" customFormat="1" x14ac:dyDescent="0.3">
      <c r="A830" s="3" t="s">
        <v>72</v>
      </c>
      <c r="B830" s="3" t="s">
        <v>73</v>
      </c>
      <c r="C830" s="3" t="s">
        <v>42</v>
      </c>
      <c r="D830" s="3" t="s">
        <v>399</v>
      </c>
      <c r="E830" s="6">
        <v>0.46875</v>
      </c>
      <c r="F830" s="6">
        <v>0.84722222222222221</v>
      </c>
      <c r="G830" s="3" t="s">
        <v>26</v>
      </c>
      <c r="H830" s="3" t="s">
        <v>27</v>
      </c>
      <c r="I830" s="3" t="s">
        <v>21</v>
      </c>
    </row>
    <row r="831" spans="1:9" s="3" customFormat="1" x14ac:dyDescent="0.3">
      <c r="A831" s="3" t="s">
        <v>269</v>
      </c>
      <c r="B831" s="3" t="s">
        <v>270</v>
      </c>
      <c r="C831" s="3" t="s">
        <v>24</v>
      </c>
      <c r="D831" s="3" t="s">
        <v>254</v>
      </c>
      <c r="E831" s="6">
        <v>0.40833333333333333</v>
      </c>
      <c r="F831" s="6">
        <v>0.69930555555555551</v>
      </c>
      <c r="G831" s="3" t="s">
        <v>170</v>
      </c>
      <c r="H831" s="3" t="s">
        <v>27</v>
      </c>
      <c r="I831" s="3" t="s">
        <v>21</v>
      </c>
    </row>
    <row r="832" spans="1:9" s="3" customFormat="1" x14ac:dyDescent="0.3">
      <c r="A832" s="3" t="s">
        <v>66</v>
      </c>
      <c r="B832" s="3" t="s">
        <v>67</v>
      </c>
      <c r="C832" s="3" t="s">
        <v>60</v>
      </c>
      <c r="D832" s="3" t="s">
        <v>336</v>
      </c>
      <c r="E832" s="6">
        <v>0.34583333333333333</v>
      </c>
      <c r="F832" s="6">
        <v>0.84444444444444444</v>
      </c>
      <c r="G832" s="3" t="s">
        <v>13</v>
      </c>
      <c r="H832" s="3" t="s">
        <v>14</v>
      </c>
      <c r="I832" s="3" t="s">
        <v>21</v>
      </c>
    </row>
    <row r="833" spans="1:9" s="3" customFormat="1" x14ac:dyDescent="0.3">
      <c r="A833" s="3" t="s">
        <v>338</v>
      </c>
      <c r="B833" s="3" t="s">
        <v>339</v>
      </c>
      <c r="C833" s="3" t="s">
        <v>18</v>
      </c>
      <c r="D833" s="3" t="s">
        <v>352</v>
      </c>
      <c r="E833" s="6"/>
      <c r="F833" s="6"/>
      <c r="G833" s="3" t="s">
        <v>44</v>
      </c>
      <c r="H833" s="3" t="s">
        <v>14</v>
      </c>
      <c r="I833" s="3" t="s">
        <v>21</v>
      </c>
    </row>
    <row r="834" spans="1:9" s="3" customFormat="1" x14ac:dyDescent="0.3">
      <c r="A834" s="3" t="s">
        <v>250</v>
      </c>
      <c r="B834" s="3" t="s">
        <v>251</v>
      </c>
      <c r="C834" s="3" t="s">
        <v>11</v>
      </c>
      <c r="D834" s="3" t="s">
        <v>350</v>
      </c>
      <c r="E834" s="6">
        <v>0.39305555555555555</v>
      </c>
      <c r="F834" s="6">
        <v>0.82916666666666672</v>
      </c>
      <c r="G834" s="3" t="s">
        <v>170</v>
      </c>
      <c r="H834" s="3" t="s">
        <v>14</v>
      </c>
      <c r="I834" s="3" t="s">
        <v>21</v>
      </c>
    </row>
    <row r="835" spans="1:9" s="3" customFormat="1" x14ac:dyDescent="0.3">
      <c r="A835" s="3" t="s">
        <v>45</v>
      </c>
      <c r="B835" s="3" t="s">
        <v>46</v>
      </c>
      <c r="C835" s="3" t="s">
        <v>60</v>
      </c>
      <c r="D835" s="3" t="s">
        <v>287</v>
      </c>
      <c r="E835" s="6">
        <v>0.35555555555555557</v>
      </c>
      <c r="F835" s="6">
        <v>0.71944444444444444</v>
      </c>
      <c r="G835" s="3" t="s">
        <v>20</v>
      </c>
      <c r="H835" s="3" t="s">
        <v>27</v>
      </c>
      <c r="I835" s="3" t="s">
        <v>15</v>
      </c>
    </row>
    <row r="836" spans="1:9" s="3" customFormat="1" x14ac:dyDescent="0.3">
      <c r="A836" s="3" t="s">
        <v>55</v>
      </c>
      <c r="B836" s="3" t="s">
        <v>56</v>
      </c>
      <c r="C836" s="3" t="s">
        <v>18</v>
      </c>
      <c r="D836" s="3" t="s">
        <v>117</v>
      </c>
      <c r="E836" s="6">
        <v>0.33541666666666664</v>
      </c>
      <c r="F836" s="6">
        <v>0.80972222222222223</v>
      </c>
      <c r="G836" s="3" t="s">
        <v>26</v>
      </c>
      <c r="H836" s="3" t="s">
        <v>14</v>
      </c>
      <c r="I836" s="3" t="s">
        <v>21</v>
      </c>
    </row>
    <row r="837" spans="1:9" s="3" customFormat="1" x14ac:dyDescent="0.3">
      <c r="A837" s="3" t="s">
        <v>16</v>
      </c>
      <c r="B837" s="3" t="s">
        <v>17</v>
      </c>
      <c r="C837" s="3" t="s">
        <v>24</v>
      </c>
      <c r="D837" s="3" t="s">
        <v>281</v>
      </c>
      <c r="E837" s="6"/>
      <c r="F837" s="6"/>
      <c r="G837" s="3" t="s">
        <v>44</v>
      </c>
      <c r="H837" s="3" t="s">
        <v>27</v>
      </c>
      <c r="I837" s="3" t="s">
        <v>15</v>
      </c>
    </row>
    <row r="838" spans="1:9" s="3" customFormat="1" x14ac:dyDescent="0.3">
      <c r="A838" s="3" t="s">
        <v>90</v>
      </c>
      <c r="B838" s="3" t="s">
        <v>91</v>
      </c>
      <c r="C838" s="3" t="s">
        <v>42</v>
      </c>
      <c r="D838" s="3" t="s">
        <v>206</v>
      </c>
      <c r="E838" s="6">
        <v>0.40902777777777777</v>
      </c>
      <c r="F838" s="6">
        <v>0.87291666666666667</v>
      </c>
      <c r="G838" s="3" t="s">
        <v>26</v>
      </c>
      <c r="H838" s="3" t="s">
        <v>14</v>
      </c>
      <c r="I838" s="3" t="s">
        <v>21</v>
      </c>
    </row>
    <row r="839" spans="1:9" s="3" customFormat="1" x14ac:dyDescent="0.3">
      <c r="A839" s="3" t="s">
        <v>200</v>
      </c>
      <c r="B839" s="3" t="s">
        <v>201</v>
      </c>
      <c r="C839" s="3" t="s">
        <v>64</v>
      </c>
      <c r="D839" s="3" t="s">
        <v>283</v>
      </c>
      <c r="E839" s="6"/>
      <c r="F839" s="6"/>
      <c r="G839" s="3" t="s">
        <v>44</v>
      </c>
      <c r="H839" s="3" t="s">
        <v>27</v>
      </c>
      <c r="I839" s="3" t="s">
        <v>21</v>
      </c>
    </row>
    <row r="840" spans="1:9" s="3" customFormat="1" x14ac:dyDescent="0.3">
      <c r="A840" s="3" t="s">
        <v>99</v>
      </c>
      <c r="B840" s="3" t="s">
        <v>100</v>
      </c>
      <c r="C840" s="3" t="s">
        <v>42</v>
      </c>
      <c r="D840" s="3" t="s">
        <v>83</v>
      </c>
      <c r="E840" s="6">
        <v>0.39513888888888887</v>
      </c>
      <c r="F840" s="6">
        <v>0.68333333333333335</v>
      </c>
      <c r="G840" s="3" t="s">
        <v>26</v>
      </c>
      <c r="H840" s="3" t="s">
        <v>27</v>
      </c>
      <c r="I840" s="3" t="s">
        <v>21</v>
      </c>
    </row>
    <row r="841" spans="1:9" s="3" customFormat="1" x14ac:dyDescent="0.3">
      <c r="A841" s="3" t="s">
        <v>204</v>
      </c>
      <c r="B841" s="3" t="s">
        <v>205</v>
      </c>
      <c r="C841" s="3" t="s">
        <v>24</v>
      </c>
      <c r="D841" s="3" t="s">
        <v>266</v>
      </c>
      <c r="E841" s="6">
        <v>0.46944444444444444</v>
      </c>
      <c r="F841" s="6">
        <v>0.76388888888888884</v>
      </c>
      <c r="G841" s="3" t="s">
        <v>26</v>
      </c>
      <c r="H841" s="3" t="s">
        <v>14</v>
      </c>
      <c r="I841" s="3" t="s">
        <v>15</v>
      </c>
    </row>
    <row r="842" spans="1:9" s="3" customFormat="1" x14ac:dyDescent="0.3">
      <c r="A842" s="3" t="s">
        <v>130</v>
      </c>
      <c r="B842" s="3" t="s">
        <v>131</v>
      </c>
      <c r="C842" s="3" t="s">
        <v>24</v>
      </c>
      <c r="D842" s="3" t="s">
        <v>325</v>
      </c>
      <c r="E842" s="6">
        <v>0.33888888888888891</v>
      </c>
      <c r="F842" s="6">
        <v>0.76111111111111107</v>
      </c>
      <c r="G842" s="3" t="s">
        <v>20</v>
      </c>
      <c r="H842" s="3" t="s">
        <v>27</v>
      </c>
      <c r="I842" s="3" t="s">
        <v>15</v>
      </c>
    </row>
    <row r="843" spans="1:9" s="3" customFormat="1" x14ac:dyDescent="0.3">
      <c r="A843" s="3" t="s">
        <v>141</v>
      </c>
      <c r="B843" s="3" t="s">
        <v>142</v>
      </c>
      <c r="C843" s="3" t="s">
        <v>60</v>
      </c>
      <c r="D843" s="3" t="s">
        <v>330</v>
      </c>
      <c r="E843" s="6">
        <v>0.46805555555555556</v>
      </c>
      <c r="F843" s="6">
        <v>0.71111111111111114</v>
      </c>
      <c r="G843" s="3" t="s">
        <v>26</v>
      </c>
      <c r="H843" s="3" t="s">
        <v>14</v>
      </c>
      <c r="I843" s="3" t="s">
        <v>21</v>
      </c>
    </row>
    <row r="844" spans="1:9" s="3" customFormat="1" x14ac:dyDescent="0.3">
      <c r="A844" s="3" t="s">
        <v>66</v>
      </c>
      <c r="B844" s="3" t="s">
        <v>67</v>
      </c>
      <c r="C844" s="3" t="s">
        <v>64</v>
      </c>
      <c r="D844" s="3" t="s">
        <v>145</v>
      </c>
      <c r="E844" s="6">
        <v>0.43333333333333335</v>
      </c>
      <c r="F844" s="6">
        <v>0.75486111111111109</v>
      </c>
      <c r="G844" s="3" t="s">
        <v>20</v>
      </c>
      <c r="H844" s="3" t="s">
        <v>14</v>
      </c>
      <c r="I844" s="3" t="s">
        <v>15</v>
      </c>
    </row>
    <row r="845" spans="1:9" s="3" customFormat="1" x14ac:dyDescent="0.3">
      <c r="A845" s="3" t="s">
        <v>165</v>
      </c>
      <c r="B845" s="3" t="s">
        <v>166</v>
      </c>
      <c r="C845" s="3" t="s">
        <v>42</v>
      </c>
      <c r="D845" s="3" t="s">
        <v>377</v>
      </c>
      <c r="E845" s="6"/>
      <c r="F845" s="6"/>
      <c r="G845" s="3" t="s">
        <v>44</v>
      </c>
      <c r="H845" s="3" t="s">
        <v>27</v>
      </c>
      <c r="I845" s="3" t="s">
        <v>21</v>
      </c>
    </row>
    <row r="846" spans="1:9" s="3" customFormat="1" x14ac:dyDescent="0.3">
      <c r="A846" s="3" t="s">
        <v>55</v>
      </c>
      <c r="B846" s="3" t="s">
        <v>56</v>
      </c>
      <c r="C846" s="3" t="s">
        <v>143</v>
      </c>
      <c r="D846" s="3" t="s">
        <v>183</v>
      </c>
      <c r="E846" s="6">
        <v>0.37291666666666667</v>
      </c>
      <c r="F846" s="6">
        <v>0.7</v>
      </c>
      <c r="G846" s="3" t="s">
        <v>26</v>
      </c>
      <c r="H846" s="3" t="s">
        <v>14</v>
      </c>
      <c r="I846" s="3" t="s">
        <v>15</v>
      </c>
    </row>
    <row r="847" spans="1:9" s="3" customFormat="1" x14ac:dyDescent="0.3">
      <c r="A847" s="3" t="s">
        <v>99</v>
      </c>
      <c r="B847" s="3" t="s">
        <v>100</v>
      </c>
      <c r="C847" s="3" t="s">
        <v>42</v>
      </c>
      <c r="D847" s="3" t="s">
        <v>327</v>
      </c>
      <c r="E847" s="6">
        <v>0.44027777777777777</v>
      </c>
      <c r="F847" s="6">
        <v>0.74097222222222225</v>
      </c>
      <c r="G847" s="3" t="s">
        <v>20</v>
      </c>
      <c r="H847" s="3" t="s">
        <v>27</v>
      </c>
      <c r="I847" s="3" t="s">
        <v>21</v>
      </c>
    </row>
    <row r="848" spans="1:9" s="3" customFormat="1" x14ac:dyDescent="0.3">
      <c r="A848" s="3" t="s">
        <v>66</v>
      </c>
      <c r="B848" s="3" t="s">
        <v>67</v>
      </c>
      <c r="C848" s="3" t="s">
        <v>167</v>
      </c>
      <c r="D848" s="3" t="s">
        <v>189</v>
      </c>
      <c r="E848" s="6">
        <v>0.49583333333333335</v>
      </c>
      <c r="F848" s="6">
        <v>0.8208333333333333</v>
      </c>
      <c r="G848" s="3" t="s">
        <v>26</v>
      </c>
      <c r="H848" s="3" t="s">
        <v>14</v>
      </c>
      <c r="I848" s="3" t="s">
        <v>15</v>
      </c>
    </row>
    <row r="849" spans="1:9" s="3" customFormat="1" x14ac:dyDescent="0.3">
      <c r="A849" s="3" t="s">
        <v>200</v>
      </c>
      <c r="B849" s="3" t="s">
        <v>201</v>
      </c>
      <c r="C849" s="3" t="s">
        <v>64</v>
      </c>
      <c r="D849" s="3" t="s">
        <v>98</v>
      </c>
      <c r="E849" s="6">
        <v>0.49166666666666664</v>
      </c>
      <c r="F849" s="6">
        <v>0.82499999999999996</v>
      </c>
      <c r="G849" s="3" t="s">
        <v>26</v>
      </c>
      <c r="H849" s="3" t="s">
        <v>14</v>
      </c>
      <c r="I849" s="3" t="s">
        <v>15</v>
      </c>
    </row>
    <row r="850" spans="1:9" s="3" customFormat="1" x14ac:dyDescent="0.3">
      <c r="A850" s="3" t="s">
        <v>250</v>
      </c>
      <c r="B850" s="3" t="s">
        <v>251</v>
      </c>
      <c r="C850" s="3" t="s">
        <v>18</v>
      </c>
      <c r="D850" s="3" t="s">
        <v>314</v>
      </c>
      <c r="E850" s="6">
        <v>0.4597222222222222</v>
      </c>
      <c r="F850" s="6">
        <v>0.7944444444444444</v>
      </c>
      <c r="G850" s="3" t="s">
        <v>20</v>
      </c>
      <c r="H850" s="3" t="s">
        <v>27</v>
      </c>
      <c r="I850" s="3" t="s">
        <v>15</v>
      </c>
    </row>
    <row r="851" spans="1:9" s="3" customFormat="1" x14ac:dyDescent="0.3">
      <c r="A851" s="3" t="s">
        <v>9</v>
      </c>
      <c r="B851" s="3" t="s">
        <v>10</v>
      </c>
      <c r="C851" s="3" t="s">
        <v>18</v>
      </c>
      <c r="D851" s="3" t="s">
        <v>294</v>
      </c>
      <c r="E851" s="6">
        <v>0.40902777777777777</v>
      </c>
      <c r="F851" s="6">
        <v>0.71805555555555556</v>
      </c>
      <c r="G851" s="3" t="s">
        <v>20</v>
      </c>
      <c r="H851" s="3" t="s">
        <v>14</v>
      </c>
      <c r="I851" s="3" t="s">
        <v>15</v>
      </c>
    </row>
    <row r="852" spans="1:9" s="3" customFormat="1" x14ac:dyDescent="0.3">
      <c r="A852" s="3" t="s">
        <v>81</v>
      </c>
      <c r="B852" s="3" t="s">
        <v>82</v>
      </c>
      <c r="C852" s="3" t="s">
        <v>24</v>
      </c>
      <c r="D852" s="3" t="s">
        <v>282</v>
      </c>
      <c r="E852" s="6"/>
      <c r="F852" s="6"/>
      <c r="G852" s="3" t="s">
        <v>44</v>
      </c>
      <c r="H852" s="3" t="s">
        <v>27</v>
      </c>
      <c r="I852" s="3" t="s">
        <v>21</v>
      </c>
    </row>
    <row r="853" spans="1:9" s="3" customFormat="1" x14ac:dyDescent="0.3">
      <c r="A853" s="3" t="s">
        <v>200</v>
      </c>
      <c r="B853" s="3" t="s">
        <v>201</v>
      </c>
      <c r="C853" s="3" t="s">
        <v>42</v>
      </c>
      <c r="D853" s="3" t="s">
        <v>289</v>
      </c>
      <c r="E853" s="6">
        <v>0.40486111111111112</v>
      </c>
      <c r="F853" s="6">
        <v>0.87222222222222223</v>
      </c>
      <c r="G853" s="3" t="s">
        <v>13</v>
      </c>
      <c r="H853" s="3" t="s">
        <v>14</v>
      </c>
      <c r="I853" s="3" t="s">
        <v>21</v>
      </c>
    </row>
    <row r="854" spans="1:9" s="3" customFormat="1" x14ac:dyDescent="0.3">
      <c r="A854" s="3" t="s">
        <v>58</v>
      </c>
      <c r="B854" s="3" t="s">
        <v>59</v>
      </c>
      <c r="C854" s="3" t="s">
        <v>64</v>
      </c>
      <c r="D854" s="3" t="s">
        <v>210</v>
      </c>
      <c r="E854" s="6">
        <v>0.40625</v>
      </c>
      <c r="F854" s="6">
        <v>0.7104166666666667</v>
      </c>
      <c r="G854" s="3" t="s">
        <v>20</v>
      </c>
      <c r="H854" s="3" t="s">
        <v>14</v>
      </c>
      <c r="I854" s="3" t="s">
        <v>21</v>
      </c>
    </row>
    <row r="855" spans="1:9" s="3" customFormat="1" x14ac:dyDescent="0.3">
      <c r="A855" s="3" t="s">
        <v>93</v>
      </c>
      <c r="B855" s="3" t="s">
        <v>94</v>
      </c>
      <c r="C855" s="3" t="s">
        <v>60</v>
      </c>
      <c r="D855" s="3" t="s">
        <v>407</v>
      </c>
      <c r="E855" s="6"/>
      <c r="F855" s="6"/>
      <c r="G855" s="3" t="s">
        <v>44</v>
      </c>
      <c r="H855" s="3" t="s">
        <v>14</v>
      </c>
      <c r="I855" s="3" t="s">
        <v>15</v>
      </c>
    </row>
    <row r="856" spans="1:9" s="3" customFormat="1" x14ac:dyDescent="0.3">
      <c r="A856" s="3" t="s">
        <v>191</v>
      </c>
      <c r="B856" s="3" t="s">
        <v>192</v>
      </c>
      <c r="C856" s="3" t="s">
        <v>60</v>
      </c>
      <c r="D856" s="3" t="s">
        <v>83</v>
      </c>
      <c r="E856" s="6">
        <v>0.43402777777777779</v>
      </c>
      <c r="F856" s="6">
        <v>0.78125</v>
      </c>
      <c r="G856" s="3" t="s">
        <v>13</v>
      </c>
      <c r="H856" s="3" t="s">
        <v>27</v>
      </c>
      <c r="I856" s="3" t="s">
        <v>15</v>
      </c>
    </row>
    <row r="857" spans="1:9" s="3" customFormat="1" x14ac:dyDescent="0.3">
      <c r="A857" s="3" t="s">
        <v>194</v>
      </c>
      <c r="B857" s="3" t="s">
        <v>195</v>
      </c>
      <c r="C857" s="3" t="s">
        <v>24</v>
      </c>
      <c r="D857" s="3" t="s">
        <v>169</v>
      </c>
      <c r="E857" s="6">
        <v>0.33541666666666664</v>
      </c>
      <c r="F857" s="6">
        <v>0.83402777777777781</v>
      </c>
      <c r="G857" s="3" t="s">
        <v>26</v>
      </c>
      <c r="H857" s="3" t="s">
        <v>27</v>
      </c>
      <c r="I857" s="3" t="s">
        <v>15</v>
      </c>
    </row>
    <row r="858" spans="1:9" s="3" customFormat="1" x14ac:dyDescent="0.3">
      <c r="A858" s="3" t="s">
        <v>72</v>
      </c>
      <c r="B858" s="3" t="s">
        <v>73</v>
      </c>
      <c r="C858" s="3" t="s">
        <v>42</v>
      </c>
      <c r="D858" s="3" t="s">
        <v>318</v>
      </c>
      <c r="E858" s="6"/>
      <c r="F858" s="6"/>
      <c r="G858" s="3" t="s">
        <v>44</v>
      </c>
      <c r="H858" s="3" t="s">
        <v>27</v>
      </c>
      <c r="I858" s="3" t="s">
        <v>21</v>
      </c>
    </row>
    <row r="859" spans="1:9" s="3" customFormat="1" x14ac:dyDescent="0.3">
      <c r="A859" s="3" t="s">
        <v>362</v>
      </c>
      <c r="B859" s="3" t="s">
        <v>363</v>
      </c>
      <c r="C859" s="3" t="s">
        <v>24</v>
      </c>
      <c r="D859" s="3" t="s">
        <v>309</v>
      </c>
      <c r="E859" s="6">
        <v>0.38541666666666669</v>
      </c>
      <c r="F859" s="6">
        <v>0.79583333333333328</v>
      </c>
      <c r="G859" s="3" t="s">
        <v>26</v>
      </c>
      <c r="H859" s="3" t="s">
        <v>27</v>
      </c>
      <c r="I859" s="3" t="s">
        <v>15</v>
      </c>
    </row>
    <row r="860" spans="1:9" s="3" customFormat="1" x14ac:dyDescent="0.3">
      <c r="A860" s="3" t="s">
        <v>72</v>
      </c>
      <c r="B860" s="3" t="s">
        <v>73</v>
      </c>
      <c r="C860" s="3" t="s">
        <v>60</v>
      </c>
      <c r="D860" s="3" t="s">
        <v>302</v>
      </c>
      <c r="E860" s="6">
        <v>0.43680555555555556</v>
      </c>
      <c r="F860" s="6">
        <v>0.69166666666666665</v>
      </c>
      <c r="G860" s="3" t="s">
        <v>13</v>
      </c>
      <c r="H860" s="3" t="s">
        <v>14</v>
      </c>
      <c r="I860" s="3" t="s">
        <v>15</v>
      </c>
    </row>
    <row r="861" spans="1:9" s="3" customFormat="1" x14ac:dyDescent="0.3">
      <c r="A861" s="3" t="s">
        <v>28</v>
      </c>
      <c r="B861" s="3" t="s">
        <v>29</v>
      </c>
      <c r="C861" s="3" t="s">
        <v>18</v>
      </c>
      <c r="D861" s="3" t="s">
        <v>47</v>
      </c>
      <c r="E861" s="6"/>
      <c r="F861" s="6"/>
      <c r="G861" s="3" t="s">
        <v>125</v>
      </c>
      <c r="H861" s="3" t="s">
        <v>27</v>
      </c>
      <c r="I861" s="3" t="s">
        <v>21</v>
      </c>
    </row>
    <row r="862" spans="1:9" s="3" customFormat="1" x14ac:dyDescent="0.3">
      <c r="A862" s="3" t="s">
        <v>250</v>
      </c>
      <c r="B862" s="3" t="s">
        <v>251</v>
      </c>
      <c r="C862" s="3" t="s">
        <v>42</v>
      </c>
      <c r="D862" s="3" t="s">
        <v>364</v>
      </c>
      <c r="E862" s="6">
        <v>0.37083333333333335</v>
      </c>
      <c r="F862" s="6">
        <v>0.82708333333333328</v>
      </c>
      <c r="G862" s="3" t="s">
        <v>20</v>
      </c>
      <c r="H862" s="3" t="s">
        <v>27</v>
      </c>
      <c r="I862" s="3" t="s">
        <v>15</v>
      </c>
    </row>
    <row r="863" spans="1:9" s="3" customFormat="1" x14ac:dyDescent="0.3">
      <c r="A863" s="3" t="s">
        <v>93</v>
      </c>
      <c r="B863" s="3" t="s">
        <v>94</v>
      </c>
      <c r="C863" s="3" t="s">
        <v>24</v>
      </c>
      <c r="D863" s="3" t="s">
        <v>399</v>
      </c>
      <c r="E863" s="6">
        <v>0.46736111111111112</v>
      </c>
      <c r="F863" s="6">
        <v>0.82847222222222228</v>
      </c>
      <c r="G863" s="3" t="s">
        <v>13</v>
      </c>
      <c r="H863" s="3" t="s">
        <v>27</v>
      </c>
      <c r="I863" s="3" t="s">
        <v>15</v>
      </c>
    </row>
    <row r="864" spans="1:9" s="3" customFormat="1" x14ac:dyDescent="0.3">
      <c r="A864" s="3" t="s">
        <v>154</v>
      </c>
      <c r="B864" s="3" t="s">
        <v>155</v>
      </c>
      <c r="C864" s="3" t="s">
        <v>64</v>
      </c>
      <c r="D864" s="3" t="s">
        <v>212</v>
      </c>
      <c r="E864" s="6">
        <v>0.45694444444444443</v>
      </c>
      <c r="F864" s="6">
        <v>0.85902777777777772</v>
      </c>
      <c r="G864" s="3" t="s">
        <v>26</v>
      </c>
      <c r="H864" s="3" t="s">
        <v>14</v>
      </c>
      <c r="I864" s="3" t="s">
        <v>15</v>
      </c>
    </row>
    <row r="865" spans="1:9" s="3" customFormat="1" x14ac:dyDescent="0.3">
      <c r="A865" s="3" t="s">
        <v>146</v>
      </c>
      <c r="B865" s="3" t="s">
        <v>147</v>
      </c>
      <c r="C865" s="3" t="s">
        <v>60</v>
      </c>
      <c r="D865" s="3" t="s">
        <v>259</v>
      </c>
      <c r="E865" s="6">
        <v>0.49166666666666664</v>
      </c>
      <c r="F865" s="6">
        <v>0.73888888888888893</v>
      </c>
      <c r="G865" s="3" t="s">
        <v>26</v>
      </c>
      <c r="H865" s="3" t="s">
        <v>27</v>
      </c>
      <c r="I865" s="3" t="s">
        <v>21</v>
      </c>
    </row>
    <row r="866" spans="1:9" s="3" customFormat="1" x14ac:dyDescent="0.3">
      <c r="A866" s="3" t="s">
        <v>216</v>
      </c>
      <c r="B866" s="3" t="s">
        <v>217</v>
      </c>
      <c r="C866" s="3" t="s">
        <v>24</v>
      </c>
      <c r="D866" s="3" t="s">
        <v>129</v>
      </c>
      <c r="E866" s="6">
        <v>0.35347222222222224</v>
      </c>
      <c r="F866" s="6">
        <v>0.84305555555555556</v>
      </c>
      <c r="G866" s="3" t="s">
        <v>149</v>
      </c>
      <c r="H866" s="3" t="s">
        <v>27</v>
      </c>
      <c r="I866" s="3" t="s">
        <v>15</v>
      </c>
    </row>
    <row r="867" spans="1:9" s="3" customFormat="1" x14ac:dyDescent="0.3">
      <c r="A867" s="3" t="s">
        <v>150</v>
      </c>
      <c r="B867" s="3" t="s">
        <v>151</v>
      </c>
      <c r="C867" s="3" t="s">
        <v>42</v>
      </c>
      <c r="D867" s="3" t="s">
        <v>43</v>
      </c>
      <c r="E867" s="6"/>
      <c r="F867" s="6"/>
      <c r="G867" s="3" t="s">
        <v>44</v>
      </c>
      <c r="H867" s="3" t="s">
        <v>27</v>
      </c>
      <c r="I867" s="3" t="s">
        <v>15</v>
      </c>
    </row>
    <row r="868" spans="1:9" s="3" customFormat="1" x14ac:dyDescent="0.3">
      <c r="A868" s="3" t="s">
        <v>216</v>
      </c>
      <c r="B868" s="3" t="s">
        <v>217</v>
      </c>
      <c r="C868" s="3" t="s">
        <v>60</v>
      </c>
      <c r="D868" s="3" t="s">
        <v>394</v>
      </c>
      <c r="E868" s="6">
        <v>0.34305555555555556</v>
      </c>
      <c r="F868" s="6">
        <v>0.79027777777777775</v>
      </c>
      <c r="G868" s="3" t="s">
        <v>125</v>
      </c>
      <c r="H868" s="3" t="s">
        <v>14</v>
      </c>
      <c r="I868" s="3" t="s">
        <v>15</v>
      </c>
    </row>
    <row r="869" spans="1:9" s="3" customFormat="1" x14ac:dyDescent="0.3">
      <c r="A869" s="3" t="s">
        <v>87</v>
      </c>
      <c r="B869" s="3" t="s">
        <v>88</v>
      </c>
      <c r="C869" s="3" t="s">
        <v>60</v>
      </c>
      <c r="D869" s="3" t="s">
        <v>289</v>
      </c>
      <c r="E869" s="6">
        <v>0.40138888888888891</v>
      </c>
      <c r="F869" s="6">
        <v>0.73888888888888893</v>
      </c>
      <c r="G869" s="3" t="s">
        <v>13</v>
      </c>
      <c r="H869" s="3" t="s">
        <v>14</v>
      </c>
      <c r="I869" s="3" t="s">
        <v>21</v>
      </c>
    </row>
    <row r="870" spans="1:9" s="3" customFormat="1" x14ac:dyDescent="0.3">
      <c r="A870" s="3" t="s">
        <v>37</v>
      </c>
      <c r="B870" s="3" t="s">
        <v>38</v>
      </c>
      <c r="C870" s="3" t="s">
        <v>42</v>
      </c>
      <c r="D870" s="3" t="s">
        <v>83</v>
      </c>
      <c r="E870" s="6"/>
      <c r="F870" s="6"/>
      <c r="G870" s="3" t="s">
        <v>44</v>
      </c>
      <c r="H870" s="3" t="s">
        <v>27</v>
      </c>
      <c r="I870" s="3" t="s">
        <v>21</v>
      </c>
    </row>
    <row r="871" spans="1:9" s="3" customFormat="1" x14ac:dyDescent="0.3">
      <c r="A871" s="3" t="s">
        <v>130</v>
      </c>
      <c r="B871" s="3" t="s">
        <v>131</v>
      </c>
      <c r="C871" s="3" t="s">
        <v>42</v>
      </c>
      <c r="D871" s="3" t="s">
        <v>181</v>
      </c>
      <c r="E871" s="6">
        <v>0.35208333333333336</v>
      </c>
      <c r="F871" s="6">
        <v>0.74930555555555556</v>
      </c>
      <c r="G871" s="3" t="s">
        <v>125</v>
      </c>
      <c r="H871" s="3" t="s">
        <v>14</v>
      </c>
      <c r="I871" s="3" t="s">
        <v>15</v>
      </c>
    </row>
    <row r="872" spans="1:9" s="3" customFormat="1" x14ac:dyDescent="0.3">
      <c r="A872" s="3" t="s">
        <v>31</v>
      </c>
      <c r="B872" s="3" t="s">
        <v>32</v>
      </c>
      <c r="C872" s="3" t="s">
        <v>64</v>
      </c>
      <c r="D872" s="3" t="s">
        <v>306</v>
      </c>
      <c r="E872" s="6">
        <v>0.40625</v>
      </c>
      <c r="F872" s="6">
        <v>0.76527777777777772</v>
      </c>
      <c r="G872" s="3" t="s">
        <v>26</v>
      </c>
      <c r="H872" s="3" t="s">
        <v>14</v>
      </c>
      <c r="I872" s="3" t="s">
        <v>15</v>
      </c>
    </row>
    <row r="873" spans="1:9" s="3" customFormat="1" x14ac:dyDescent="0.3">
      <c r="A873" s="3" t="s">
        <v>55</v>
      </c>
      <c r="B873" s="3" t="s">
        <v>56</v>
      </c>
      <c r="C873" s="3" t="s">
        <v>18</v>
      </c>
      <c r="D873" s="3" t="s">
        <v>408</v>
      </c>
      <c r="E873" s="6">
        <v>0.42916666666666664</v>
      </c>
      <c r="F873" s="6">
        <v>0.70277777777777772</v>
      </c>
      <c r="G873" s="3" t="s">
        <v>13</v>
      </c>
      <c r="H873" s="3" t="s">
        <v>14</v>
      </c>
      <c r="I873" s="3" t="s">
        <v>15</v>
      </c>
    </row>
    <row r="874" spans="1:9" s="3" customFormat="1" x14ac:dyDescent="0.3">
      <c r="A874" s="3" t="s">
        <v>102</v>
      </c>
      <c r="B874" s="3" t="s">
        <v>103</v>
      </c>
      <c r="C874" s="3" t="s">
        <v>42</v>
      </c>
      <c r="D874" s="3" t="s">
        <v>335</v>
      </c>
      <c r="E874" s="6">
        <v>0.3347222222222222</v>
      </c>
      <c r="F874" s="6">
        <v>0.72291666666666665</v>
      </c>
      <c r="G874" s="3" t="s">
        <v>13</v>
      </c>
      <c r="H874" s="3" t="s">
        <v>27</v>
      </c>
      <c r="I874" s="3" t="s">
        <v>21</v>
      </c>
    </row>
    <row r="875" spans="1:9" s="3" customFormat="1" x14ac:dyDescent="0.3">
      <c r="A875" s="3" t="s">
        <v>236</v>
      </c>
      <c r="B875" s="3" t="s">
        <v>237</v>
      </c>
      <c r="C875" s="3" t="s">
        <v>64</v>
      </c>
      <c r="D875" s="3" t="s">
        <v>83</v>
      </c>
      <c r="E875" s="6">
        <v>0.42430555555555555</v>
      </c>
      <c r="F875" s="6">
        <v>0.67500000000000004</v>
      </c>
      <c r="G875" s="3" t="s">
        <v>20</v>
      </c>
      <c r="H875" s="3" t="s">
        <v>27</v>
      </c>
      <c r="I875" s="3" t="s">
        <v>15</v>
      </c>
    </row>
    <row r="876" spans="1:9" s="3" customFormat="1" x14ac:dyDescent="0.3">
      <c r="A876" s="3" t="s">
        <v>96</v>
      </c>
      <c r="B876" s="3" t="s">
        <v>97</v>
      </c>
      <c r="C876" s="3" t="s">
        <v>24</v>
      </c>
      <c r="D876" s="3" t="s">
        <v>396</v>
      </c>
      <c r="E876" s="6">
        <v>0.45277777777777778</v>
      </c>
      <c r="F876" s="6">
        <v>0.83888888888888891</v>
      </c>
      <c r="G876" s="3" t="s">
        <v>26</v>
      </c>
      <c r="H876" s="3" t="s">
        <v>14</v>
      </c>
      <c r="I876" s="3" t="s">
        <v>21</v>
      </c>
    </row>
    <row r="877" spans="1:9" s="3" customFormat="1" x14ac:dyDescent="0.3">
      <c r="A877" s="3" t="s">
        <v>45</v>
      </c>
      <c r="B877" s="3" t="s">
        <v>46</v>
      </c>
      <c r="C877" s="3" t="s">
        <v>24</v>
      </c>
      <c r="D877" s="3" t="s">
        <v>409</v>
      </c>
      <c r="E877" s="6">
        <v>0.39583333333333331</v>
      </c>
      <c r="F877" s="6">
        <v>0.7104166666666667</v>
      </c>
      <c r="G877" s="3" t="s">
        <v>13</v>
      </c>
      <c r="H877" s="3" t="s">
        <v>14</v>
      </c>
      <c r="I877" s="3" t="s">
        <v>15</v>
      </c>
    </row>
    <row r="878" spans="1:9" s="3" customFormat="1" x14ac:dyDescent="0.3">
      <c r="A878" s="3" t="s">
        <v>224</v>
      </c>
      <c r="B878" s="3" t="s">
        <v>225</v>
      </c>
      <c r="C878" s="3" t="s">
        <v>24</v>
      </c>
      <c r="D878" s="3" t="s">
        <v>405</v>
      </c>
      <c r="E878" s="6">
        <v>0.40138888888888891</v>
      </c>
      <c r="F878" s="6">
        <v>0.87152777777777779</v>
      </c>
      <c r="G878" s="3" t="s">
        <v>20</v>
      </c>
      <c r="H878" s="3" t="s">
        <v>27</v>
      </c>
      <c r="I878" s="3" t="s">
        <v>21</v>
      </c>
    </row>
    <row r="879" spans="1:9" s="3" customFormat="1" x14ac:dyDescent="0.3">
      <c r="A879" s="3" t="s">
        <v>338</v>
      </c>
      <c r="B879" s="3" t="s">
        <v>339</v>
      </c>
      <c r="C879" s="3" t="s">
        <v>18</v>
      </c>
      <c r="D879" s="3" t="s">
        <v>361</v>
      </c>
      <c r="E879" s="6"/>
      <c r="F879" s="6"/>
      <c r="G879" s="3" t="s">
        <v>44</v>
      </c>
      <c r="H879" s="3" t="s">
        <v>27</v>
      </c>
      <c r="I879" s="3" t="s">
        <v>15</v>
      </c>
    </row>
    <row r="880" spans="1:9" s="3" customFormat="1" x14ac:dyDescent="0.3">
      <c r="A880" s="3" t="s">
        <v>109</v>
      </c>
      <c r="B880" s="3" t="s">
        <v>110</v>
      </c>
      <c r="C880" s="3" t="s">
        <v>18</v>
      </c>
      <c r="D880" s="3" t="s">
        <v>326</v>
      </c>
      <c r="E880" s="6">
        <v>0.42638888888888887</v>
      </c>
      <c r="F880" s="6">
        <v>0.85902777777777772</v>
      </c>
      <c r="G880" s="3" t="s">
        <v>13</v>
      </c>
      <c r="H880" s="3" t="s">
        <v>14</v>
      </c>
      <c r="I880" s="3" t="s">
        <v>15</v>
      </c>
    </row>
    <row r="881" spans="1:9" s="3" customFormat="1" x14ac:dyDescent="0.3">
      <c r="A881" s="3" t="s">
        <v>109</v>
      </c>
      <c r="B881" s="3" t="s">
        <v>110</v>
      </c>
      <c r="C881" s="3" t="s">
        <v>64</v>
      </c>
      <c r="D881" s="3" t="s">
        <v>65</v>
      </c>
      <c r="E881" s="6"/>
      <c r="F881" s="6"/>
      <c r="G881" s="3" t="s">
        <v>44</v>
      </c>
      <c r="H881" s="3" t="s">
        <v>14</v>
      </c>
      <c r="I881" s="3" t="s">
        <v>15</v>
      </c>
    </row>
    <row r="882" spans="1:9" s="3" customFormat="1" x14ac:dyDescent="0.3">
      <c r="A882" s="3" t="s">
        <v>119</v>
      </c>
      <c r="B882" s="3" t="s">
        <v>120</v>
      </c>
      <c r="C882" s="3" t="s">
        <v>24</v>
      </c>
      <c r="D882" s="3" t="s">
        <v>257</v>
      </c>
      <c r="E882" s="6">
        <v>0.40486111111111112</v>
      </c>
      <c r="F882" s="6">
        <v>0.70416666666666672</v>
      </c>
      <c r="G882" s="3" t="s">
        <v>26</v>
      </c>
      <c r="H882" s="3" t="s">
        <v>14</v>
      </c>
      <c r="I882" s="3" t="s">
        <v>21</v>
      </c>
    </row>
    <row r="883" spans="1:9" s="3" customFormat="1" x14ac:dyDescent="0.3">
      <c r="A883" s="3" t="s">
        <v>250</v>
      </c>
      <c r="B883" s="3" t="s">
        <v>251</v>
      </c>
      <c r="C883" s="3" t="s">
        <v>24</v>
      </c>
      <c r="D883" s="3" t="s">
        <v>30</v>
      </c>
      <c r="E883" s="6">
        <v>0.41597222222222224</v>
      </c>
      <c r="F883" s="6">
        <v>0.78472222222222221</v>
      </c>
      <c r="G883" s="3" t="s">
        <v>26</v>
      </c>
      <c r="H883" s="3" t="s">
        <v>27</v>
      </c>
      <c r="I883" s="3" t="s">
        <v>21</v>
      </c>
    </row>
    <row r="884" spans="1:9" s="3" customFormat="1" x14ac:dyDescent="0.3">
      <c r="A884" s="3" t="s">
        <v>37</v>
      </c>
      <c r="B884" s="3" t="s">
        <v>38</v>
      </c>
      <c r="C884" s="3" t="s">
        <v>42</v>
      </c>
      <c r="D884" s="3" t="s">
        <v>226</v>
      </c>
      <c r="E884" s="6">
        <v>0.46805555555555556</v>
      </c>
      <c r="F884" s="6">
        <v>0.78055555555555556</v>
      </c>
      <c r="G884" s="3" t="s">
        <v>274</v>
      </c>
      <c r="H884" s="3" t="s">
        <v>14</v>
      </c>
      <c r="I884" s="3" t="s">
        <v>15</v>
      </c>
    </row>
    <row r="885" spans="1:9" s="3" customFormat="1" x14ac:dyDescent="0.3">
      <c r="A885" s="3" t="s">
        <v>48</v>
      </c>
      <c r="B885" s="3" t="s">
        <v>49</v>
      </c>
      <c r="C885" s="3" t="s">
        <v>60</v>
      </c>
      <c r="D885" s="3" t="s">
        <v>397</v>
      </c>
      <c r="E885" s="6"/>
      <c r="F885" s="6"/>
      <c r="G885" s="3" t="s">
        <v>44</v>
      </c>
      <c r="H885" s="3" t="s">
        <v>14</v>
      </c>
      <c r="I885" s="3" t="s">
        <v>21</v>
      </c>
    </row>
    <row r="886" spans="1:9" s="3" customFormat="1" x14ac:dyDescent="0.3">
      <c r="A886" s="3" t="s">
        <v>45</v>
      </c>
      <c r="B886" s="3" t="s">
        <v>46</v>
      </c>
      <c r="C886" s="3" t="s">
        <v>18</v>
      </c>
      <c r="D886" s="3" t="s">
        <v>104</v>
      </c>
      <c r="E886" s="6">
        <v>0.41111111111111109</v>
      </c>
      <c r="F886" s="6">
        <v>0.7583333333333333</v>
      </c>
      <c r="G886" s="3" t="s">
        <v>13</v>
      </c>
      <c r="H886" s="3" t="s">
        <v>14</v>
      </c>
      <c r="I886" s="3" t="s">
        <v>15</v>
      </c>
    </row>
    <row r="887" spans="1:9" s="3" customFormat="1" x14ac:dyDescent="0.3">
      <c r="A887" s="3" t="s">
        <v>78</v>
      </c>
      <c r="B887" s="3" t="s">
        <v>79</v>
      </c>
      <c r="C887" s="3" t="s">
        <v>24</v>
      </c>
      <c r="D887" s="3" t="s">
        <v>184</v>
      </c>
      <c r="E887" s="6">
        <v>0.41180555555555554</v>
      </c>
      <c r="F887" s="6">
        <v>0.68541666666666667</v>
      </c>
      <c r="G887" s="3" t="s">
        <v>13</v>
      </c>
      <c r="H887" s="3" t="s">
        <v>14</v>
      </c>
      <c r="I887" s="3" t="s">
        <v>15</v>
      </c>
    </row>
    <row r="888" spans="1:9" s="3" customFormat="1" x14ac:dyDescent="0.3">
      <c r="A888" s="3" t="s">
        <v>62</v>
      </c>
      <c r="B888" s="3" t="s">
        <v>63</v>
      </c>
      <c r="C888" s="3" t="s">
        <v>64</v>
      </c>
      <c r="D888" s="3" t="s">
        <v>253</v>
      </c>
      <c r="E888" s="6"/>
      <c r="F888" s="6"/>
      <c r="G888" s="3" t="s">
        <v>51</v>
      </c>
      <c r="H888" s="3" t="s">
        <v>14</v>
      </c>
      <c r="I888" s="3" t="s">
        <v>21</v>
      </c>
    </row>
    <row r="889" spans="1:9" s="3" customFormat="1" x14ac:dyDescent="0.3">
      <c r="A889" s="3" t="s">
        <v>246</v>
      </c>
      <c r="B889" s="3" t="s">
        <v>247</v>
      </c>
      <c r="C889" s="3" t="s">
        <v>64</v>
      </c>
      <c r="D889" s="3" t="s">
        <v>203</v>
      </c>
      <c r="E889" s="6">
        <v>0.36944444444444446</v>
      </c>
      <c r="F889" s="6">
        <v>0.7416666666666667</v>
      </c>
      <c r="G889" s="3" t="s">
        <v>13</v>
      </c>
      <c r="H889" s="3" t="s">
        <v>14</v>
      </c>
      <c r="I889" s="3" t="s">
        <v>15</v>
      </c>
    </row>
    <row r="890" spans="1:9" s="3" customFormat="1" x14ac:dyDescent="0.3">
      <c r="A890" s="3" t="s">
        <v>78</v>
      </c>
      <c r="B890" s="3" t="s">
        <v>79</v>
      </c>
      <c r="C890" s="3" t="s">
        <v>42</v>
      </c>
      <c r="D890" s="3" t="s">
        <v>396</v>
      </c>
      <c r="E890" s="6">
        <v>0.34444444444444444</v>
      </c>
      <c r="F890" s="6">
        <v>0.72430555555555554</v>
      </c>
      <c r="G890" s="3" t="s">
        <v>13</v>
      </c>
      <c r="H890" s="3" t="s">
        <v>14</v>
      </c>
      <c r="I890" s="3" t="s">
        <v>21</v>
      </c>
    </row>
    <row r="891" spans="1:9" s="3" customFormat="1" x14ac:dyDescent="0.3">
      <c r="A891" s="3" t="s">
        <v>69</v>
      </c>
      <c r="B891" s="3" t="s">
        <v>70</v>
      </c>
      <c r="C891" s="3" t="s">
        <v>143</v>
      </c>
      <c r="D891" s="3" t="s">
        <v>218</v>
      </c>
      <c r="E891" s="6">
        <v>0.39027777777777778</v>
      </c>
      <c r="F891" s="6">
        <v>0.7104166666666667</v>
      </c>
      <c r="G891" s="3" t="s">
        <v>13</v>
      </c>
      <c r="H891" s="3" t="s">
        <v>27</v>
      </c>
      <c r="I891" s="3" t="s">
        <v>21</v>
      </c>
    </row>
    <row r="892" spans="1:9" s="3" customFormat="1" x14ac:dyDescent="0.3">
      <c r="A892" s="3" t="s">
        <v>154</v>
      </c>
      <c r="B892" s="3" t="s">
        <v>155</v>
      </c>
      <c r="C892" s="3" t="s">
        <v>24</v>
      </c>
      <c r="D892" s="3" t="s">
        <v>406</v>
      </c>
      <c r="E892" s="6">
        <v>0.42152777777777778</v>
      </c>
      <c r="F892" s="6">
        <v>0.82777777777777772</v>
      </c>
      <c r="G892" s="3" t="s">
        <v>13</v>
      </c>
      <c r="H892" s="3" t="s">
        <v>27</v>
      </c>
      <c r="I892" s="3" t="s">
        <v>21</v>
      </c>
    </row>
    <row r="893" spans="1:9" s="3" customFormat="1" x14ac:dyDescent="0.3">
      <c r="A893" s="3" t="s">
        <v>224</v>
      </c>
      <c r="B893" s="3" t="s">
        <v>225</v>
      </c>
      <c r="C893" s="3" t="s">
        <v>18</v>
      </c>
      <c r="D893" s="3" t="s">
        <v>71</v>
      </c>
      <c r="E893" s="6">
        <v>0.3972222222222222</v>
      </c>
      <c r="F893" s="6">
        <v>0.74652777777777779</v>
      </c>
      <c r="G893" s="3" t="s">
        <v>13</v>
      </c>
      <c r="H893" s="3" t="s">
        <v>27</v>
      </c>
      <c r="I893" s="3" t="s">
        <v>21</v>
      </c>
    </row>
    <row r="894" spans="1:9" s="3" customFormat="1" x14ac:dyDescent="0.3">
      <c r="A894" s="3" t="s">
        <v>187</v>
      </c>
      <c r="B894" s="3" t="s">
        <v>188</v>
      </c>
      <c r="C894" s="3" t="s">
        <v>42</v>
      </c>
      <c r="D894" s="3" t="s">
        <v>369</v>
      </c>
      <c r="E894" s="6">
        <v>0.3659722222222222</v>
      </c>
      <c r="F894" s="6">
        <v>0.69027777777777777</v>
      </c>
      <c r="G894" s="3" t="s">
        <v>13</v>
      </c>
      <c r="H894" s="3" t="s">
        <v>27</v>
      </c>
      <c r="I894" s="3" t="s">
        <v>15</v>
      </c>
    </row>
    <row r="895" spans="1:9" s="3" customFormat="1" x14ac:dyDescent="0.3">
      <c r="A895" s="3" t="s">
        <v>146</v>
      </c>
      <c r="B895" s="3" t="s">
        <v>147</v>
      </c>
      <c r="C895" s="3" t="s">
        <v>24</v>
      </c>
      <c r="D895" s="3" t="s">
        <v>95</v>
      </c>
      <c r="E895" s="6">
        <v>0.37638888888888888</v>
      </c>
      <c r="F895" s="6">
        <v>0.68263888888888891</v>
      </c>
      <c r="G895" s="3" t="s">
        <v>20</v>
      </c>
      <c r="H895" s="3" t="s">
        <v>14</v>
      </c>
      <c r="I895" s="3" t="s">
        <v>21</v>
      </c>
    </row>
    <row r="896" spans="1:9" s="3" customFormat="1" x14ac:dyDescent="0.3">
      <c r="A896" s="3" t="s">
        <v>72</v>
      </c>
      <c r="B896" s="3" t="s">
        <v>73</v>
      </c>
      <c r="C896" s="3" t="s">
        <v>42</v>
      </c>
      <c r="D896" s="3" t="s">
        <v>57</v>
      </c>
      <c r="E896" s="6">
        <v>0.47916666666666669</v>
      </c>
      <c r="F896" s="6">
        <v>0.87013888888888891</v>
      </c>
      <c r="G896" s="3" t="s">
        <v>20</v>
      </c>
      <c r="H896" s="3" t="s">
        <v>27</v>
      </c>
      <c r="I896" s="3" t="s">
        <v>15</v>
      </c>
    </row>
    <row r="897" spans="1:9" s="3" customFormat="1" x14ac:dyDescent="0.3">
      <c r="A897" s="3" t="s">
        <v>315</v>
      </c>
      <c r="B897" s="3" t="s">
        <v>316</v>
      </c>
      <c r="C897" s="3" t="s">
        <v>42</v>
      </c>
      <c r="D897" s="3" t="s">
        <v>229</v>
      </c>
      <c r="E897" s="6">
        <v>0.37777777777777777</v>
      </c>
      <c r="F897" s="6">
        <v>0.80138888888888893</v>
      </c>
      <c r="G897" s="3" t="s">
        <v>20</v>
      </c>
      <c r="H897" s="3" t="s">
        <v>27</v>
      </c>
      <c r="I897" s="3" t="s">
        <v>21</v>
      </c>
    </row>
    <row r="898" spans="1:9" s="3" customFormat="1" x14ac:dyDescent="0.3">
      <c r="A898" s="3" t="s">
        <v>52</v>
      </c>
      <c r="B898" s="3" t="s">
        <v>53</v>
      </c>
      <c r="C898" s="3" t="s">
        <v>60</v>
      </c>
      <c r="D898" s="3" t="s">
        <v>118</v>
      </c>
      <c r="E898" s="6">
        <v>0.36875000000000002</v>
      </c>
      <c r="F898" s="6">
        <v>0.85138888888888886</v>
      </c>
      <c r="G898" s="3" t="s">
        <v>20</v>
      </c>
      <c r="H898" s="3" t="s">
        <v>27</v>
      </c>
      <c r="I898" s="3" t="s">
        <v>15</v>
      </c>
    </row>
    <row r="899" spans="1:9" s="3" customFormat="1" x14ac:dyDescent="0.3">
      <c r="A899" s="3" t="s">
        <v>37</v>
      </c>
      <c r="B899" s="3" t="s">
        <v>38</v>
      </c>
      <c r="C899" s="3" t="s">
        <v>64</v>
      </c>
      <c r="D899" s="3" t="s">
        <v>235</v>
      </c>
      <c r="E899" s="6">
        <v>0.40694444444444444</v>
      </c>
      <c r="F899" s="6">
        <v>0.76388888888888884</v>
      </c>
      <c r="G899" s="3" t="s">
        <v>13</v>
      </c>
      <c r="H899" s="3" t="s">
        <v>14</v>
      </c>
      <c r="I899" s="3" t="s">
        <v>15</v>
      </c>
    </row>
    <row r="900" spans="1:9" s="3" customFormat="1" x14ac:dyDescent="0.3">
      <c r="A900" s="3" t="s">
        <v>96</v>
      </c>
      <c r="B900" s="3" t="s">
        <v>97</v>
      </c>
      <c r="C900" s="3" t="s">
        <v>18</v>
      </c>
      <c r="D900" s="3" t="s">
        <v>397</v>
      </c>
      <c r="E900" s="6"/>
      <c r="F900" s="6"/>
      <c r="G900" s="3" t="s">
        <v>44</v>
      </c>
      <c r="H900" s="3" t="s">
        <v>27</v>
      </c>
      <c r="I900" s="3" t="s">
        <v>21</v>
      </c>
    </row>
    <row r="901" spans="1:9" s="3" customFormat="1" x14ac:dyDescent="0.3">
      <c r="A901" s="3" t="s">
        <v>154</v>
      </c>
      <c r="B901" s="3" t="s">
        <v>155</v>
      </c>
      <c r="C901" s="3" t="s">
        <v>64</v>
      </c>
      <c r="D901" s="3" t="s">
        <v>361</v>
      </c>
      <c r="E901" s="6">
        <v>0.39583333333333331</v>
      </c>
      <c r="F901" s="6">
        <v>0.7270833333333333</v>
      </c>
      <c r="G901" s="3" t="s">
        <v>26</v>
      </c>
      <c r="H901" s="3" t="s">
        <v>14</v>
      </c>
      <c r="I901" s="3" t="s">
        <v>15</v>
      </c>
    </row>
    <row r="902" spans="1:9" s="3" customFormat="1" x14ac:dyDescent="0.3">
      <c r="A902" s="3" t="s">
        <v>9</v>
      </c>
      <c r="B902" s="3" t="s">
        <v>10</v>
      </c>
      <c r="C902" s="3" t="s">
        <v>18</v>
      </c>
      <c r="D902" s="3" t="s">
        <v>241</v>
      </c>
      <c r="E902" s="6">
        <v>0.44930555555555557</v>
      </c>
      <c r="F902" s="6">
        <v>0.82916666666666672</v>
      </c>
      <c r="G902" s="3" t="s">
        <v>20</v>
      </c>
      <c r="H902" s="3" t="s">
        <v>14</v>
      </c>
      <c r="I902" s="3" t="s">
        <v>15</v>
      </c>
    </row>
    <row r="903" spans="1:9" s="3" customFormat="1" x14ac:dyDescent="0.3">
      <c r="A903" s="3" t="s">
        <v>40</v>
      </c>
      <c r="B903" s="3" t="s">
        <v>41</v>
      </c>
      <c r="C903" s="3" t="s">
        <v>18</v>
      </c>
      <c r="D903" s="3" t="s">
        <v>39</v>
      </c>
      <c r="E903" s="6">
        <v>0.35972222222222222</v>
      </c>
      <c r="F903" s="6">
        <v>0.74791666666666667</v>
      </c>
      <c r="G903" s="3" t="s">
        <v>13</v>
      </c>
      <c r="H903" s="3" t="s">
        <v>27</v>
      </c>
      <c r="I903" s="3" t="s">
        <v>21</v>
      </c>
    </row>
    <row r="904" spans="1:9" s="3" customFormat="1" x14ac:dyDescent="0.3">
      <c r="A904" s="3" t="s">
        <v>90</v>
      </c>
      <c r="B904" s="3" t="s">
        <v>91</v>
      </c>
      <c r="C904" s="3" t="s">
        <v>42</v>
      </c>
      <c r="D904" s="3" t="s">
        <v>306</v>
      </c>
      <c r="E904" s="6">
        <v>0.43055555555555558</v>
      </c>
      <c r="F904" s="6">
        <v>0.76249999999999996</v>
      </c>
      <c r="G904" s="3" t="s">
        <v>20</v>
      </c>
      <c r="H904" s="3" t="s">
        <v>14</v>
      </c>
      <c r="I904" s="3" t="s">
        <v>15</v>
      </c>
    </row>
    <row r="905" spans="1:9" s="3" customFormat="1" x14ac:dyDescent="0.3">
      <c r="A905" s="3" t="s">
        <v>213</v>
      </c>
      <c r="B905" s="3" t="s">
        <v>214</v>
      </c>
      <c r="C905" s="3" t="s">
        <v>18</v>
      </c>
      <c r="D905" s="3" t="s">
        <v>83</v>
      </c>
      <c r="E905" s="6">
        <v>0.36041666666666666</v>
      </c>
      <c r="F905" s="6">
        <v>0.84166666666666667</v>
      </c>
      <c r="G905" s="3" t="s">
        <v>13</v>
      </c>
      <c r="H905" s="3" t="s">
        <v>14</v>
      </c>
      <c r="I905" s="3" t="s">
        <v>21</v>
      </c>
    </row>
    <row r="906" spans="1:9" s="3" customFormat="1" x14ac:dyDescent="0.3">
      <c r="A906" s="3" t="s">
        <v>194</v>
      </c>
      <c r="B906" s="3" t="s">
        <v>195</v>
      </c>
      <c r="C906" s="3" t="s">
        <v>24</v>
      </c>
      <c r="D906" s="3" t="s">
        <v>350</v>
      </c>
      <c r="E906" s="6">
        <v>0.42291666666666666</v>
      </c>
      <c r="F906" s="6">
        <v>0.70416666666666672</v>
      </c>
      <c r="G906" s="3" t="s">
        <v>26</v>
      </c>
      <c r="H906" s="3" t="s">
        <v>27</v>
      </c>
      <c r="I906" s="3" t="s">
        <v>15</v>
      </c>
    </row>
    <row r="907" spans="1:9" s="3" customFormat="1" x14ac:dyDescent="0.3">
      <c r="A907" s="3" t="s">
        <v>75</v>
      </c>
      <c r="B907" s="3" t="s">
        <v>76</v>
      </c>
      <c r="C907" s="3" t="s">
        <v>60</v>
      </c>
      <c r="D907" s="3" t="s">
        <v>238</v>
      </c>
      <c r="E907" s="6">
        <v>0.40555555555555556</v>
      </c>
      <c r="F907" s="6">
        <v>0.75902777777777775</v>
      </c>
      <c r="G907" s="3" t="s">
        <v>20</v>
      </c>
      <c r="H907" s="3" t="s">
        <v>27</v>
      </c>
      <c r="I907" s="3" t="s">
        <v>21</v>
      </c>
    </row>
    <row r="908" spans="1:9" s="3" customFormat="1" x14ac:dyDescent="0.3">
      <c r="A908" s="3" t="s">
        <v>165</v>
      </c>
      <c r="B908" s="3" t="s">
        <v>166</v>
      </c>
      <c r="C908" s="3" t="s">
        <v>60</v>
      </c>
      <c r="D908" s="3" t="s">
        <v>264</v>
      </c>
      <c r="E908" s="6">
        <v>0.4597222222222222</v>
      </c>
      <c r="F908" s="6">
        <v>0.72430555555555554</v>
      </c>
      <c r="G908" s="3" t="s">
        <v>26</v>
      </c>
      <c r="H908" s="3" t="s">
        <v>27</v>
      </c>
      <c r="I908" s="3" t="s">
        <v>15</v>
      </c>
    </row>
    <row r="909" spans="1:9" s="3" customFormat="1" x14ac:dyDescent="0.3">
      <c r="A909" s="3" t="s">
        <v>87</v>
      </c>
      <c r="B909" s="3" t="s">
        <v>88</v>
      </c>
      <c r="C909" s="3" t="s">
        <v>18</v>
      </c>
      <c r="D909" s="3" t="s">
        <v>314</v>
      </c>
      <c r="E909" s="6"/>
      <c r="F909" s="6"/>
      <c r="G909" s="3" t="s">
        <v>51</v>
      </c>
      <c r="H909" s="3" t="s">
        <v>14</v>
      </c>
      <c r="I909" s="3" t="s">
        <v>15</v>
      </c>
    </row>
    <row r="910" spans="1:9" s="3" customFormat="1" x14ac:dyDescent="0.3">
      <c r="A910" s="3" t="s">
        <v>99</v>
      </c>
      <c r="B910" s="3" t="s">
        <v>100</v>
      </c>
      <c r="C910" s="3" t="s">
        <v>24</v>
      </c>
      <c r="D910" s="3" t="s">
        <v>266</v>
      </c>
      <c r="E910" s="6"/>
      <c r="F910" s="6"/>
      <c r="G910" s="3" t="s">
        <v>44</v>
      </c>
      <c r="H910" s="3" t="s">
        <v>14</v>
      </c>
      <c r="I910" s="3" t="s">
        <v>21</v>
      </c>
    </row>
    <row r="911" spans="1:9" s="3" customFormat="1" x14ac:dyDescent="0.3">
      <c r="A911" s="3" t="s">
        <v>194</v>
      </c>
      <c r="B911" s="3" t="s">
        <v>195</v>
      </c>
      <c r="C911" s="3" t="s">
        <v>42</v>
      </c>
      <c r="D911" s="3" t="s">
        <v>361</v>
      </c>
      <c r="E911" s="6"/>
      <c r="F911" s="6"/>
      <c r="G911" s="3" t="s">
        <v>44</v>
      </c>
      <c r="H911" s="3" t="s">
        <v>27</v>
      </c>
      <c r="I911" s="3" t="s">
        <v>21</v>
      </c>
    </row>
    <row r="912" spans="1:9" s="3" customFormat="1" x14ac:dyDescent="0.3">
      <c r="A912" s="3" t="s">
        <v>246</v>
      </c>
      <c r="B912" s="3" t="s">
        <v>247</v>
      </c>
      <c r="C912" s="3" t="s">
        <v>64</v>
      </c>
      <c r="D912" s="3" t="s">
        <v>126</v>
      </c>
      <c r="E912" s="6"/>
      <c r="F912" s="6"/>
      <c r="G912" s="3" t="s">
        <v>44</v>
      </c>
      <c r="H912" s="3" t="s">
        <v>14</v>
      </c>
      <c r="I912" s="3" t="s">
        <v>15</v>
      </c>
    </row>
    <row r="913" spans="1:9" s="3" customFormat="1" x14ac:dyDescent="0.3">
      <c r="A913" s="3" t="s">
        <v>78</v>
      </c>
      <c r="B913" s="3" t="s">
        <v>79</v>
      </c>
      <c r="C913" s="3" t="s">
        <v>60</v>
      </c>
      <c r="D913" s="3" t="s">
        <v>39</v>
      </c>
      <c r="E913" s="6">
        <v>0.40416666666666667</v>
      </c>
      <c r="F913" s="6">
        <v>0.70902777777777781</v>
      </c>
      <c r="G913" s="3" t="s">
        <v>20</v>
      </c>
      <c r="H913" s="3" t="s">
        <v>14</v>
      </c>
      <c r="I913" s="3" t="s">
        <v>15</v>
      </c>
    </row>
    <row r="914" spans="1:9" s="3" customFormat="1" x14ac:dyDescent="0.3">
      <c r="A914" s="3" t="s">
        <v>165</v>
      </c>
      <c r="B914" s="3" t="s">
        <v>166</v>
      </c>
      <c r="C914" s="3" t="s">
        <v>64</v>
      </c>
      <c r="D914" s="3" t="s">
        <v>306</v>
      </c>
      <c r="E914" s="6">
        <v>0.43888888888888888</v>
      </c>
      <c r="F914" s="6">
        <v>0.85069444444444442</v>
      </c>
      <c r="G914" s="3" t="s">
        <v>13</v>
      </c>
      <c r="H914" s="3" t="s">
        <v>27</v>
      </c>
      <c r="I914" s="3" t="s">
        <v>15</v>
      </c>
    </row>
    <row r="915" spans="1:9" s="3" customFormat="1" x14ac:dyDescent="0.3">
      <c r="A915" s="3" t="s">
        <v>9</v>
      </c>
      <c r="B915" s="3" t="s">
        <v>10</v>
      </c>
      <c r="C915" s="3" t="s">
        <v>24</v>
      </c>
      <c r="D915" s="3" t="s">
        <v>308</v>
      </c>
      <c r="E915" s="6"/>
      <c r="F915" s="6"/>
      <c r="G915" s="3" t="s">
        <v>44</v>
      </c>
      <c r="H915" s="3" t="s">
        <v>14</v>
      </c>
      <c r="I915" s="3" t="s">
        <v>21</v>
      </c>
    </row>
    <row r="916" spans="1:9" s="3" customFormat="1" x14ac:dyDescent="0.3">
      <c r="A916" s="3" t="s">
        <v>154</v>
      </c>
      <c r="B916" s="3" t="s">
        <v>155</v>
      </c>
      <c r="C916" s="3" t="s">
        <v>60</v>
      </c>
      <c r="D916" s="3" t="s">
        <v>254</v>
      </c>
      <c r="E916" s="6">
        <v>0.36875000000000002</v>
      </c>
      <c r="F916" s="6">
        <v>0.71736111111111112</v>
      </c>
      <c r="G916" s="3" t="s">
        <v>13</v>
      </c>
      <c r="H916" s="3" t="s">
        <v>27</v>
      </c>
      <c r="I916" s="3" t="s">
        <v>21</v>
      </c>
    </row>
    <row r="917" spans="1:9" s="3" customFormat="1" x14ac:dyDescent="0.3">
      <c r="A917" s="3" t="s">
        <v>130</v>
      </c>
      <c r="B917" s="3" t="s">
        <v>131</v>
      </c>
      <c r="C917" s="3" t="s">
        <v>18</v>
      </c>
      <c r="D917" s="3" t="s">
        <v>340</v>
      </c>
      <c r="E917" s="6"/>
      <c r="F917" s="6"/>
      <c r="G917" s="3" t="s">
        <v>44</v>
      </c>
      <c r="H917" s="3" t="s">
        <v>27</v>
      </c>
      <c r="I917" s="3" t="s">
        <v>15</v>
      </c>
    </row>
    <row r="918" spans="1:9" s="3" customFormat="1" x14ac:dyDescent="0.3">
      <c r="A918" s="3" t="s">
        <v>16</v>
      </c>
      <c r="B918" s="3" t="s">
        <v>17</v>
      </c>
      <c r="C918" s="3" t="s">
        <v>42</v>
      </c>
      <c r="D918" s="3" t="s">
        <v>185</v>
      </c>
      <c r="E918" s="6">
        <v>0.37708333333333333</v>
      </c>
      <c r="F918" s="6">
        <v>0.76875000000000004</v>
      </c>
      <c r="G918" s="3" t="s">
        <v>20</v>
      </c>
      <c r="H918" s="3" t="s">
        <v>14</v>
      </c>
      <c r="I918" s="3" t="s">
        <v>21</v>
      </c>
    </row>
    <row r="919" spans="1:9" s="3" customFormat="1" x14ac:dyDescent="0.3">
      <c r="A919" s="3" t="s">
        <v>34</v>
      </c>
      <c r="B919" s="3" t="s">
        <v>35</v>
      </c>
      <c r="C919" s="3" t="s">
        <v>60</v>
      </c>
      <c r="D919" s="3" t="s">
        <v>371</v>
      </c>
      <c r="E919" s="6"/>
      <c r="F919" s="6"/>
      <c r="G919" s="3" t="s">
        <v>44</v>
      </c>
      <c r="H919" s="3" t="s">
        <v>14</v>
      </c>
      <c r="I919" s="3" t="s">
        <v>21</v>
      </c>
    </row>
    <row r="920" spans="1:9" s="3" customFormat="1" x14ac:dyDescent="0.3">
      <c r="A920" s="3" t="s">
        <v>72</v>
      </c>
      <c r="B920" s="3" t="s">
        <v>73</v>
      </c>
      <c r="C920" s="3" t="s">
        <v>24</v>
      </c>
      <c r="D920" s="3" t="s">
        <v>359</v>
      </c>
      <c r="E920" s="6">
        <v>0.46388888888888891</v>
      </c>
      <c r="F920" s="6">
        <v>0.7416666666666667</v>
      </c>
      <c r="G920" s="3" t="s">
        <v>13</v>
      </c>
      <c r="H920" s="3" t="s">
        <v>27</v>
      </c>
      <c r="I920" s="3" t="s">
        <v>21</v>
      </c>
    </row>
    <row r="921" spans="1:9" s="3" customFormat="1" x14ac:dyDescent="0.3">
      <c r="A921" s="3" t="s">
        <v>72</v>
      </c>
      <c r="B921" s="3" t="s">
        <v>73</v>
      </c>
      <c r="C921" s="3" t="s">
        <v>42</v>
      </c>
      <c r="D921" s="3" t="s">
        <v>384</v>
      </c>
      <c r="E921" s="6">
        <v>0.35694444444444445</v>
      </c>
      <c r="F921" s="6">
        <v>0.84027777777777779</v>
      </c>
      <c r="G921" s="3" t="s">
        <v>13</v>
      </c>
      <c r="H921" s="3" t="s">
        <v>27</v>
      </c>
      <c r="I921" s="3" t="s">
        <v>15</v>
      </c>
    </row>
    <row r="922" spans="1:9" s="3" customFormat="1" x14ac:dyDescent="0.3">
      <c r="A922" s="3" t="s">
        <v>45</v>
      </c>
      <c r="B922" s="3" t="s">
        <v>46</v>
      </c>
      <c r="C922" s="3" t="s">
        <v>18</v>
      </c>
      <c r="D922" s="3" t="s">
        <v>284</v>
      </c>
      <c r="E922" s="6">
        <v>0.44930555555555557</v>
      </c>
      <c r="F922" s="6">
        <v>0.84027777777777779</v>
      </c>
      <c r="G922" s="3" t="s">
        <v>20</v>
      </c>
      <c r="H922" s="3" t="s">
        <v>27</v>
      </c>
      <c r="I922" s="3" t="s">
        <v>15</v>
      </c>
    </row>
    <row r="923" spans="1:9" s="3" customFormat="1" x14ac:dyDescent="0.3">
      <c r="A923" s="3" t="s">
        <v>81</v>
      </c>
      <c r="B923" s="3" t="s">
        <v>82</v>
      </c>
      <c r="C923" s="3" t="s">
        <v>18</v>
      </c>
      <c r="D923" s="3" t="s">
        <v>265</v>
      </c>
      <c r="E923" s="6"/>
      <c r="F923" s="6"/>
      <c r="G923" s="3" t="s">
        <v>44</v>
      </c>
      <c r="H923" s="3" t="s">
        <v>14</v>
      </c>
      <c r="I923" s="3" t="s">
        <v>21</v>
      </c>
    </row>
    <row r="924" spans="1:9" s="3" customFormat="1" x14ac:dyDescent="0.3">
      <c r="A924" s="3" t="s">
        <v>204</v>
      </c>
      <c r="B924" s="3" t="s">
        <v>205</v>
      </c>
      <c r="C924" s="3" t="s">
        <v>42</v>
      </c>
      <c r="D924" s="3" t="s">
        <v>169</v>
      </c>
      <c r="E924" s="6">
        <v>0.38263888888888886</v>
      </c>
      <c r="F924" s="6">
        <v>0.75</v>
      </c>
      <c r="G924" s="3" t="s">
        <v>20</v>
      </c>
      <c r="H924" s="3" t="s">
        <v>27</v>
      </c>
      <c r="I924" s="3" t="s">
        <v>21</v>
      </c>
    </row>
    <row r="925" spans="1:9" s="3" customFormat="1" x14ac:dyDescent="0.3">
      <c r="A925" s="3" t="s">
        <v>122</v>
      </c>
      <c r="B925" s="3" t="s">
        <v>123</v>
      </c>
      <c r="C925" s="3" t="s">
        <v>64</v>
      </c>
      <c r="D925" s="3" t="s">
        <v>221</v>
      </c>
      <c r="E925" s="6">
        <v>0.33750000000000002</v>
      </c>
      <c r="F925" s="6">
        <v>0.77361111111111114</v>
      </c>
      <c r="G925" s="3" t="s">
        <v>26</v>
      </c>
      <c r="H925" s="3" t="s">
        <v>27</v>
      </c>
      <c r="I925" s="3" t="s">
        <v>21</v>
      </c>
    </row>
    <row r="926" spans="1:9" s="3" customFormat="1" x14ac:dyDescent="0.3">
      <c r="A926" s="3" t="s">
        <v>204</v>
      </c>
      <c r="B926" s="3" t="s">
        <v>205</v>
      </c>
      <c r="C926" s="3" t="s">
        <v>18</v>
      </c>
      <c r="D926" s="3" t="s">
        <v>410</v>
      </c>
      <c r="E926" s="6"/>
      <c r="F926" s="6"/>
      <c r="G926" s="3" t="s">
        <v>44</v>
      </c>
      <c r="H926" s="3" t="s">
        <v>27</v>
      </c>
      <c r="I926" s="3" t="s">
        <v>21</v>
      </c>
    </row>
    <row r="927" spans="1:9" s="3" customFormat="1" x14ac:dyDescent="0.3">
      <c r="A927" s="3" t="s">
        <v>90</v>
      </c>
      <c r="B927" s="3" t="s">
        <v>91</v>
      </c>
      <c r="C927" s="3" t="s">
        <v>24</v>
      </c>
      <c r="D927" s="3" t="s">
        <v>382</v>
      </c>
      <c r="E927" s="6">
        <v>0.43680555555555556</v>
      </c>
      <c r="F927" s="6">
        <v>0.8520833333333333</v>
      </c>
      <c r="G927" s="3" t="s">
        <v>26</v>
      </c>
      <c r="H927" s="3" t="s">
        <v>27</v>
      </c>
      <c r="I927" s="3" t="s">
        <v>15</v>
      </c>
    </row>
    <row r="928" spans="1:9" s="3" customFormat="1" x14ac:dyDescent="0.3">
      <c r="A928" s="3" t="s">
        <v>78</v>
      </c>
      <c r="B928" s="3" t="s">
        <v>79</v>
      </c>
      <c r="C928" s="3" t="s">
        <v>64</v>
      </c>
      <c r="D928" s="3" t="s">
        <v>411</v>
      </c>
      <c r="E928" s="6"/>
      <c r="F928" s="6"/>
      <c r="G928" s="3" t="s">
        <v>44</v>
      </c>
      <c r="H928" s="3" t="s">
        <v>27</v>
      </c>
      <c r="I928" s="3" t="s">
        <v>15</v>
      </c>
    </row>
    <row r="929" spans="1:9" s="3" customFormat="1" x14ac:dyDescent="0.3">
      <c r="A929" s="3" t="s">
        <v>72</v>
      </c>
      <c r="B929" s="3" t="s">
        <v>73</v>
      </c>
      <c r="C929" s="3" t="s">
        <v>60</v>
      </c>
      <c r="D929" s="3" t="s">
        <v>132</v>
      </c>
      <c r="E929" s="6">
        <v>0.41041666666666665</v>
      </c>
      <c r="F929" s="6">
        <v>0.76388888888888884</v>
      </c>
      <c r="G929" s="3" t="s">
        <v>20</v>
      </c>
      <c r="H929" s="3" t="s">
        <v>14</v>
      </c>
      <c r="I929" s="3" t="s">
        <v>21</v>
      </c>
    </row>
    <row r="930" spans="1:9" s="3" customFormat="1" x14ac:dyDescent="0.3">
      <c r="A930" s="3" t="s">
        <v>45</v>
      </c>
      <c r="B930" s="3" t="s">
        <v>46</v>
      </c>
      <c r="C930" s="3" t="s">
        <v>60</v>
      </c>
      <c r="D930" s="3" t="s">
        <v>283</v>
      </c>
      <c r="E930" s="6">
        <v>0.49861111111111112</v>
      </c>
      <c r="F930" s="6">
        <v>0.74513888888888891</v>
      </c>
      <c r="G930" s="3" t="s">
        <v>26</v>
      </c>
      <c r="H930" s="3" t="s">
        <v>27</v>
      </c>
      <c r="I930" s="3" t="s">
        <v>21</v>
      </c>
    </row>
    <row r="931" spans="1:9" s="3" customFormat="1" x14ac:dyDescent="0.3">
      <c r="A931" s="3" t="s">
        <v>130</v>
      </c>
      <c r="B931" s="3" t="s">
        <v>131</v>
      </c>
      <c r="C931" s="3" t="s">
        <v>64</v>
      </c>
      <c r="D931" s="3" t="s">
        <v>65</v>
      </c>
      <c r="E931" s="6">
        <v>0.47847222222222224</v>
      </c>
      <c r="F931" s="6">
        <v>0.74791666666666667</v>
      </c>
      <c r="G931" s="3" t="s">
        <v>13</v>
      </c>
      <c r="H931" s="3" t="s">
        <v>14</v>
      </c>
      <c r="I931" s="3" t="s">
        <v>21</v>
      </c>
    </row>
    <row r="932" spans="1:9" s="3" customFormat="1" x14ac:dyDescent="0.3">
      <c r="A932" s="3" t="s">
        <v>194</v>
      </c>
      <c r="B932" s="3" t="s">
        <v>195</v>
      </c>
      <c r="C932" s="3" t="s">
        <v>64</v>
      </c>
      <c r="D932" s="3" t="s">
        <v>383</v>
      </c>
      <c r="E932" s="6">
        <v>0.44444444444444442</v>
      </c>
      <c r="F932" s="6">
        <v>0.78611111111111109</v>
      </c>
      <c r="G932" s="3" t="s">
        <v>20</v>
      </c>
      <c r="H932" s="3" t="s">
        <v>27</v>
      </c>
      <c r="I932" s="3" t="s">
        <v>21</v>
      </c>
    </row>
    <row r="933" spans="1:9" s="3" customFormat="1" x14ac:dyDescent="0.3">
      <c r="A933" s="3" t="s">
        <v>102</v>
      </c>
      <c r="B933" s="3" t="s">
        <v>103</v>
      </c>
      <c r="C933" s="3" t="s">
        <v>18</v>
      </c>
      <c r="D933" s="3" t="s">
        <v>287</v>
      </c>
      <c r="E933" s="6"/>
      <c r="F933" s="6"/>
      <c r="G933" s="3" t="s">
        <v>44</v>
      </c>
      <c r="H933" s="3" t="s">
        <v>27</v>
      </c>
      <c r="I933" s="3" t="s">
        <v>15</v>
      </c>
    </row>
    <row r="934" spans="1:9" s="3" customFormat="1" x14ac:dyDescent="0.3">
      <c r="A934" s="3" t="s">
        <v>315</v>
      </c>
      <c r="B934" s="3" t="s">
        <v>316</v>
      </c>
      <c r="C934" s="3" t="s">
        <v>42</v>
      </c>
      <c r="D934" s="3" t="s">
        <v>359</v>
      </c>
      <c r="E934" s="6"/>
      <c r="F934" s="6"/>
      <c r="G934" s="3" t="s">
        <v>44</v>
      </c>
      <c r="H934" s="3" t="s">
        <v>14</v>
      </c>
      <c r="I934" s="3" t="s">
        <v>21</v>
      </c>
    </row>
    <row r="935" spans="1:9" s="3" customFormat="1" x14ac:dyDescent="0.3">
      <c r="A935" s="3" t="s">
        <v>250</v>
      </c>
      <c r="B935" s="3" t="s">
        <v>251</v>
      </c>
      <c r="C935" s="3" t="s">
        <v>64</v>
      </c>
      <c r="D935" s="3" t="s">
        <v>412</v>
      </c>
      <c r="E935" s="6">
        <v>0.34097222222222223</v>
      </c>
      <c r="F935" s="6">
        <v>0.72291666666666665</v>
      </c>
      <c r="G935" s="3" t="s">
        <v>13</v>
      </c>
      <c r="H935" s="3" t="s">
        <v>14</v>
      </c>
      <c r="I935" s="3" t="s">
        <v>15</v>
      </c>
    </row>
    <row r="936" spans="1:9" s="3" customFormat="1" x14ac:dyDescent="0.3">
      <c r="A936" s="3" t="s">
        <v>141</v>
      </c>
      <c r="B936" s="3" t="s">
        <v>142</v>
      </c>
      <c r="C936" s="3" t="s">
        <v>18</v>
      </c>
      <c r="D936" s="3" t="s">
        <v>352</v>
      </c>
      <c r="E936" s="6">
        <v>0.35138888888888886</v>
      </c>
      <c r="F936" s="6">
        <v>0.67013888888888884</v>
      </c>
      <c r="G936" s="3" t="s">
        <v>26</v>
      </c>
      <c r="H936" s="3" t="s">
        <v>14</v>
      </c>
      <c r="I936" s="3" t="s">
        <v>15</v>
      </c>
    </row>
    <row r="937" spans="1:9" s="3" customFormat="1" x14ac:dyDescent="0.3">
      <c r="A937" s="3" t="s">
        <v>69</v>
      </c>
      <c r="B937" s="3" t="s">
        <v>70</v>
      </c>
      <c r="C937" s="3" t="s">
        <v>60</v>
      </c>
      <c r="D937" s="3" t="s">
        <v>106</v>
      </c>
      <c r="E937" s="6">
        <v>0.45763888888888887</v>
      </c>
      <c r="F937" s="6">
        <v>0.74097222222222225</v>
      </c>
      <c r="G937" s="3" t="s">
        <v>13</v>
      </c>
      <c r="H937" s="3" t="s">
        <v>27</v>
      </c>
      <c r="I937" s="3" t="s">
        <v>15</v>
      </c>
    </row>
    <row r="938" spans="1:9" s="3" customFormat="1" x14ac:dyDescent="0.3">
      <c r="A938" s="3" t="s">
        <v>119</v>
      </c>
      <c r="B938" s="3" t="s">
        <v>120</v>
      </c>
      <c r="C938" s="3" t="s">
        <v>64</v>
      </c>
      <c r="D938" s="3" t="s">
        <v>254</v>
      </c>
      <c r="E938" s="6">
        <v>0.49027777777777776</v>
      </c>
      <c r="F938" s="6">
        <v>0.77500000000000002</v>
      </c>
      <c r="G938" s="3" t="s">
        <v>13</v>
      </c>
      <c r="H938" s="3" t="s">
        <v>14</v>
      </c>
      <c r="I938" s="3" t="s">
        <v>15</v>
      </c>
    </row>
    <row r="939" spans="1:9" s="3" customFormat="1" x14ac:dyDescent="0.3">
      <c r="A939" s="3" t="s">
        <v>150</v>
      </c>
      <c r="B939" s="3" t="s">
        <v>151</v>
      </c>
      <c r="C939" s="3" t="s">
        <v>24</v>
      </c>
      <c r="D939" s="3" t="s">
        <v>397</v>
      </c>
      <c r="E939" s="6">
        <v>0.43333333333333335</v>
      </c>
      <c r="F939" s="6">
        <v>0.6791666666666667</v>
      </c>
      <c r="G939" s="3" t="s">
        <v>26</v>
      </c>
      <c r="H939" s="3" t="s">
        <v>27</v>
      </c>
      <c r="I939" s="3" t="s">
        <v>21</v>
      </c>
    </row>
    <row r="940" spans="1:9" s="3" customFormat="1" x14ac:dyDescent="0.3">
      <c r="A940" s="3" t="s">
        <v>338</v>
      </c>
      <c r="B940" s="3" t="s">
        <v>339</v>
      </c>
      <c r="C940" s="3" t="s">
        <v>167</v>
      </c>
      <c r="D940" s="3" t="s">
        <v>280</v>
      </c>
      <c r="E940" s="6">
        <v>0.35902777777777778</v>
      </c>
      <c r="F940" s="6">
        <v>0.7</v>
      </c>
      <c r="G940" s="3" t="s">
        <v>13</v>
      </c>
      <c r="H940" s="3" t="s">
        <v>14</v>
      </c>
      <c r="I940" s="3" t="s">
        <v>15</v>
      </c>
    </row>
    <row r="941" spans="1:9" s="3" customFormat="1" x14ac:dyDescent="0.3">
      <c r="A941" s="3" t="s">
        <v>119</v>
      </c>
      <c r="B941" s="3" t="s">
        <v>120</v>
      </c>
      <c r="C941" s="3" t="s">
        <v>60</v>
      </c>
      <c r="D941" s="3" t="s">
        <v>264</v>
      </c>
      <c r="E941" s="6">
        <v>0.47430555555555554</v>
      </c>
      <c r="F941" s="6">
        <v>0.69791666666666663</v>
      </c>
      <c r="G941" s="3" t="s">
        <v>26</v>
      </c>
      <c r="H941" s="3" t="s">
        <v>27</v>
      </c>
      <c r="I941" s="3" t="s">
        <v>21</v>
      </c>
    </row>
    <row r="942" spans="1:9" s="3" customFormat="1" x14ac:dyDescent="0.3">
      <c r="A942" s="3" t="s">
        <v>175</v>
      </c>
      <c r="B942" s="3" t="s">
        <v>176</v>
      </c>
      <c r="C942" s="3" t="s">
        <v>24</v>
      </c>
      <c r="D942" s="3" t="s">
        <v>318</v>
      </c>
      <c r="E942" s="6">
        <v>0.48055555555555557</v>
      </c>
      <c r="F942" s="6">
        <v>0.86041666666666672</v>
      </c>
      <c r="G942" s="3" t="s">
        <v>20</v>
      </c>
      <c r="H942" s="3" t="s">
        <v>27</v>
      </c>
      <c r="I942" s="3" t="s">
        <v>15</v>
      </c>
    </row>
    <row r="943" spans="1:9" s="3" customFormat="1" x14ac:dyDescent="0.3">
      <c r="A943" s="3" t="s">
        <v>109</v>
      </c>
      <c r="B943" s="3" t="s">
        <v>110</v>
      </c>
      <c r="C943" s="3" t="s">
        <v>60</v>
      </c>
      <c r="D943" s="3" t="s">
        <v>145</v>
      </c>
      <c r="E943" s="6"/>
      <c r="F943" s="6"/>
      <c r="G943" s="3" t="s">
        <v>44</v>
      </c>
      <c r="H943" s="3" t="s">
        <v>27</v>
      </c>
      <c r="I943" s="3" t="s">
        <v>15</v>
      </c>
    </row>
    <row r="944" spans="1:9" s="3" customFormat="1" x14ac:dyDescent="0.3">
      <c r="A944" s="3" t="s">
        <v>55</v>
      </c>
      <c r="B944" s="3" t="s">
        <v>56</v>
      </c>
      <c r="C944" s="3" t="s">
        <v>64</v>
      </c>
      <c r="D944" s="3" t="s">
        <v>336</v>
      </c>
      <c r="E944" s="6">
        <v>0.42291666666666666</v>
      </c>
      <c r="F944" s="6">
        <v>0.78541666666666665</v>
      </c>
      <c r="G944" s="3" t="s">
        <v>13</v>
      </c>
      <c r="H944" s="3" t="s">
        <v>27</v>
      </c>
      <c r="I944" s="3" t="s">
        <v>21</v>
      </c>
    </row>
    <row r="945" spans="1:9" s="3" customFormat="1" x14ac:dyDescent="0.3">
      <c r="A945" s="3" t="s">
        <v>338</v>
      </c>
      <c r="B945" s="3" t="s">
        <v>339</v>
      </c>
      <c r="C945" s="3" t="s">
        <v>60</v>
      </c>
      <c r="D945" s="3" t="s">
        <v>351</v>
      </c>
      <c r="E945" s="6">
        <v>0.4236111111111111</v>
      </c>
      <c r="F945" s="6">
        <v>0.81180555555555556</v>
      </c>
      <c r="G945" s="3" t="s">
        <v>20</v>
      </c>
      <c r="H945" s="3" t="s">
        <v>27</v>
      </c>
      <c r="I945" s="3" t="s">
        <v>15</v>
      </c>
    </row>
    <row r="946" spans="1:9" s="3" customFormat="1" x14ac:dyDescent="0.3">
      <c r="A946" s="3" t="s">
        <v>34</v>
      </c>
      <c r="B946" s="3" t="s">
        <v>35</v>
      </c>
      <c r="C946" s="3" t="s">
        <v>18</v>
      </c>
      <c r="D946" s="3" t="s">
        <v>168</v>
      </c>
      <c r="E946" s="6">
        <v>0.36041666666666666</v>
      </c>
      <c r="F946" s="6">
        <v>0.73472222222222228</v>
      </c>
      <c r="G946" s="3" t="s">
        <v>26</v>
      </c>
      <c r="H946" s="3" t="s">
        <v>14</v>
      </c>
      <c r="I946" s="3" t="s">
        <v>15</v>
      </c>
    </row>
    <row r="947" spans="1:9" s="3" customFormat="1" x14ac:dyDescent="0.3">
      <c r="A947" s="3" t="s">
        <v>52</v>
      </c>
      <c r="B947" s="3" t="s">
        <v>53</v>
      </c>
      <c r="C947" s="3" t="s">
        <v>167</v>
      </c>
      <c r="D947" s="3" t="s">
        <v>261</v>
      </c>
      <c r="E947" s="6">
        <v>0.48888888888888887</v>
      </c>
      <c r="F947" s="6">
        <v>0.77777777777777779</v>
      </c>
      <c r="G947" s="3" t="s">
        <v>26</v>
      </c>
      <c r="H947" s="3" t="s">
        <v>27</v>
      </c>
      <c r="I947" s="3" t="s">
        <v>15</v>
      </c>
    </row>
    <row r="948" spans="1:9" s="3" customFormat="1" x14ac:dyDescent="0.3">
      <c r="A948" s="3" t="s">
        <v>78</v>
      </c>
      <c r="B948" s="3" t="s">
        <v>79</v>
      </c>
      <c r="C948" s="3" t="s">
        <v>64</v>
      </c>
      <c r="D948" s="3" t="s">
        <v>353</v>
      </c>
      <c r="E948" s="6">
        <v>0.47708333333333336</v>
      </c>
      <c r="F948" s="6">
        <v>0.82638888888888884</v>
      </c>
      <c r="G948" s="3" t="s">
        <v>26</v>
      </c>
      <c r="H948" s="3" t="s">
        <v>14</v>
      </c>
      <c r="I948" s="3" t="s">
        <v>21</v>
      </c>
    </row>
    <row r="949" spans="1:9" s="3" customFormat="1" x14ac:dyDescent="0.3">
      <c r="A949" s="3" t="s">
        <v>171</v>
      </c>
      <c r="B949" s="3" t="s">
        <v>172</v>
      </c>
      <c r="C949" s="3" t="s">
        <v>18</v>
      </c>
      <c r="D949" s="3" t="s">
        <v>211</v>
      </c>
      <c r="E949" s="6">
        <v>0.38750000000000001</v>
      </c>
      <c r="F949" s="6">
        <v>0.72569444444444442</v>
      </c>
      <c r="G949" s="3" t="s">
        <v>13</v>
      </c>
      <c r="H949" s="3" t="s">
        <v>27</v>
      </c>
      <c r="I949" s="3" t="s">
        <v>21</v>
      </c>
    </row>
    <row r="950" spans="1:9" s="3" customFormat="1" x14ac:dyDescent="0.3">
      <c r="A950" s="3" t="s">
        <v>109</v>
      </c>
      <c r="B950" s="3" t="s">
        <v>110</v>
      </c>
      <c r="C950" s="3" t="s">
        <v>18</v>
      </c>
      <c r="D950" s="3" t="s">
        <v>406</v>
      </c>
      <c r="E950" s="6"/>
      <c r="F950" s="6"/>
      <c r="G950" s="3" t="s">
        <v>51</v>
      </c>
      <c r="H950" s="3" t="s">
        <v>14</v>
      </c>
      <c r="I950" s="3" t="s">
        <v>15</v>
      </c>
    </row>
    <row r="951" spans="1:9" s="3" customFormat="1" x14ac:dyDescent="0.3">
      <c r="A951" s="3" t="s">
        <v>165</v>
      </c>
      <c r="B951" s="3" t="s">
        <v>166</v>
      </c>
      <c r="C951" s="3" t="s">
        <v>64</v>
      </c>
      <c r="D951" s="3" t="s">
        <v>383</v>
      </c>
      <c r="E951" s="6">
        <v>0.48333333333333334</v>
      </c>
      <c r="F951" s="6">
        <v>0.77569444444444446</v>
      </c>
      <c r="G951" s="3" t="s">
        <v>26</v>
      </c>
      <c r="H951" s="3" t="s">
        <v>14</v>
      </c>
      <c r="I951" s="3" t="s">
        <v>21</v>
      </c>
    </row>
    <row r="952" spans="1:9" s="3" customFormat="1" x14ac:dyDescent="0.3">
      <c r="A952" s="3" t="s">
        <v>37</v>
      </c>
      <c r="B952" s="3" t="s">
        <v>38</v>
      </c>
      <c r="C952" s="3" t="s">
        <v>239</v>
      </c>
      <c r="D952" s="3" t="s">
        <v>98</v>
      </c>
      <c r="E952" s="6">
        <v>0.41736111111111113</v>
      </c>
      <c r="F952" s="6">
        <v>0.8208333333333333</v>
      </c>
      <c r="G952" s="3" t="s">
        <v>20</v>
      </c>
      <c r="H952" s="3" t="s">
        <v>27</v>
      </c>
      <c r="I952" s="3" t="s">
        <v>21</v>
      </c>
    </row>
    <row r="953" spans="1:9" s="3" customFormat="1" x14ac:dyDescent="0.3">
      <c r="A953" s="3" t="s">
        <v>338</v>
      </c>
      <c r="B953" s="3" t="s">
        <v>339</v>
      </c>
      <c r="C953" s="3" t="s">
        <v>64</v>
      </c>
      <c r="D953" s="3" t="s">
        <v>235</v>
      </c>
      <c r="E953" s="6">
        <v>0.34861111111111109</v>
      </c>
      <c r="F953" s="6">
        <v>0.70694444444444449</v>
      </c>
      <c r="G953" s="3" t="s">
        <v>13</v>
      </c>
      <c r="H953" s="3" t="s">
        <v>14</v>
      </c>
      <c r="I953" s="3" t="s">
        <v>21</v>
      </c>
    </row>
    <row r="954" spans="1:9" s="3" customFormat="1" x14ac:dyDescent="0.3">
      <c r="A954" s="3" t="s">
        <v>146</v>
      </c>
      <c r="B954" s="3" t="s">
        <v>147</v>
      </c>
      <c r="C954" s="3" t="s">
        <v>64</v>
      </c>
      <c r="D954" s="3" t="s">
        <v>354</v>
      </c>
      <c r="E954" s="6">
        <v>0.46597222222222223</v>
      </c>
      <c r="F954" s="6">
        <v>0.69513888888888886</v>
      </c>
      <c r="G954" s="3" t="s">
        <v>13</v>
      </c>
      <c r="H954" s="3" t="s">
        <v>27</v>
      </c>
      <c r="I954" s="3" t="s">
        <v>15</v>
      </c>
    </row>
    <row r="955" spans="1:9" s="3" customFormat="1" x14ac:dyDescent="0.3">
      <c r="A955" s="3" t="s">
        <v>87</v>
      </c>
      <c r="B955" s="3" t="s">
        <v>88</v>
      </c>
      <c r="C955" s="3" t="s">
        <v>42</v>
      </c>
      <c r="D955" s="3" t="s">
        <v>359</v>
      </c>
      <c r="E955" s="6"/>
      <c r="F955" s="6"/>
      <c r="G955" s="3" t="s">
        <v>44</v>
      </c>
      <c r="H955" s="3" t="s">
        <v>14</v>
      </c>
      <c r="I955" s="3" t="s">
        <v>15</v>
      </c>
    </row>
    <row r="956" spans="1:9" s="3" customFormat="1" x14ac:dyDescent="0.3">
      <c r="A956" s="3" t="s">
        <v>236</v>
      </c>
      <c r="B956" s="3" t="s">
        <v>237</v>
      </c>
      <c r="C956" s="3" t="s">
        <v>60</v>
      </c>
      <c r="D956" s="3" t="s">
        <v>173</v>
      </c>
      <c r="E956" s="6"/>
      <c r="F956" s="6"/>
      <c r="G956" s="3" t="s">
        <v>44</v>
      </c>
      <c r="H956" s="3" t="s">
        <v>14</v>
      </c>
      <c r="I956" s="3" t="s">
        <v>15</v>
      </c>
    </row>
    <row r="957" spans="1:9" s="3" customFormat="1" x14ac:dyDescent="0.3">
      <c r="A957" s="3" t="s">
        <v>119</v>
      </c>
      <c r="B957" s="3" t="s">
        <v>120</v>
      </c>
      <c r="C957" s="3" t="s">
        <v>24</v>
      </c>
      <c r="D957" s="3" t="s">
        <v>358</v>
      </c>
      <c r="E957" s="6"/>
      <c r="F957" s="6"/>
      <c r="G957" s="3" t="s">
        <v>44</v>
      </c>
      <c r="H957" s="3" t="s">
        <v>27</v>
      </c>
      <c r="I957" s="3" t="s">
        <v>21</v>
      </c>
    </row>
    <row r="958" spans="1:9" s="3" customFormat="1" x14ac:dyDescent="0.3">
      <c r="A958" s="3" t="s">
        <v>250</v>
      </c>
      <c r="B958" s="3" t="s">
        <v>251</v>
      </c>
      <c r="C958" s="3" t="s">
        <v>24</v>
      </c>
      <c r="D958" s="3" t="s">
        <v>343</v>
      </c>
      <c r="E958" s="6">
        <v>0.43125000000000002</v>
      </c>
      <c r="F958" s="6">
        <v>0.83263888888888893</v>
      </c>
      <c r="G958" s="3" t="s">
        <v>20</v>
      </c>
      <c r="H958" s="3" t="s">
        <v>14</v>
      </c>
      <c r="I958" s="3" t="s">
        <v>15</v>
      </c>
    </row>
    <row r="959" spans="1:9" s="3" customFormat="1" x14ac:dyDescent="0.3">
      <c r="A959" s="3" t="s">
        <v>28</v>
      </c>
      <c r="B959" s="3" t="s">
        <v>29</v>
      </c>
      <c r="C959" s="3" t="s">
        <v>24</v>
      </c>
      <c r="D959" s="3" t="s">
        <v>329</v>
      </c>
      <c r="E959" s="6">
        <v>0.44166666666666665</v>
      </c>
      <c r="F959" s="6">
        <v>0.78749999999999998</v>
      </c>
      <c r="G959" s="3" t="s">
        <v>26</v>
      </c>
      <c r="H959" s="3" t="s">
        <v>14</v>
      </c>
      <c r="I959" s="3" t="s">
        <v>15</v>
      </c>
    </row>
    <row r="960" spans="1:9" s="3" customFormat="1" x14ac:dyDescent="0.3">
      <c r="A960" s="3" t="s">
        <v>154</v>
      </c>
      <c r="B960" s="3" t="s">
        <v>155</v>
      </c>
      <c r="C960" s="3" t="s">
        <v>60</v>
      </c>
      <c r="D960" s="3" t="s">
        <v>280</v>
      </c>
      <c r="E960" s="6">
        <v>0.39861111111111114</v>
      </c>
      <c r="F960" s="6">
        <v>0.76944444444444449</v>
      </c>
      <c r="G960" s="3" t="s">
        <v>13</v>
      </c>
      <c r="H960" s="3" t="s">
        <v>27</v>
      </c>
      <c r="I960" s="3" t="s">
        <v>21</v>
      </c>
    </row>
    <row r="961" spans="1:9" s="3" customFormat="1" x14ac:dyDescent="0.3">
      <c r="A961" s="3" t="s">
        <v>45</v>
      </c>
      <c r="B961" s="3" t="s">
        <v>46</v>
      </c>
      <c r="C961" s="3" t="s">
        <v>64</v>
      </c>
      <c r="D961" s="3" t="s">
        <v>409</v>
      </c>
      <c r="E961" s="6">
        <v>0.46944444444444444</v>
      </c>
      <c r="F961" s="6">
        <v>0.83125000000000004</v>
      </c>
      <c r="G961" s="3" t="s">
        <v>20</v>
      </c>
      <c r="H961" s="3" t="s">
        <v>14</v>
      </c>
      <c r="I961" s="3" t="s">
        <v>15</v>
      </c>
    </row>
    <row r="962" spans="1:9" s="3" customFormat="1" x14ac:dyDescent="0.3">
      <c r="A962" s="3" t="s">
        <v>187</v>
      </c>
      <c r="B962" s="3" t="s">
        <v>188</v>
      </c>
      <c r="C962" s="3" t="s">
        <v>18</v>
      </c>
      <c r="D962" s="3" t="s">
        <v>407</v>
      </c>
      <c r="E962" s="6">
        <v>0.40555555555555556</v>
      </c>
      <c r="F962" s="6">
        <v>0.83472222222222225</v>
      </c>
      <c r="G962" s="3" t="s">
        <v>125</v>
      </c>
      <c r="H962" s="3" t="s">
        <v>14</v>
      </c>
      <c r="I962" s="3" t="s">
        <v>15</v>
      </c>
    </row>
    <row r="963" spans="1:9" s="3" customFormat="1" x14ac:dyDescent="0.3">
      <c r="A963" s="3" t="s">
        <v>112</v>
      </c>
      <c r="B963" s="3" t="s">
        <v>113</v>
      </c>
      <c r="C963" s="3" t="s">
        <v>18</v>
      </c>
      <c r="D963" s="3" t="s">
        <v>365</v>
      </c>
      <c r="E963" s="6">
        <v>0.45902777777777776</v>
      </c>
      <c r="F963" s="6">
        <v>0.86805555555555558</v>
      </c>
      <c r="G963" s="3" t="s">
        <v>26</v>
      </c>
      <c r="H963" s="3" t="s">
        <v>27</v>
      </c>
      <c r="I963" s="3" t="s">
        <v>15</v>
      </c>
    </row>
    <row r="964" spans="1:9" s="3" customFormat="1" x14ac:dyDescent="0.3">
      <c r="A964" s="3" t="s">
        <v>112</v>
      </c>
      <c r="B964" s="3" t="s">
        <v>113</v>
      </c>
      <c r="C964" s="3" t="s">
        <v>42</v>
      </c>
      <c r="D964" s="3" t="s">
        <v>301</v>
      </c>
      <c r="E964" s="6">
        <v>0.40555555555555556</v>
      </c>
      <c r="F964" s="6">
        <v>0.84861111111111109</v>
      </c>
      <c r="G964" s="3" t="s">
        <v>20</v>
      </c>
      <c r="H964" s="3" t="s">
        <v>27</v>
      </c>
      <c r="I964" s="3" t="s">
        <v>15</v>
      </c>
    </row>
    <row r="965" spans="1:9" s="3" customFormat="1" x14ac:dyDescent="0.3">
      <c r="A965" s="3" t="s">
        <v>171</v>
      </c>
      <c r="B965" s="3" t="s">
        <v>172</v>
      </c>
      <c r="C965" s="3" t="s">
        <v>64</v>
      </c>
      <c r="D965" s="3" t="s">
        <v>385</v>
      </c>
      <c r="E965" s="6"/>
      <c r="F965" s="6"/>
      <c r="G965" s="3" t="s">
        <v>44</v>
      </c>
      <c r="H965" s="3" t="s">
        <v>27</v>
      </c>
      <c r="I965" s="3" t="s">
        <v>15</v>
      </c>
    </row>
    <row r="966" spans="1:9" s="3" customFormat="1" x14ac:dyDescent="0.3">
      <c r="A966" s="3" t="s">
        <v>37</v>
      </c>
      <c r="B966" s="3" t="s">
        <v>38</v>
      </c>
      <c r="C966" s="3" t="s">
        <v>18</v>
      </c>
      <c r="D966" s="3" t="s">
        <v>179</v>
      </c>
      <c r="E966" s="6">
        <v>0.49583333333333335</v>
      </c>
      <c r="F966" s="6">
        <v>0.70347222222222228</v>
      </c>
      <c r="G966" s="3" t="s">
        <v>13</v>
      </c>
      <c r="H966" s="3" t="s">
        <v>14</v>
      </c>
      <c r="I966" s="3" t="s">
        <v>15</v>
      </c>
    </row>
    <row r="967" spans="1:9" s="3" customFormat="1" x14ac:dyDescent="0.3">
      <c r="A967" s="3" t="s">
        <v>55</v>
      </c>
      <c r="B967" s="3" t="s">
        <v>56</v>
      </c>
      <c r="C967" s="3" t="s">
        <v>64</v>
      </c>
      <c r="D967" s="3" t="s">
        <v>12</v>
      </c>
      <c r="E967" s="6">
        <v>0.375</v>
      </c>
      <c r="F967" s="6">
        <v>0.69791666666666663</v>
      </c>
      <c r="G967" s="3" t="s">
        <v>13</v>
      </c>
      <c r="H967" s="3" t="s">
        <v>27</v>
      </c>
      <c r="I967" s="3" t="s">
        <v>15</v>
      </c>
    </row>
    <row r="968" spans="1:9" s="3" customFormat="1" x14ac:dyDescent="0.3">
      <c r="A968" s="3" t="s">
        <v>9</v>
      </c>
      <c r="B968" s="3" t="s">
        <v>10</v>
      </c>
      <c r="C968" s="3" t="s">
        <v>18</v>
      </c>
      <c r="D968" s="3" t="s">
        <v>329</v>
      </c>
      <c r="E968" s="6">
        <v>0.34861111111111109</v>
      </c>
      <c r="F968" s="6">
        <v>0.74305555555555558</v>
      </c>
      <c r="G968" s="3" t="s">
        <v>26</v>
      </c>
      <c r="H968" s="3" t="s">
        <v>27</v>
      </c>
      <c r="I968" s="3" t="s">
        <v>21</v>
      </c>
    </row>
    <row r="969" spans="1:9" s="3" customFormat="1" x14ac:dyDescent="0.3">
      <c r="A969" s="3" t="s">
        <v>157</v>
      </c>
      <c r="B969" s="3" t="s">
        <v>158</v>
      </c>
      <c r="C969" s="3" t="s">
        <v>60</v>
      </c>
      <c r="D969" s="3" t="s">
        <v>118</v>
      </c>
      <c r="E969" s="6">
        <v>0.43958333333333333</v>
      </c>
      <c r="F969" s="6">
        <v>0.85</v>
      </c>
      <c r="G969" s="3" t="s">
        <v>20</v>
      </c>
      <c r="H969" s="3" t="s">
        <v>14</v>
      </c>
      <c r="I969" s="3" t="s">
        <v>21</v>
      </c>
    </row>
    <row r="970" spans="1:9" s="3" customFormat="1" x14ac:dyDescent="0.3">
      <c r="A970" s="3" t="s">
        <v>62</v>
      </c>
      <c r="B970" s="3" t="s">
        <v>63</v>
      </c>
      <c r="C970" s="3" t="s">
        <v>24</v>
      </c>
      <c r="D970" s="3" t="s">
        <v>347</v>
      </c>
      <c r="E970" s="6"/>
      <c r="F970" s="6"/>
      <c r="G970" s="3" t="s">
        <v>44</v>
      </c>
      <c r="H970" s="3" t="s">
        <v>27</v>
      </c>
      <c r="I970" s="3" t="s">
        <v>21</v>
      </c>
    </row>
    <row r="971" spans="1:9" s="3" customFormat="1" x14ac:dyDescent="0.3">
      <c r="A971" s="3" t="s">
        <v>187</v>
      </c>
      <c r="B971" s="3" t="s">
        <v>188</v>
      </c>
      <c r="C971" s="3" t="s">
        <v>24</v>
      </c>
      <c r="D971" s="3" t="s">
        <v>193</v>
      </c>
      <c r="E971" s="6">
        <v>0.36527777777777776</v>
      </c>
      <c r="F971" s="6">
        <v>0.87222222222222223</v>
      </c>
      <c r="G971" s="3" t="s">
        <v>13</v>
      </c>
      <c r="H971" s="3" t="s">
        <v>27</v>
      </c>
      <c r="I971" s="3" t="s">
        <v>21</v>
      </c>
    </row>
    <row r="972" spans="1:9" s="3" customFormat="1" x14ac:dyDescent="0.3">
      <c r="A972" s="3" t="s">
        <v>119</v>
      </c>
      <c r="B972" s="3" t="s">
        <v>120</v>
      </c>
      <c r="C972" s="3" t="s">
        <v>18</v>
      </c>
      <c r="D972" s="3" t="s">
        <v>221</v>
      </c>
      <c r="E972" s="6">
        <v>0.34513888888888888</v>
      </c>
      <c r="F972" s="6">
        <v>0.77777777777777779</v>
      </c>
      <c r="G972" s="3" t="s">
        <v>13</v>
      </c>
      <c r="H972" s="3" t="s">
        <v>27</v>
      </c>
      <c r="I972" s="3" t="s">
        <v>21</v>
      </c>
    </row>
    <row r="973" spans="1:9" s="3" customFormat="1" x14ac:dyDescent="0.3">
      <c r="A973" s="3" t="s">
        <v>109</v>
      </c>
      <c r="B973" s="3" t="s">
        <v>110</v>
      </c>
      <c r="C973" s="3" t="s">
        <v>24</v>
      </c>
      <c r="D973" s="3" t="s">
        <v>54</v>
      </c>
      <c r="E973" s="6">
        <v>0.46875</v>
      </c>
      <c r="F973" s="6">
        <v>0.77013888888888893</v>
      </c>
      <c r="G973" s="3" t="s">
        <v>26</v>
      </c>
      <c r="H973" s="3" t="s">
        <v>27</v>
      </c>
      <c r="I973" s="3" t="s">
        <v>15</v>
      </c>
    </row>
    <row r="974" spans="1:9" s="3" customFormat="1" x14ac:dyDescent="0.3">
      <c r="A974" s="3" t="s">
        <v>194</v>
      </c>
      <c r="B974" s="3" t="s">
        <v>195</v>
      </c>
      <c r="C974" s="3" t="s">
        <v>60</v>
      </c>
      <c r="D974" s="3" t="s">
        <v>36</v>
      </c>
      <c r="E974" s="6"/>
      <c r="F974" s="6"/>
      <c r="G974" s="3" t="s">
        <v>44</v>
      </c>
      <c r="H974" s="3" t="s">
        <v>14</v>
      </c>
      <c r="I974" s="3" t="s">
        <v>15</v>
      </c>
    </row>
    <row r="975" spans="1:9" s="3" customFormat="1" x14ac:dyDescent="0.3">
      <c r="A975" s="3" t="s">
        <v>213</v>
      </c>
      <c r="B975" s="3" t="s">
        <v>214</v>
      </c>
      <c r="C975" s="3" t="s">
        <v>64</v>
      </c>
      <c r="D975" s="3" t="s">
        <v>210</v>
      </c>
      <c r="E975" s="6">
        <v>0.43055555555555558</v>
      </c>
      <c r="F975" s="6">
        <v>0.78402777777777777</v>
      </c>
      <c r="G975" s="3" t="s">
        <v>13</v>
      </c>
      <c r="H975" s="3" t="s">
        <v>27</v>
      </c>
      <c r="I975" s="3" t="s">
        <v>15</v>
      </c>
    </row>
    <row r="976" spans="1:9" s="3" customFormat="1" x14ac:dyDescent="0.3">
      <c r="A976" s="3" t="s">
        <v>315</v>
      </c>
      <c r="B976" s="3" t="s">
        <v>316</v>
      </c>
      <c r="C976" s="3" t="s">
        <v>18</v>
      </c>
      <c r="D976" s="3" t="s">
        <v>156</v>
      </c>
      <c r="E976" s="6">
        <v>0.49375000000000002</v>
      </c>
      <c r="F976" s="6">
        <v>0.75763888888888886</v>
      </c>
      <c r="G976" s="3" t="s">
        <v>20</v>
      </c>
      <c r="H976" s="3" t="s">
        <v>14</v>
      </c>
      <c r="I976" s="3" t="s">
        <v>15</v>
      </c>
    </row>
    <row r="977" spans="1:9" s="3" customFormat="1" x14ac:dyDescent="0.3">
      <c r="A977" s="3" t="s">
        <v>93</v>
      </c>
      <c r="B977" s="3" t="s">
        <v>94</v>
      </c>
      <c r="C977" s="3" t="s">
        <v>42</v>
      </c>
      <c r="D977" s="3" t="s">
        <v>118</v>
      </c>
      <c r="E977" s="6"/>
      <c r="F977" s="6"/>
      <c r="G977" s="3" t="s">
        <v>44</v>
      </c>
      <c r="H977" s="3" t="s">
        <v>14</v>
      </c>
      <c r="I977" s="3" t="s">
        <v>15</v>
      </c>
    </row>
    <row r="978" spans="1:9" s="3" customFormat="1" x14ac:dyDescent="0.3">
      <c r="A978" s="3" t="s">
        <v>236</v>
      </c>
      <c r="B978" s="3" t="s">
        <v>237</v>
      </c>
      <c r="C978" s="3" t="s">
        <v>64</v>
      </c>
      <c r="D978" s="3" t="s">
        <v>255</v>
      </c>
      <c r="E978" s="6">
        <v>0.34513888888888888</v>
      </c>
      <c r="F978" s="6">
        <v>0.7319444444444444</v>
      </c>
      <c r="G978" s="3" t="s">
        <v>13</v>
      </c>
      <c r="H978" s="3" t="s">
        <v>27</v>
      </c>
      <c r="I978" s="3" t="s">
        <v>21</v>
      </c>
    </row>
    <row r="979" spans="1:9" s="3" customFormat="1" x14ac:dyDescent="0.3">
      <c r="A979" s="3" t="s">
        <v>58</v>
      </c>
      <c r="B979" s="3" t="s">
        <v>59</v>
      </c>
      <c r="C979" s="3" t="s">
        <v>64</v>
      </c>
      <c r="D979" s="3" t="s">
        <v>180</v>
      </c>
      <c r="E979" s="6">
        <v>0.35138888888888886</v>
      </c>
      <c r="F979" s="6">
        <v>0.76458333333333328</v>
      </c>
      <c r="G979" s="3" t="s">
        <v>13</v>
      </c>
      <c r="H979" s="3" t="s">
        <v>14</v>
      </c>
      <c r="I979" s="3" t="s">
        <v>21</v>
      </c>
    </row>
    <row r="980" spans="1:9" s="3" customFormat="1" x14ac:dyDescent="0.3">
      <c r="A980" s="3" t="s">
        <v>269</v>
      </c>
      <c r="B980" s="3" t="s">
        <v>270</v>
      </c>
      <c r="C980" s="3" t="s">
        <v>64</v>
      </c>
      <c r="D980" s="3" t="s">
        <v>367</v>
      </c>
      <c r="E980" s="6">
        <v>0.49791666666666667</v>
      </c>
      <c r="F980" s="6">
        <v>0.73819444444444449</v>
      </c>
      <c r="G980" s="3" t="s">
        <v>26</v>
      </c>
      <c r="H980" s="3" t="s">
        <v>27</v>
      </c>
      <c r="I980" s="3" t="s">
        <v>21</v>
      </c>
    </row>
    <row r="981" spans="1:9" s="3" customFormat="1" x14ac:dyDescent="0.3">
      <c r="A981" s="3" t="s">
        <v>40</v>
      </c>
      <c r="B981" s="3" t="s">
        <v>41</v>
      </c>
      <c r="C981" s="3" t="s">
        <v>60</v>
      </c>
      <c r="D981" s="3" t="s">
        <v>341</v>
      </c>
      <c r="E981" s="6"/>
      <c r="F981" s="6"/>
      <c r="G981" s="3" t="s">
        <v>44</v>
      </c>
      <c r="H981" s="3" t="s">
        <v>14</v>
      </c>
      <c r="I981" s="3" t="s">
        <v>15</v>
      </c>
    </row>
    <row r="982" spans="1:9" s="3" customFormat="1" x14ac:dyDescent="0.3">
      <c r="A982" s="3" t="s">
        <v>122</v>
      </c>
      <c r="B982" s="3" t="s">
        <v>123</v>
      </c>
      <c r="C982" s="3" t="s">
        <v>60</v>
      </c>
      <c r="D982" s="3" t="s">
        <v>61</v>
      </c>
      <c r="E982" s="6">
        <v>0.35694444444444445</v>
      </c>
      <c r="F982" s="6">
        <v>0.67777777777777781</v>
      </c>
      <c r="G982" s="3" t="s">
        <v>13</v>
      </c>
      <c r="H982" s="3" t="s">
        <v>14</v>
      </c>
      <c r="I982" s="3" t="s">
        <v>21</v>
      </c>
    </row>
    <row r="983" spans="1:9" s="3" customFormat="1" x14ac:dyDescent="0.3">
      <c r="A983" s="3" t="s">
        <v>52</v>
      </c>
      <c r="B983" s="3" t="s">
        <v>53</v>
      </c>
      <c r="C983" s="3" t="s">
        <v>60</v>
      </c>
      <c r="D983" s="3" t="s">
        <v>163</v>
      </c>
      <c r="E983" s="6">
        <v>0.36388888888888887</v>
      </c>
      <c r="F983" s="6">
        <v>0.76041666666666663</v>
      </c>
      <c r="G983" s="3" t="s">
        <v>26</v>
      </c>
      <c r="H983" s="3" t="s">
        <v>14</v>
      </c>
      <c r="I983" s="3" t="s">
        <v>21</v>
      </c>
    </row>
    <row r="984" spans="1:9" s="3" customFormat="1" x14ac:dyDescent="0.3">
      <c r="A984" s="3" t="s">
        <v>34</v>
      </c>
      <c r="B984" s="3" t="s">
        <v>35</v>
      </c>
      <c r="C984" s="3" t="s">
        <v>42</v>
      </c>
      <c r="D984" s="3" t="s">
        <v>377</v>
      </c>
      <c r="E984" s="6">
        <v>0.36249999999999999</v>
      </c>
      <c r="F984" s="6">
        <v>0.87013888888888891</v>
      </c>
      <c r="G984" s="3" t="s">
        <v>13</v>
      </c>
      <c r="H984" s="3" t="s">
        <v>27</v>
      </c>
      <c r="I984" s="3" t="s">
        <v>21</v>
      </c>
    </row>
    <row r="985" spans="1:9" s="3" customFormat="1" x14ac:dyDescent="0.3">
      <c r="A985" s="3" t="s">
        <v>62</v>
      </c>
      <c r="B985" s="3" t="s">
        <v>63</v>
      </c>
      <c r="C985" s="3" t="s">
        <v>60</v>
      </c>
      <c r="D985" s="3" t="s">
        <v>136</v>
      </c>
      <c r="E985" s="6"/>
      <c r="F985" s="6"/>
      <c r="G985" s="3" t="s">
        <v>51</v>
      </c>
      <c r="H985" s="3" t="s">
        <v>27</v>
      </c>
      <c r="I985" s="3" t="s">
        <v>21</v>
      </c>
    </row>
    <row r="986" spans="1:9" s="3" customFormat="1" x14ac:dyDescent="0.3">
      <c r="A986" s="3" t="s">
        <v>246</v>
      </c>
      <c r="B986" s="3" t="s">
        <v>247</v>
      </c>
      <c r="C986" s="3" t="s">
        <v>18</v>
      </c>
      <c r="D986" s="3" t="s">
        <v>376</v>
      </c>
      <c r="E986" s="6">
        <v>0.36388888888888887</v>
      </c>
      <c r="F986" s="6">
        <v>0.73263888888888884</v>
      </c>
      <c r="G986" s="3" t="s">
        <v>13</v>
      </c>
      <c r="H986" s="3" t="s">
        <v>27</v>
      </c>
      <c r="I986" s="3" t="s">
        <v>21</v>
      </c>
    </row>
    <row r="987" spans="1:9" s="3" customFormat="1" x14ac:dyDescent="0.3">
      <c r="A987" s="3" t="s">
        <v>315</v>
      </c>
      <c r="B987" s="3" t="s">
        <v>316</v>
      </c>
      <c r="C987" s="3" t="s">
        <v>64</v>
      </c>
      <c r="D987" s="3" t="s">
        <v>156</v>
      </c>
      <c r="E987" s="6">
        <v>0.45416666666666666</v>
      </c>
      <c r="F987" s="6">
        <v>0.75555555555555554</v>
      </c>
      <c r="G987" s="3" t="s">
        <v>26</v>
      </c>
      <c r="H987" s="3" t="s">
        <v>27</v>
      </c>
      <c r="I987" s="3" t="s">
        <v>21</v>
      </c>
    </row>
    <row r="988" spans="1:9" s="3" customFormat="1" x14ac:dyDescent="0.3">
      <c r="A988" s="3" t="s">
        <v>115</v>
      </c>
      <c r="B988" s="3" t="s">
        <v>116</v>
      </c>
      <c r="C988" s="3" t="s">
        <v>60</v>
      </c>
      <c r="D988" s="3" t="s">
        <v>185</v>
      </c>
      <c r="E988" s="6">
        <v>0.46944444444444444</v>
      </c>
      <c r="F988" s="6">
        <v>0.84027777777777779</v>
      </c>
      <c r="G988" s="3" t="s">
        <v>13</v>
      </c>
      <c r="H988" s="3" t="s">
        <v>14</v>
      </c>
      <c r="I988" s="3" t="s">
        <v>15</v>
      </c>
    </row>
    <row r="989" spans="1:9" s="3" customFormat="1" x14ac:dyDescent="0.3">
      <c r="A989" s="3" t="s">
        <v>58</v>
      </c>
      <c r="B989" s="3" t="s">
        <v>59</v>
      </c>
      <c r="C989" s="3" t="s">
        <v>60</v>
      </c>
      <c r="D989" s="3" t="s">
        <v>400</v>
      </c>
      <c r="E989" s="6">
        <v>0.49236111111111114</v>
      </c>
      <c r="F989" s="6">
        <v>0.76388888888888884</v>
      </c>
      <c r="G989" s="3" t="s">
        <v>20</v>
      </c>
      <c r="H989" s="3" t="s">
        <v>14</v>
      </c>
      <c r="I989" s="3" t="s">
        <v>21</v>
      </c>
    </row>
    <row r="990" spans="1:9" s="3" customFormat="1" x14ac:dyDescent="0.3">
      <c r="A990" s="3" t="s">
        <v>157</v>
      </c>
      <c r="B990" s="3" t="s">
        <v>158</v>
      </c>
      <c r="C990" s="3" t="s">
        <v>42</v>
      </c>
      <c r="D990" s="3" t="s">
        <v>324</v>
      </c>
      <c r="E990" s="6"/>
      <c r="F990" s="6"/>
      <c r="G990" s="3" t="s">
        <v>44</v>
      </c>
      <c r="H990" s="3" t="s">
        <v>14</v>
      </c>
      <c r="I990" s="3" t="s">
        <v>21</v>
      </c>
    </row>
    <row r="991" spans="1:9" s="3" customFormat="1" x14ac:dyDescent="0.3">
      <c r="A991" s="3" t="s">
        <v>84</v>
      </c>
      <c r="B991" s="3" t="s">
        <v>85</v>
      </c>
      <c r="C991" s="3" t="s">
        <v>60</v>
      </c>
      <c r="D991" s="3" t="s">
        <v>313</v>
      </c>
      <c r="E991" s="6"/>
      <c r="F991" s="6"/>
      <c r="G991" s="3" t="s">
        <v>44</v>
      </c>
      <c r="H991" s="3" t="s">
        <v>27</v>
      </c>
      <c r="I991" s="3" t="s">
        <v>15</v>
      </c>
    </row>
    <row r="992" spans="1:9" s="3" customFormat="1" x14ac:dyDescent="0.3">
      <c r="A992" s="3" t="s">
        <v>115</v>
      </c>
      <c r="B992" s="3" t="s">
        <v>116</v>
      </c>
      <c r="C992" s="3" t="s">
        <v>24</v>
      </c>
      <c r="D992" s="3" t="s">
        <v>169</v>
      </c>
      <c r="E992" s="6">
        <v>0.47638888888888886</v>
      </c>
      <c r="F992" s="6">
        <v>0.72083333333333333</v>
      </c>
      <c r="G992" s="3" t="s">
        <v>26</v>
      </c>
      <c r="H992" s="3" t="s">
        <v>27</v>
      </c>
      <c r="I992" s="3" t="s">
        <v>21</v>
      </c>
    </row>
    <row r="993" spans="1:9" s="3" customFormat="1" x14ac:dyDescent="0.3">
      <c r="A993" s="3" t="s">
        <v>78</v>
      </c>
      <c r="B993" s="3" t="s">
        <v>79</v>
      </c>
      <c r="C993" s="3" t="s">
        <v>18</v>
      </c>
      <c r="D993" s="3" t="s">
        <v>407</v>
      </c>
      <c r="E993" s="6">
        <v>0.45694444444444443</v>
      </c>
      <c r="F993" s="6">
        <v>0.76249999999999996</v>
      </c>
      <c r="G993" s="3" t="s">
        <v>26</v>
      </c>
      <c r="H993" s="3" t="s">
        <v>14</v>
      </c>
      <c r="I993" s="3" t="s">
        <v>15</v>
      </c>
    </row>
    <row r="994" spans="1:9" s="3" customFormat="1" x14ac:dyDescent="0.3">
      <c r="A994" s="3" t="s">
        <v>362</v>
      </c>
      <c r="B994" s="3" t="s">
        <v>363</v>
      </c>
      <c r="C994" s="3" t="s">
        <v>24</v>
      </c>
      <c r="D994" s="3" t="s">
        <v>375</v>
      </c>
      <c r="E994" s="6">
        <v>0.33541666666666664</v>
      </c>
      <c r="F994" s="6">
        <v>0.72222222222222221</v>
      </c>
      <c r="G994" s="3" t="s">
        <v>20</v>
      </c>
      <c r="H994" s="3" t="s">
        <v>27</v>
      </c>
      <c r="I994" s="3" t="s">
        <v>15</v>
      </c>
    </row>
    <row r="995" spans="1:9" s="3" customFormat="1" x14ac:dyDescent="0.3">
      <c r="A995" s="3" t="s">
        <v>315</v>
      </c>
      <c r="B995" s="3" t="s">
        <v>316</v>
      </c>
      <c r="C995" s="3" t="s">
        <v>18</v>
      </c>
      <c r="D995" s="3" t="s">
        <v>280</v>
      </c>
      <c r="E995" s="6">
        <v>0.34513888888888888</v>
      </c>
      <c r="F995" s="6">
        <v>0.75347222222222221</v>
      </c>
      <c r="G995" s="3" t="s">
        <v>13</v>
      </c>
      <c r="H995" s="3" t="s">
        <v>27</v>
      </c>
      <c r="I995" s="3" t="s">
        <v>15</v>
      </c>
    </row>
    <row r="996" spans="1:9" s="3" customFormat="1" x14ac:dyDescent="0.3">
      <c r="A996" s="3" t="s">
        <v>72</v>
      </c>
      <c r="B996" s="3" t="s">
        <v>73</v>
      </c>
      <c r="C996" s="3" t="s">
        <v>18</v>
      </c>
      <c r="D996" s="3" t="s">
        <v>50</v>
      </c>
      <c r="E996" s="6">
        <v>0.34861111111111109</v>
      </c>
      <c r="F996" s="6">
        <v>0.72291666666666665</v>
      </c>
      <c r="G996" s="3" t="s">
        <v>13</v>
      </c>
      <c r="H996" s="3" t="s">
        <v>14</v>
      </c>
      <c r="I996" s="3" t="s">
        <v>21</v>
      </c>
    </row>
    <row r="997" spans="1:9" s="3" customFormat="1" x14ac:dyDescent="0.3">
      <c r="A997" s="3" t="s">
        <v>141</v>
      </c>
      <c r="B997" s="3" t="s">
        <v>142</v>
      </c>
      <c r="C997" s="3" t="s">
        <v>42</v>
      </c>
      <c r="D997" s="3" t="s">
        <v>327</v>
      </c>
      <c r="E997" s="6">
        <v>0.48958333333333331</v>
      </c>
      <c r="F997" s="6">
        <v>0.73402777777777772</v>
      </c>
      <c r="G997" s="3" t="s">
        <v>26</v>
      </c>
      <c r="H997" s="3" t="s">
        <v>27</v>
      </c>
      <c r="I997" s="3" t="s">
        <v>15</v>
      </c>
    </row>
    <row r="998" spans="1:9" s="3" customFormat="1" x14ac:dyDescent="0.3">
      <c r="A998" s="3" t="s">
        <v>90</v>
      </c>
      <c r="B998" s="3" t="s">
        <v>91</v>
      </c>
      <c r="C998" s="3" t="s">
        <v>60</v>
      </c>
      <c r="D998" s="3" t="s">
        <v>152</v>
      </c>
      <c r="E998" s="6">
        <v>0.43125000000000002</v>
      </c>
      <c r="F998" s="6">
        <v>0.7895833333333333</v>
      </c>
      <c r="G998" s="3" t="s">
        <v>20</v>
      </c>
      <c r="H998" s="3" t="s">
        <v>27</v>
      </c>
      <c r="I998" s="3" t="s">
        <v>21</v>
      </c>
    </row>
    <row r="999" spans="1:9" s="3" customFormat="1" x14ac:dyDescent="0.3">
      <c r="A999" s="3" t="s">
        <v>141</v>
      </c>
      <c r="B999" s="3" t="s">
        <v>142</v>
      </c>
      <c r="C999" s="3" t="s">
        <v>18</v>
      </c>
      <c r="D999" s="3" t="s">
        <v>329</v>
      </c>
      <c r="E999" s="6">
        <v>0.46527777777777779</v>
      </c>
      <c r="F999" s="6">
        <v>0.72638888888888886</v>
      </c>
      <c r="G999" s="3" t="s">
        <v>26</v>
      </c>
      <c r="H999" s="3" t="s">
        <v>14</v>
      </c>
      <c r="I999" s="3" t="s">
        <v>15</v>
      </c>
    </row>
    <row r="1000" spans="1:9" s="3" customFormat="1" x14ac:dyDescent="0.3">
      <c r="A1000" s="3" t="s">
        <v>138</v>
      </c>
      <c r="B1000" s="3" t="s">
        <v>139</v>
      </c>
      <c r="C1000" s="3" t="s">
        <v>64</v>
      </c>
      <c r="D1000" s="3" t="s">
        <v>210</v>
      </c>
      <c r="E1000" s="6"/>
      <c r="F1000" s="6"/>
      <c r="G1000" s="3" t="s">
        <v>44</v>
      </c>
      <c r="H1000" s="3" t="s">
        <v>27</v>
      </c>
      <c r="I1000" s="3" t="s">
        <v>15</v>
      </c>
    </row>
    <row r="1001" spans="1:9" s="3" customFormat="1" x14ac:dyDescent="0.3">
      <c r="A1001" s="3" t="s">
        <v>31</v>
      </c>
      <c r="B1001" s="3" t="s">
        <v>32</v>
      </c>
      <c r="C1001" s="3" t="s">
        <v>24</v>
      </c>
      <c r="D1001" s="3" t="s">
        <v>403</v>
      </c>
      <c r="E1001" s="6">
        <v>0.45</v>
      </c>
      <c r="F1001" s="6">
        <v>0.83819444444444446</v>
      </c>
      <c r="G1001" s="3" t="s">
        <v>26</v>
      </c>
      <c r="H1001" s="3" t="s">
        <v>27</v>
      </c>
      <c r="I1001" s="3" t="s">
        <v>15</v>
      </c>
    </row>
    <row r="1002" spans="1:9" s="3" customFormat="1" x14ac:dyDescent="0.3">
      <c r="A1002" s="3" t="s">
        <v>115</v>
      </c>
      <c r="B1002" s="3" t="s">
        <v>116</v>
      </c>
      <c r="C1002" s="3" t="s">
        <v>64</v>
      </c>
      <c r="D1002" s="3" t="s">
        <v>357</v>
      </c>
      <c r="E1002" s="6"/>
      <c r="F1002" s="6"/>
      <c r="G1002" s="3" t="s">
        <v>44</v>
      </c>
      <c r="H1002" s="3" t="s">
        <v>14</v>
      </c>
      <c r="I1002" s="3" t="s">
        <v>21</v>
      </c>
    </row>
    <row r="1003" spans="1:9" s="3" customFormat="1" x14ac:dyDescent="0.3">
      <c r="A1003" s="3" t="s">
        <v>75</v>
      </c>
      <c r="B1003" s="3" t="s">
        <v>76</v>
      </c>
      <c r="C1003" s="3" t="s">
        <v>24</v>
      </c>
      <c r="D1003" s="3" t="s">
        <v>340</v>
      </c>
      <c r="E1003" s="6"/>
      <c r="F1003" s="6"/>
      <c r="G1003" s="3" t="s">
        <v>44</v>
      </c>
      <c r="H1003" s="3" t="s">
        <v>14</v>
      </c>
      <c r="I1003" s="3" t="s">
        <v>15</v>
      </c>
    </row>
    <row r="1004" spans="1:9" s="3" customFormat="1" x14ac:dyDescent="0.3">
      <c r="A1004" s="3" t="s">
        <v>62</v>
      </c>
      <c r="B1004" s="3" t="s">
        <v>63</v>
      </c>
      <c r="C1004" s="3" t="s">
        <v>64</v>
      </c>
      <c r="D1004" s="3" t="s">
        <v>413</v>
      </c>
      <c r="E1004" s="6">
        <v>0.37013888888888891</v>
      </c>
      <c r="F1004" s="6">
        <v>0.85833333333333328</v>
      </c>
      <c r="G1004" s="3" t="s">
        <v>20</v>
      </c>
      <c r="H1004" s="3" t="s">
        <v>14</v>
      </c>
      <c r="I1004" s="3" t="s">
        <v>21</v>
      </c>
    </row>
    <row r="1005" spans="1:9" s="3" customFormat="1" x14ac:dyDescent="0.3">
      <c r="A1005" s="3" t="s">
        <v>58</v>
      </c>
      <c r="B1005" s="3" t="s">
        <v>59</v>
      </c>
      <c r="C1005" s="3" t="s">
        <v>18</v>
      </c>
      <c r="D1005" s="3" t="s">
        <v>168</v>
      </c>
      <c r="E1005" s="6"/>
      <c r="F1005" s="6"/>
      <c r="G1005" s="3" t="s">
        <v>44</v>
      </c>
      <c r="H1005" s="3" t="s">
        <v>27</v>
      </c>
      <c r="I1005" s="3" t="s">
        <v>15</v>
      </c>
    </row>
    <row r="1006" spans="1:9" s="3" customFormat="1" x14ac:dyDescent="0.3">
      <c r="A1006" s="3" t="s">
        <v>48</v>
      </c>
      <c r="B1006" s="3" t="s">
        <v>49</v>
      </c>
      <c r="C1006" s="3" t="s">
        <v>64</v>
      </c>
      <c r="D1006" s="3" t="s">
        <v>243</v>
      </c>
      <c r="E1006" s="6"/>
      <c r="F1006" s="6"/>
      <c r="G1006" s="3" t="s">
        <v>44</v>
      </c>
      <c r="H1006" s="3" t="s">
        <v>14</v>
      </c>
      <c r="I1006" s="3" t="s">
        <v>21</v>
      </c>
    </row>
    <row r="1007" spans="1:9" s="3" customFormat="1" x14ac:dyDescent="0.3">
      <c r="A1007" s="3" t="s">
        <v>191</v>
      </c>
      <c r="B1007" s="3" t="s">
        <v>192</v>
      </c>
      <c r="C1007" s="3" t="s">
        <v>18</v>
      </c>
      <c r="D1007" s="3" t="s">
        <v>304</v>
      </c>
      <c r="E1007" s="6">
        <v>0.39652777777777776</v>
      </c>
      <c r="F1007" s="6">
        <v>0.78472222222222221</v>
      </c>
      <c r="G1007" s="3" t="s">
        <v>20</v>
      </c>
      <c r="H1007" s="3" t="s">
        <v>14</v>
      </c>
      <c r="I1007" s="3" t="s">
        <v>21</v>
      </c>
    </row>
    <row r="1008" spans="1:9" s="3" customFormat="1" x14ac:dyDescent="0.3">
      <c r="A1008" s="3" t="s">
        <v>362</v>
      </c>
      <c r="B1008" s="3" t="s">
        <v>363</v>
      </c>
      <c r="C1008" s="3" t="s">
        <v>64</v>
      </c>
      <c r="D1008" s="3" t="s">
        <v>329</v>
      </c>
      <c r="E1008" s="6">
        <v>0.36736111111111114</v>
      </c>
      <c r="F1008" s="6">
        <v>0.71875</v>
      </c>
      <c r="G1008" s="3" t="s">
        <v>13</v>
      </c>
      <c r="H1008" s="3" t="s">
        <v>27</v>
      </c>
      <c r="I1008" s="3" t="s">
        <v>21</v>
      </c>
    </row>
    <row r="1009" spans="1:9" s="3" customFormat="1" x14ac:dyDescent="0.3">
      <c r="A1009" s="3" t="s">
        <v>96</v>
      </c>
      <c r="B1009" s="3" t="s">
        <v>97</v>
      </c>
      <c r="C1009" s="3" t="s">
        <v>60</v>
      </c>
      <c r="D1009" s="3" t="s">
        <v>196</v>
      </c>
      <c r="E1009" s="6">
        <v>0.41944444444444445</v>
      </c>
      <c r="F1009" s="6">
        <v>0.8256944444444444</v>
      </c>
      <c r="G1009" s="3" t="s">
        <v>13</v>
      </c>
      <c r="H1009" s="3" t="s">
        <v>14</v>
      </c>
      <c r="I1009" s="3" t="s">
        <v>15</v>
      </c>
    </row>
    <row r="1010" spans="1:9" s="3" customFormat="1" x14ac:dyDescent="0.3">
      <c r="A1010" s="3" t="s">
        <v>37</v>
      </c>
      <c r="B1010" s="3" t="s">
        <v>38</v>
      </c>
      <c r="C1010" s="3" t="s">
        <v>60</v>
      </c>
      <c r="D1010" s="3" t="s">
        <v>233</v>
      </c>
      <c r="E1010" s="6">
        <v>0.34930555555555554</v>
      </c>
      <c r="F1010" s="6">
        <v>0.71944444444444444</v>
      </c>
      <c r="G1010" s="3" t="s">
        <v>26</v>
      </c>
      <c r="H1010" s="3" t="s">
        <v>27</v>
      </c>
      <c r="I1010" s="3" t="s">
        <v>15</v>
      </c>
    </row>
    <row r="1011" spans="1:9" s="3" customFormat="1" x14ac:dyDescent="0.3">
      <c r="A1011" s="3" t="s">
        <v>213</v>
      </c>
      <c r="B1011" s="3" t="s">
        <v>214</v>
      </c>
      <c r="C1011" s="3" t="s">
        <v>24</v>
      </c>
      <c r="D1011" s="3" t="s">
        <v>33</v>
      </c>
      <c r="E1011" s="6"/>
      <c r="F1011" s="6"/>
      <c r="G1011" s="3" t="s">
        <v>44</v>
      </c>
      <c r="H1011" s="3" t="s">
        <v>27</v>
      </c>
      <c r="I1011" s="3" t="s">
        <v>15</v>
      </c>
    </row>
    <row r="1012" spans="1:9" s="3" customFormat="1" x14ac:dyDescent="0.3">
      <c r="A1012" s="3" t="s">
        <v>81</v>
      </c>
      <c r="B1012" s="3" t="s">
        <v>82</v>
      </c>
      <c r="C1012" s="3" t="s">
        <v>42</v>
      </c>
      <c r="D1012" s="3" t="s">
        <v>404</v>
      </c>
      <c r="E1012" s="6"/>
      <c r="F1012" s="6"/>
      <c r="G1012" s="3" t="s">
        <v>44</v>
      </c>
      <c r="H1012" s="3" t="s">
        <v>27</v>
      </c>
      <c r="I1012" s="3" t="s">
        <v>15</v>
      </c>
    </row>
    <row r="1013" spans="1:9" s="3" customFormat="1" x14ac:dyDescent="0.3">
      <c r="A1013" s="3" t="s">
        <v>109</v>
      </c>
      <c r="B1013" s="3" t="s">
        <v>110</v>
      </c>
      <c r="C1013" s="3" t="s">
        <v>24</v>
      </c>
      <c r="D1013" s="3" t="s">
        <v>322</v>
      </c>
      <c r="E1013" s="6">
        <v>0.41111111111111109</v>
      </c>
      <c r="F1013" s="6">
        <v>0.69861111111111107</v>
      </c>
      <c r="G1013" s="3" t="s">
        <v>20</v>
      </c>
      <c r="H1013" s="3" t="s">
        <v>27</v>
      </c>
      <c r="I1013" s="3" t="s">
        <v>21</v>
      </c>
    </row>
    <row r="1014" spans="1:9" s="3" customFormat="1" x14ac:dyDescent="0.3">
      <c r="A1014" s="3" t="s">
        <v>224</v>
      </c>
      <c r="B1014" s="3" t="s">
        <v>225</v>
      </c>
      <c r="C1014" s="3" t="s">
        <v>24</v>
      </c>
      <c r="D1014" s="3" t="s">
        <v>210</v>
      </c>
      <c r="E1014" s="6">
        <v>0.33680555555555558</v>
      </c>
      <c r="F1014" s="6">
        <v>0.71180555555555558</v>
      </c>
      <c r="G1014" s="3" t="s">
        <v>26</v>
      </c>
      <c r="H1014" s="3" t="s">
        <v>14</v>
      </c>
      <c r="I1014" s="3" t="s">
        <v>21</v>
      </c>
    </row>
    <row r="1015" spans="1:9" s="3" customFormat="1" x14ac:dyDescent="0.3">
      <c r="A1015" s="3" t="s">
        <v>62</v>
      </c>
      <c r="B1015" s="3" t="s">
        <v>63</v>
      </c>
      <c r="C1015" s="3" t="s">
        <v>64</v>
      </c>
      <c r="D1015" s="3" t="s">
        <v>287</v>
      </c>
      <c r="E1015" s="6">
        <v>0.41944444444444445</v>
      </c>
      <c r="F1015" s="6">
        <v>0.70625000000000004</v>
      </c>
      <c r="G1015" s="3" t="s">
        <v>20</v>
      </c>
      <c r="H1015" s="3" t="s">
        <v>27</v>
      </c>
      <c r="I1015" s="3" t="s">
        <v>21</v>
      </c>
    </row>
    <row r="1016" spans="1:9" s="3" customFormat="1" x14ac:dyDescent="0.3">
      <c r="A1016" s="3" t="s">
        <v>62</v>
      </c>
      <c r="B1016" s="3" t="s">
        <v>63</v>
      </c>
      <c r="C1016" s="3" t="s">
        <v>64</v>
      </c>
      <c r="D1016" s="3" t="s">
        <v>254</v>
      </c>
      <c r="E1016" s="6">
        <v>0.38055555555555554</v>
      </c>
      <c r="F1016" s="6">
        <v>0.74583333333333335</v>
      </c>
      <c r="G1016" s="3" t="s">
        <v>13</v>
      </c>
      <c r="H1016" s="3" t="s">
        <v>27</v>
      </c>
      <c r="I1016" s="3" t="s">
        <v>21</v>
      </c>
    </row>
    <row r="1017" spans="1:9" s="3" customFormat="1" x14ac:dyDescent="0.3">
      <c r="A1017" s="3" t="s">
        <v>9</v>
      </c>
      <c r="B1017" s="3" t="s">
        <v>10</v>
      </c>
      <c r="C1017" s="3" t="s">
        <v>24</v>
      </c>
      <c r="D1017" s="3" t="s">
        <v>199</v>
      </c>
      <c r="E1017" s="6">
        <v>0.46319444444444446</v>
      </c>
      <c r="F1017" s="6">
        <v>0.79652777777777772</v>
      </c>
      <c r="G1017" s="3" t="s">
        <v>13</v>
      </c>
      <c r="H1017" s="3" t="s">
        <v>14</v>
      </c>
      <c r="I1017" s="3" t="s">
        <v>15</v>
      </c>
    </row>
    <row r="1018" spans="1:9" s="3" customFormat="1" x14ac:dyDescent="0.3">
      <c r="A1018" s="3" t="s">
        <v>154</v>
      </c>
      <c r="B1018" s="3" t="s">
        <v>155</v>
      </c>
      <c r="C1018" s="3" t="s">
        <v>60</v>
      </c>
      <c r="D1018" s="3" t="s">
        <v>273</v>
      </c>
      <c r="E1018" s="6">
        <v>0.35833333333333334</v>
      </c>
      <c r="F1018" s="6">
        <v>0.83125000000000004</v>
      </c>
      <c r="G1018" s="3" t="s">
        <v>26</v>
      </c>
      <c r="H1018" s="3" t="s">
        <v>27</v>
      </c>
      <c r="I1018" s="3" t="s">
        <v>15</v>
      </c>
    </row>
    <row r="1019" spans="1:9" s="3" customFormat="1" x14ac:dyDescent="0.3">
      <c r="A1019" s="3" t="s">
        <v>78</v>
      </c>
      <c r="B1019" s="3" t="s">
        <v>79</v>
      </c>
      <c r="C1019" s="3" t="s">
        <v>64</v>
      </c>
      <c r="D1019" s="3" t="s">
        <v>240</v>
      </c>
      <c r="E1019" s="6">
        <v>0.3840277777777778</v>
      </c>
      <c r="F1019" s="6">
        <v>0.81944444444444442</v>
      </c>
      <c r="G1019" s="3" t="s">
        <v>13</v>
      </c>
      <c r="H1019" s="3" t="s">
        <v>27</v>
      </c>
      <c r="I1019" s="3" t="s">
        <v>21</v>
      </c>
    </row>
    <row r="1020" spans="1:9" s="3" customFormat="1" x14ac:dyDescent="0.3">
      <c r="A1020" s="3" t="s">
        <v>224</v>
      </c>
      <c r="B1020" s="3" t="s">
        <v>225</v>
      </c>
      <c r="C1020" s="3" t="s">
        <v>64</v>
      </c>
      <c r="D1020" s="3" t="s">
        <v>256</v>
      </c>
      <c r="E1020" s="6"/>
      <c r="F1020" s="6"/>
      <c r="G1020" s="3" t="s">
        <v>44</v>
      </c>
      <c r="H1020" s="3" t="s">
        <v>27</v>
      </c>
      <c r="I1020" s="3" t="s">
        <v>15</v>
      </c>
    </row>
    <row r="1021" spans="1:9" s="3" customFormat="1" x14ac:dyDescent="0.3">
      <c r="A1021" s="3" t="s">
        <v>37</v>
      </c>
      <c r="B1021" s="3" t="s">
        <v>38</v>
      </c>
      <c r="C1021" s="3" t="s">
        <v>60</v>
      </c>
      <c r="D1021" s="3" t="s">
        <v>319</v>
      </c>
      <c r="E1021" s="6">
        <v>0.46319444444444446</v>
      </c>
      <c r="F1021" s="6">
        <v>0.78055555555555556</v>
      </c>
      <c r="G1021" s="3" t="s">
        <v>13</v>
      </c>
      <c r="H1021" s="3" t="s">
        <v>27</v>
      </c>
      <c r="I1021" s="3" t="s">
        <v>15</v>
      </c>
    </row>
    <row r="1022" spans="1:9" s="3" customFormat="1" x14ac:dyDescent="0.3">
      <c r="A1022" s="3" t="s">
        <v>291</v>
      </c>
      <c r="B1022" s="3" t="s">
        <v>292</v>
      </c>
      <c r="C1022" s="3" t="s">
        <v>24</v>
      </c>
      <c r="D1022" s="3" t="s">
        <v>43</v>
      </c>
      <c r="E1022" s="6">
        <v>0.45833333333333331</v>
      </c>
      <c r="F1022" s="6">
        <v>0.68888888888888888</v>
      </c>
      <c r="G1022" s="3" t="s">
        <v>26</v>
      </c>
      <c r="H1022" s="3" t="s">
        <v>14</v>
      </c>
      <c r="I1022" s="3" t="s">
        <v>21</v>
      </c>
    </row>
    <row r="1023" spans="1:9" s="3" customFormat="1" x14ac:dyDescent="0.3">
      <c r="A1023" s="3" t="s">
        <v>362</v>
      </c>
      <c r="B1023" s="3" t="s">
        <v>363</v>
      </c>
      <c r="C1023" s="3" t="s">
        <v>24</v>
      </c>
      <c r="D1023" s="3" t="s">
        <v>406</v>
      </c>
      <c r="E1023" s="6"/>
      <c r="F1023" s="6"/>
      <c r="G1023" s="3" t="s">
        <v>44</v>
      </c>
      <c r="H1023" s="3" t="s">
        <v>27</v>
      </c>
      <c r="I1023" s="3" t="s">
        <v>21</v>
      </c>
    </row>
    <row r="1024" spans="1:9" s="3" customFormat="1" x14ac:dyDescent="0.3">
      <c r="A1024" s="3" t="s">
        <v>362</v>
      </c>
      <c r="B1024" s="3" t="s">
        <v>363</v>
      </c>
      <c r="C1024" s="3" t="s">
        <v>24</v>
      </c>
      <c r="D1024" s="3" t="s">
        <v>159</v>
      </c>
      <c r="E1024" s="6"/>
      <c r="F1024" s="6"/>
      <c r="G1024" s="3" t="s">
        <v>44</v>
      </c>
      <c r="H1024" s="3" t="s">
        <v>14</v>
      </c>
      <c r="I1024" s="3" t="s">
        <v>15</v>
      </c>
    </row>
    <row r="1025" spans="1:9" s="3" customFormat="1" x14ac:dyDescent="0.3">
      <c r="A1025" s="3" t="s">
        <v>157</v>
      </c>
      <c r="B1025" s="3" t="s">
        <v>158</v>
      </c>
      <c r="C1025" s="3" t="s">
        <v>11</v>
      </c>
      <c r="D1025" s="3" t="s">
        <v>226</v>
      </c>
      <c r="E1025" s="6"/>
      <c r="F1025" s="6"/>
      <c r="G1025" s="3" t="s">
        <v>44</v>
      </c>
      <c r="H1025" s="3" t="s">
        <v>14</v>
      </c>
      <c r="I1025" s="3" t="s">
        <v>21</v>
      </c>
    </row>
    <row r="1026" spans="1:9" s="3" customFormat="1" x14ac:dyDescent="0.3">
      <c r="A1026" s="3" t="s">
        <v>191</v>
      </c>
      <c r="B1026" s="3" t="s">
        <v>192</v>
      </c>
      <c r="C1026" s="3" t="s">
        <v>64</v>
      </c>
      <c r="D1026" s="3" t="s">
        <v>168</v>
      </c>
      <c r="E1026" s="6">
        <v>0.41388888888888886</v>
      </c>
      <c r="F1026" s="6">
        <v>0.86111111111111116</v>
      </c>
      <c r="G1026" s="3" t="s">
        <v>20</v>
      </c>
      <c r="H1026" s="3" t="s">
        <v>27</v>
      </c>
      <c r="I1026" s="3" t="s">
        <v>15</v>
      </c>
    </row>
    <row r="1027" spans="1:9" s="3" customFormat="1" x14ac:dyDescent="0.3">
      <c r="A1027" s="3" t="s">
        <v>224</v>
      </c>
      <c r="B1027" s="3" t="s">
        <v>225</v>
      </c>
      <c r="C1027" s="3" t="s">
        <v>42</v>
      </c>
      <c r="D1027" s="3" t="s">
        <v>253</v>
      </c>
      <c r="E1027" s="6">
        <v>0.42708333333333331</v>
      </c>
      <c r="F1027" s="6">
        <v>0.80625000000000002</v>
      </c>
      <c r="G1027" s="3" t="s">
        <v>26</v>
      </c>
      <c r="H1027" s="3" t="s">
        <v>14</v>
      </c>
      <c r="I1027" s="3" t="s">
        <v>15</v>
      </c>
    </row>
    <row r="1028" spans="1:9" s="3" customFormat="1" x14ac:dyDescent="0.3">
      <c r="A1028" s="3" t="s">
        <v>69</v>
      </c>
      <c r="B1028" s="3" t="s">
        <v>70</v>
      </c>
      <c r="C1028" s="3" t="s">
        <v>64</v>
      </c>
      <c r="D1028" s="3" t="s">
        <v>260</v>
      </c>
      <c r="E1028" s="6">
        <v>0.45763888888888887</v>
      </c>
      <c r="F1028" s="6">
        <v>0.68819444444444444</v>
      </c>
      <c r="G1028" s="3" t="s">
        <v>149</v>
      </c>
      <c r="H1028" s="3" t="s">
        <v>27</v>
      </c>
      <c r="I1028" s="3" t="s">
        <v>15</v>
      </c>
    </row>
    <row r="1029" spans="1:9" s="3" customFormat="1" x14ac:dyDescent="0.3">
      <c r="A1029" s="3" t="s">
        <v>246</v>
      </c>
      <c r="B1029" s="3" t="s">
        <v>247</v>
      </c>
      <c r="C1029" s="3" t="s">
        <v>60</v>
      </c>
      <c r="D1029" s="3" t="s">
        <v>89</v>
      </c>
      <c r="E1029" s="6">
        <v>0.34583333333333333</v>
      </c>
      <c r="F1029" s="6">
        <v>0.80486111111111114</v>
      </c>
      <c r="G1029" s="3" t="s">
        <v>13</v>
      </c>
      <c r="H1029" s="3" t="s">
        <v>27</v>
      </c>
      <c r="I1029" s="3" t="s">
        <v>15</v>
      </c>
    </row>
    <row r="1030" spans="1:9" s="3" customFormat="1" x14ac:dyDescent="0.3">
      <c r="A1030" s="3" t="s">
        <v>154</v>
      </c>
      <c r="B1030" s="3" t="s">
        <v>155</v>
      </c>
      <c r="C1030" s="3" t="s">
        <v>24</v>
      </c>
      <c r="D1030" s="3" t="s">
        <v>140</v>
      </c>
      <c r="E1030" s="6">
        <v>0.47916666666666669</v>
      </c>
      <c r="F1030" s="6">
        <v>0.8569444444444444</v>
      </c>
      <c r="G1030" s="3" t="s">
        <v>20</v>
      </c>
      <c r="H1030" s="3" t="s">
        <v>14</v>
      </c>
      <c r="I1030" s="3" t="s">
        <v>21</v>
      </c>
    </row>
    <row r="1031" spans="1:9" s="3" customFormat="1" x14ac:dyDescent="0.3">
      <c r="A1031" s="3" t="s">
        <v>72</v>
      </c>
      <c r="B1031" s="3" t="s">
        <v>73</v>
      </c>
      <c r="C1031" s="3" t="s">
        <v>60</v>
      </c>
      <c r="D1031" s="3" t="s">
        <v>208</v>
      </c>
      <c r="E1031" s="6">
        <v>0.46250000000000002</v>
      </c>
      <c r="F1031" s="6">
        <v>0.69513888888888886</v>
      </c>
      <c r="G1031" s="3" t="s">
        <v>26</v>
      </c>
      <c r="H1031" s="3" t="s">
        <v>27</v>
      </c>
      <c r="I1031" s="3" t="s">
        <v>15</v>
      </c>
    </row>
    <row r="1032" spans="1:9" s="3" customFormat="1" x14ac:dyDescent="0.3">
      <c r="A1032" s="3" t="s">
        <v>250</v>
      </c>
      <c r="B1032" s="3" t="s">
        <v>251</v>
      </c>
      <c r="C1032" s="3" t="s">
        <v>64</v>
      </c>
      <c r="D1032" s="3" t="s">
        <v>302</v>
      </c>
      <c r="E1032" s="6">
        <v>0.34861111111111109</v>
      </c>
      <c r="F1032" s="6">
        <v>0.75069444444444444</v>
      </c>
      <c r="G1032" s="3" t="s">
        <v>20</v>
      </c>
      <c r="H1032" s="3" t="s">
        <v>14</v>
      </c>
      <c r="I1032" s="3" t="s">
        <v>21</v>
      </c>
    </row>
    <row r="1033" spans="1:9" s="3" customFormat="1" x14ac:dyDescent="0.3">
      <c r="A1033" s="3" t="s">
        <v>213</v>
      </c>
      <c r="B1033" s="3" t="s">
        <v>214</v>
      </c>
      <c r="C1033" s="3" t="s">
        <v>64</v>
      </c>
      <c r="D1033" s="3" t="s">
        <v>218</v>
      </c>
      <c r="E1033" s="6">
        <v>0.37916666666666665</v>
      </c>
      <c r="F1033" s="6">
        <v>0.81319444444444444</v>
      </c>
      <c r="G1033" s="3" t="s">
        <v>26</v>
      </c>
      <c r="H1033" s="3" t="s">
        <v>14</v>
      </c>
      <c r="I1033" s="3" t="s">
        <v>15</v>
      </c>
    </row>
    <row r="1034" spans="1:9" s="3" customFormat="1" x14ac:dyDescent="0.3">
      <c r="A1034" s="3" t="s">
        <v>269</v>
      </c>
      <c r="B1034" s="3" t="s">
        <v>270</v>
      </c>
      <c r="C1034" s="3" t="s">
        <v>42</v>
      </c>
      <c r="D1034" s="3" t="s">
        <v>280</v>
      </c>
      <c r="E1034" s="6">
        <v>0.37291666666666667</v>
      </c>
      <c r="F1034" s="6">
        <v>0.77986111111111112</v>
      </c>
      <c r="G1034" s="3" t="s">
        <v>26</v>
      </c>
      <c r="H1034" s="3" t="s">
        <v>27</v>
      </c>
      <c r="I1034" s="3" t="s">
        <v>15</v>
      </c>
    </row>
    <row r="1035" spans="1:9" s="3" customFormat="1" x14ac:dyDescent="0.3">
      <c r="A1035" s="3" t="s">
        <v>9</v>
      </c>
      <c r="B1035" s="3" t="s">
        <v>10</v>
      </c>
      <c r="C1035" s="3" t="s">
        <v>18</v>
      </c>
      <c r="D1035" s="3" t="s">
        <v>344</v>
      </c>
      <c r="E1035" s="6">
        <v>0.34305555555555556</v>
      </c>
      <c r="F1035" s="6">
        <v>0.82361111111111107</v>
      </c>
      <c r="G1035" s="3" t="s">
        <v>274</v>
      </c>
      <c r="H1035" s="3" t="s">
        <v>27</v>
      </c>
      <c r="I1035" s="3" t="s">
        <v>15</v>
      </c>
    </row>
    <row r="1036" spans="1:9" s="3" customFormat="1" x14ac:dyDescent="0.3">
      <c r="A1036" s="3" t="s">
        <v>84</v>
      </c>
      <c r="B1036" s="3" t="s">
        <v>85</v>
      </c>
      <c r="C1036" s="3" t="s">
        <v>64</v>
      </c>
      <c r="D1036" s="3" t="s">
        <v>132</v>
      </c>
      <c r="E1036" s="6">
        <v>0.4597222222222222</v>
      </c>
      <c r="F1036" s="6">
        <v>0.75208333333333333</v>
      </c>
      <c r="G1036" s="3" t="s">
        <v>13</v>
      </c>
      <c r="H1036" s="3" t="s">
        <v>14</v>
      </c>
      <c r="I1036" s="3" t="s">
        <v>21</v>
      </c>
    </row>
    <row r="1037" spans="1:9" s="3" customFormat="1" x14ac:dyDescent="0.3">
      <c r="A1037" s="3" t="s">
        <v>236</v>
      </c>
      <c r="B1037" s="3" t="s">
        <v>237</v>
      </c>
      <c r="C1037" s="3" t="s">
        <v>24</v>
      </c>
      <c r="D1037" s="3" t="s">
        <v>161</v>
      </c>
      <c r="E1037" s="6"/>
      <c r="F1037" s="6"/>
      <c r="G1037" s="3" t="s">
        <v>44</v>
      </c>
      <c r="H1037" s="3" t="s">
        <v>14</v>
      </c>
      <c r="I1037" s="3" t="s">
        <v>15</v>
      </c>
    </row>
    <row r="1038" spans="1:9" s="3" customFormat="1" x14ac:dyDescent="0.3">
      <c r="A1038" s="3" t="s">
        <v>134</v>
      </c>
      <c r="B1038" s="3" t="s">
        <v>135</v>
      </c>
      <c r="C1038" s="3" t="s">
        <v>60</v>
      </c>
      <c r="D1038" s="3" t="s">
        <v>414</v>
      </c>
      <c r="E1038" s="6">
        <v>0.44236111111111109</v>
      </c>
      <c r="F1038" s="6">
        <v>0.69444444444444442</v>
      </c>
      <c r="G1038" s="3" t="s">
        <v>13</v>
      </c>
      <c r="H1038" s="3" t="s">
        <v>27</v>
      </c>
      <c r="I1038" s="3" t="s">
        <v>21</v>
      </c>
    </row>
    <row r="1039" spans="1:9" s="3" customFormat="1" x14ac:dyDescent="0.3">
      <c r="A1039" s="3" t="s">
        <v>37</v>
      </c>
      <c r="B1039" s="3" t="s">
        <v>38</v>
      </c>
      <c r="C1039" s="3" t="s">
        <v>64</v>
      </c>
      <c r="D1039" s="3" t="s">
        <v>346</v>
      </c>
      <c r="E1039" s="6">
        <v>0.34861111111111109</v>
      </c>
      <c r="F1039" s="6">
        <v>0.71805555555555556</v>
      </c>
      <c r="G1039" s="3" t="s">
        <v>274</v>
      </c>
      <c r="H1039" s="3" t="s">
        <v>14</v>
      </c>
      <c r="I1039" s="3" t="s">
        <v>21</v>
      </c>
    </row>
    <row r="1040" spans="1:9" s="3" customFormat="1" x14ac:dyDescent="0.3">
      <c r="A1040" s="3" t="s">
        <v>109</v>
      </c>
      <c r="B1040" s="3" t="s">
        <v>110</v>
      </c>
      <c r="C1040" s="3" t="s">
        <v>24</v>
      </c>
      <c r="D1040" s="3" t="s">
        <v>312</v>
      </c>
      <c r="E1040" s="6">
        <v>0.48958333333333331</v>
      </c>
      <c r="F1040" s="6">
        <v>0.75277777777777777</v>
      </c>
      <c r="G1040" s="3" t="s">
        <v>13</v>
      </c>
      <c r="H1040" s="3" t="s">
        <v>14</v>
      </c>
      <c r="I1040" s="3" t="s">
        <v>15</v>
      </c>
    </row>
    <row r="1041" spans="1:9" s="3" customFormat="1" x14ac:dyDescent="0.3">
      <c r="A1041" s="3" t="s">
        <v>87</v>
      </c>
      <c r="B1041" s="3" t="s">
        <v>88</v>
      </c>
      <c r="C1041" s="3" t="s">
        <v>24</v>
      </c>
      <c r="D1041" s="3" t="s">
        <v>369</v>
      </c>
      <c r="E1041" s="6">
        <v>0.42152777777777778</v>
      </c>
      <c r="F1041" s="6">
        <v>0.68611111111111112</v>
      </c>
      <c r="G1041" s="3" t="s">
        <v>20</v>
      </c>
      <c r="H1041" s="3" t="s">
        <v>14</v>
      </c>
      <c r="I1041" s="3" t="s">
        <v>21</v>
      </c>
    </row>
    <row r="1042" spans="1:9" s="3" customFormat="1" x14ac:dyDescent="0.3">
      <c r="A1042" s="3" t="s">
        <v>236</v>
      </c>
      <c r="B1042" s="3" t="s">
        <v>237</v>
      </c>
      <c r="C1042" s="3" t="s">
        <v>64</v>
      </c>
      <c r="D1042" s="3" t="s">
        <v>370</v>
      </c>
      <c r="E1042" s="6">
        <v>0.4201388888888889</v>
      </c>
      <c r="F1042" s="6">
        <v>0.72916666666666663</v>
      </c>
      <c r="G1042" s="3" t="s">
        <v>170</v>
      </c>
      <c r="H1042" s="3" t="s">
        <v>14</v>
      </c>
      <c r="I1042" s="3" t="s">
        <v>15</v>
      </c>
    </row>
    <row r="1043" spans="1:9" s="3" customFormat="1" x14ac:dyDescent="0.3">
      <c r="A1043" s="3" t="s">
        <v>224</v>
      </c>
      <c r="B1043" s="3" t="s">
        <v>225</v>
      </c>
      <c r="C1043" s="3" t="s">
        <v>24</v>
      </c>
      <c r="D1043" s="3" t="s">
        <v>303</v>
      </c>
      <c r="E1043" s="6">
        <v>0.33888888888888891</v>
      </c>
      <c r="F1043" s="6">
        <v>0.77013888888888893</v>
      </c>
      <c r="G1043" s="3" t="s">
        <v>20</v>
      </c>
      <c r="H1043" s="3" t="s">
        <v>27</v>
      </c>
      <c r="I1043" s="3" t="s">
        <v>21</v>
      </c>
    </row>
    <row r="1044" spans="1:9" s="3" customFormat="1" x14ac:dyDescent="0.3">
      <c r="A1044" s="3" t="s">
        <v>81</v>
      </c>
      <c r="B1044" s="3" t="s">
        <v>82</v>
      </c>
      <c r="C1044" s="3" t="s">
        <v>18</v>
      </c>
      <c r="D1044" s="3" t="s">
        <v>382</v>
      </c>
      <c r="E1044" s="6">
        <v>0.46180555555555558</v>
      </c>
      <c r="F1044" s="6">
        <v>0.77013888888888893</v>
      </c>
      <c r="G1044" s="3" t="s">
        <v>13</v>
      </c>
      <c r="H1044" s="3" t="s">
        <v>27</v>
      </c>
      <c r="I1044" s="3" t="s">
        <v>21</v>
      </c>
    </row>
    <row r="1045" spans="1:9" s="3" customFormat="1" x14ac:dyDescent="0.3">
      <c r="A1045" s="3" t="s">
        <v>119</v>
      </c>
      <c r="B1045" s="3" t="s">
        <v>120</v>
      </c>
      <c r="C1045" s="3" t="s">
        <v>24</v>
      </c>
      <c r="D1045" s="3" t="s">
        <v>133</v>
      </c>
      <c r="E1045" s="6">
        <v>0.44791666666666669</v>
      </c>
      <c r="F1045" s="6">
        <v>0.84305555555555556</v>
      </c>
      <c r="G1045" s="3" t="s">
        <v>125</v>
      </c>
      <c r="H1045" s="3" t="s">
        <v>14</v>
      </c>
      <c r="I1045" s="3" t="s">
        <v>21</v>
      </c>
    </row>
    <row r="1046" spans="1:9" s="3" customFormat="1" x14ac:dyDescent="0.3">
      <c r="A1046" s="3" t="s">
        <v>362</v>
      </c>
      <c r="B1046" s="3" t="s">
        <v>363</v>
      </c>
      <c r="C1046" s="3" t="s">
        <v>24</v>
      </c>
      <c r="D1046" s="3" t="s">
        <v>244</v>
      </c>
      <c r="E1046" s="6"/>
      <c r="F1046" s="6"/>
      <c r="G1046" s="3" t="s">
        <v>44</v>
      </c>
      <c r="H1046" s="3" t="s">
        <v>27</v>
      </c>
      <c r="I1046" s="3" t="s">
        <v>15</v>
      </c>
    </row>
    <row r="1047" spans="1:9" s="3" customFormat="1" x14ac:dyDescent="0.3">
      <c r="A1047" s="3" t="s">
        <v>75</v>
      </c>
      <c r="B1047" s="3" t="s">
        <v>76</v>
      </c>
      <c r="C1047" s="3" t="s">
        <v>64</v>
      </c>
      <c r="D1047" s="3" t="s">
        <v>212</v>
      </c>
      <c r="E1047" s="6">
        <v>0.3527777777777778</v>
      </c>
      <c r="F1047" s="6">
        <v>0.84791666666666665</v>
      </c>
      <c r="G1047" s="3" t="s">
        <v>125</v>
      </c>
      <c r="H1047" s="3" t="s">
        <v>14</v>
      </c>
      <c r="I1047" s="3" t="s">
        <v>21</v>
      </c>
    </row>
    <row r="1048" spans="1:9" s="3" customFormat="1" x14ac:dyDescent="0.3">
      <c r="A1048" s="3" t="s">
        <v>90</v>
      </c>
      <c r="B1048" s="3" t="s">
        <v>91</v>
      </c>
      <c r="C1048" s="3" t="s">
        <v>42</v>
      </c>
      <c r="D1048" s="3" t="s">
        <v>397</v>
      </c>
      <c r="E1048" s="6">
        <v>0.39305555555555555</v>
      </c>
      <c r="F1048" s="6">
        <v>0.70347222222222228</v>
      </c>
      <c r="G1048" s="3" t="s">
        <v>13</v>
      </c>
      <c r="H1048" s="3" t="s">
        <v>27</v>
      </c>
      <c r="I1048" s="3" t="s">
        <v>15</v>
      </c>
    </row>
    <row r="1049" spans="1:9" s="3" customFormat="1" x14ac:dyDescent="0.3">
      <c r="A1049" s="3" t="s">
        <v>213</v>
      </c>
      <c r="B1049" s="3" t="s">
        <v>214</v>
      </c>
      <c r="C1049" s="3" t="s">
        <v>24</v>
      </c>
      <c r="D1049" s="3" t="s">
        <v>89</v>
      </c>
      <c r="E1049" s="6">
        <v>0.47083333333333333</v>
      </c>
      <c r="F1049" s="6">
        <v>0.75763888888888886</v>
      </c>
      <c r="G1049" s="3" t="s">
        <v>13</v>
      </c>
      <c r="H1049" s="3" t="s">
        <v>14</v>
      </c>
      <c r="I1049" s="3" t="s">
        <v>21</v>
      </c>
    </row>
    <row r="1050" spans="1:9" s="3" customFormat="1" x14ac:dyDescent="0.3">
      <c r="A1050" s="3" t="s">
        <v>52</v>
      </c>
      <c r="B1050" s="3" t="s">
        <v>53</v>
      </c>
      <c r="C1050" s="3" t="s">
        <v>18</v>
      </c>
      <c r="D1050" s="3" t="s">
        <v>226</v>
      </c>
      <c r="E1050" s="6">
        <v>0.44097222222222221</v>
      </c>
      <c r="F1050" s="6">
        <v>0.66805555555555551</v>
      </c>
      <c r="G1050" s="3" t="s">
        <v>13</v>
      </c>
      <c r="H1050" s="3" t="s">
        <v>27</v>
      </c>
      <c r="I1050" s="3" t="s">
        <v>15</v>
      </c>
    </row>
    <row r="1051" spans="1:9" s="3" customFormat="1" x14ac:dyDescent="0.3">
      <c r="A1051" s="3" t="s">
        <v>216</v>
      </c>
      <c r="B1051" s="3" t="s">
        <v>217</v>
      </c>
      <c r="C1051" s="3" t="s">
        <v>64</v>
      </c>
      <c r="D1051" s="3" t="s">
        <v>361</v>
      </c>
      <c r="E1051" s="6">
        <v>0.34722222222222221</v>
      </c>
      <c r="F1051" s="6">
        <v>0.83680555555555558</v>
      </c>
      <c r="G1051" s="3" t="s">
        <v>20</v>
      </c>
      <c r="H1051" s="3" t="s">
        <v>14</v>
      </c>
      <c r="I1051" s="3" t="s">
        <v>21</v>
      </c>
    </row>
    <row r="1052" spans="1:9" s="3" customFormat="1" x14ac:dyDescent="0.3">
      <c r="A1052" s="3" t="s">
        <v>81</v>
      </c>
      <c r="B1052" s="3" t="s">
        <v>82</v>
      </c>
      <c r="C1052" s="3" t="s">
        <v>60</v>
      </c>
      <c r="D1052" s="3" t="s">
        <v>227</v>
      </c>
      <c r="E1052" s="6"/>
      <c r="F1052" s="6"/>
      <c r="G1052" s="3" t="s">
        <v>125</v>
      </c>
      <c r="H1052" s="3" t="s">
        <v>27</v>
      </c>
      <c r="I1052" s="3" t="s">
        <v>15</v>
      </c>
    </row>
    <row r="1053" spans="1:9" s="3" customFormat="1" x14ac:dyDescent="0.3">
      <c r="A1053" s="3" t="s">
        <v>138</v>
      </c>
      <c r="B1053" s="3" t="s">
        <v>139</v>
      </c>
      <c r="C1053" s="3" t="s">
        <v>64</v>
      </c>
      <c r="D1053" s="3" t="s">
        <v>159</v>
      </c>
      <c r="E1053" s="6"/>
      <c r="F1053" s="6"/>
      <c r="G1053" s="3" t="s">
        <v>44</v>
      </c>
      <c r="H1053" s="3" t="s">
        <v>14</v>
      </c>
      <c r="I1053" s="3" t="s">
        <v>15</v>
      </c>
    </row>
    <row r="1054" spans="1:9" s="3" customFormat="1" x14ac:dyDescent="0.3">
      <c r="A1054" s="3" t="s">
        <v>40</v>
      </c>
      <c r="B1054" s="3" t="s">
        <v>41</v>
      </c>
      <c r="C1054" s="3" t="s">
        <v>24</v>
      </c>
      <c r="D1054" s="3" t="s">
        <v>415</v>
      </c>
      <c r="E1054" s="6">
        <v>0.38263888888888886</v>
      </c>
      <c r="F1054" s="6">
        <v>0.78541666666666665</v>
      </c>
      <c r="G1054" s="3" t="s">
        <v>20</v>
      </c>
      <c r="H1054" s="3" t="s">
        <v>27</v>
      </c>
      <c r="I1054" s="3" t="s">
        <v>21</v>
      </c>
    </row>
    <row r="1055" spans="1:9" s="3" customFormat="1" x14ac:dyDescent="0.3">
      <c r="A1055" s="3" t="s">
        <v>37</v>
      </c>
      <c r="B1055" s="3" t="s">
        <v>38</v>
      </c>
      <c r="C1055" s="3" t="s">
        <v>24</v>
      </c>
      <c r="D1055" s="3" t="s">
        <v>210</v>
      </c>
      <c r="E1055" s="6">
        <v>0.38263888888888886</v>
      </c>
      <c r="F1055" s="6">
        <v>0.86736111111111114</v>
      </c>
      <c r="G1055" s="3" t="s">
        <v>20</v>
      </c>
      <c r="H1055" s="3" t="s">
        <v>14</v>
      </c>
      <c r="I1055" s="3" t="s">
        <v>15</v>
      </c>
    </row>
    <row r="1056" spans="1:9" s="3" customFormat="1" x14ac:dyDescent="0.3">
      <c r="A1056" s="3" t="s">
        <v>236</v>
      </c>
      <c r="B1056" s="3" t="s">
        <v>237</v>
      </c>
      <c r="C1056" s="3" t="s">
        <v>24</v>
      </c>
      <c r="D1056" s="3" t="s">
        <v>368</v>
      </c>
      <c r="E1056" s="6">
        <v>0.34097222222222223</v>
      </c>
      <c r="F1056" s="6">
        <v>0.83194444444444449</v>
      </c>
      <c r="G1056" s="3" t="s">
        <v>274</v>
      </c>
      <c r="H1056" s="3" t="s">
        <v>27</v>
      </c>
      <c r="I1056" s="3" t="s">
        <v>21</v>
      </c>
    </row>
    <row r="1057" spans="1:9" s="3" customFormat="1" x14ac:dyDescent="0.3">
      <c r="A1057" s="3" t="s">
        <v>250</v>
      </c>
      <c r="B1057" s="3" t="s">
        <v>251</v>
      </c>
      <c r="C1057" s="3" t="s">
        <v>64</v>
      </c>
      <c r="D1057" s="3" t="s">
        <v>341</v>
      </c>
      <c r="E1057" s="6"/>
      <c r="F1057" s="6"/>
      <c r="G1057" s="3" t="s">
        <v>44</v>
      </c>
      <c r="H1057" s="3" t="s">
        <v>27</v>
      </c>
      <c r="I1057" s="3" t="s">
        <v>21</v>
      </c>
    </row>
    <row r="1058" spans="1:9" s="3" customFormat="1" x14ac:dyDescent="0.3">
      <c r="A1058" s="3" t="s">
        <v>58</v>
      </c>
      <c r="B1058" s="3" t="s">
        <v>59</v>
      </c>
      <c r="C1058" s="3" t="s">
        <v>42</v>
      </c>
      <c r="D1058" s="3" t="s">
        <v>65</v>
      </c>
      <c r="E1058" s="6">
        <v>0.41736111111111113</v>
      </c>
      <c r="F1058" s="6">
        <v>0.86875000000000002</v>
      </c>
      <c r="G1058" s="3" t="s">
        <v>26</v>
      </c>
      <c r="H1058" s="3" t="s">
        <v>27</v>
      </c>
      <c r="I1058" s="3" t="s">
        <v>15</v>
      </c>
    </row>
    <row r="1059" spans="1:9" s="3" customFormat="1" x14ac:dyDescent="0.3">
      <c r="A1059" s="3" t="s">
        <v>187</v>
      </c>
      <c r="B1059" s="3" t="s">
        <v>188</v>
      </c>
      <c r="C1059" s="3" t="s">
        <v>60</v>
      </c>
      <c r="D1059" s="3" t="s">
        <v>393</v>
      </c>
      <c r="E1059" s="6">
        <v>0.47291666666666665</v>
      </c>
      <c r="F1059" s="6">
        <v>0.77361111111111114</v>
      </c>
      <c r="G1059" s="3" t="s">
        <v>13</v>
      </c>
      <c r="H1059" s="3" t="s">
        <v>14</v>
      </c>
      <c r="I1059" s="3" t="s">
        <v>15</v>
      </c>
    </row>
    <row r="1060" spans="1:9" s="3" customFormat="1" x14ac:dyDescent="0.3">
      <c r="A1060" s="3" t="s">
        <v>197</v>
      </c>
      <c r="B1060" s="3" t="s">
        <v>198</v>
      </c>
      <c r="C1060" s="3" t="s">
        <v>64</v>
      </c>
      <c r="D1060" s="3" t="s">
        <v>416</v>
      </c>
      <c r="E1060" s="6"/>
      <c r="F1060" s="6"/>
      <c r="G1060" s="3" t="s">
        <v>44</v>
      </c>
      <c r="H1060" s="3" t="s">
        <v>27</v>
      </c>
      <c r="I1060" s="3" t="s">
        <v>21</v>
      </c>
    </row>
    <row r="1061" spans="1:9" s="3" customFormat="1" x14ac:dyDescent="0.3">
      <c r="A1061" s="3" t="s">
        <v>96</v>
      </c>
      <c r="B1061" s="3" t="s">
        <v>97</v>
      </c>
      <c r="C1061" s="3" t="s">
        <v>64</v>
      </c>
      <c r="D1061" s="3" t="s">
        <v>277</v>
      </c>
      <c r="E1061" s="6">
        <v>0.44722222222222224</v>
      </c>
      <c r="F1061" s="6">
        <v>0.67291666666666672</v>
      </c>
      <c r="G1061" s="3" t="s">
        <v>13</v>
      </c>
      <c r="H1061" s="3" t="s">
        <v>27</v>
      </c>
      <c r="I1061" s="3" t="s">
        <v>15</v>
      </c>
    </row>
    <row r="1062" spans="1:9" s="3" customFormat="1" x14ac:dyDescent="0.3">
      <c r="A1062" s="3" t="s">
        <v>187</v>
      </c>
      <c r="B1062" s="3" t="s">
        <v>188</v>
      </c>
      <c r="C1062" s="3" t="s">
        <v>60</v>
      </c>
      <c r="D1062" s="3" t="s">
        <v>300</v>
      </c>
      <c r="E1062" s="6">
        <v>0.35833333333333334</v>
      </c>
      <c r="F1062" s="6">
        <v>0.84861111111111109</v>
      </c>
      <c r="G1062" s="3" t="s">
        <v>149</v>
      </c>
      <c r="H1062" s="3" t="s">
        <v>14</v>
      </c>
      <c r="I1062" s="3" t="s">
        <v>21</v>
      </c>
    </row>
    <row r="1063" spans="1:9" s="3" customFormat="1" x14ac:dyDescent="0.3">
      <c r="A1063" s="3" t="s">
        <v>134</v>
      </c>
      <c r="B1063" s="3" t="s">
        <v>135</v>
      </c>
      <c r="C1063" s="3" t="s">
        <v>18</v>
      </c>
      <c r="D1063" s="3" t="s">
        <v>375</v>
      </c>
      <c r="E1063" s="6">
        <v>0.49236111111111114</v>
      </c>
      <c r="F1063" s="6">
        <v>0.84027777777777779</v>
      </c>
      <c r="G1063" s="3" t="s">
        <v>13</v>
      </c>
      <c r="H1063" s="3" t="s">
        <v>27</v>
      </c>
      <c r="I1063" s="3" t="s">
        <v>21</v>
      </c>
    </row>
    <row r="1064" spans="1:9" s="3" customFormat="1" x14ac:dyDescent="0.3">
      <c r="A1064" s="3" t="s">
        <v>62</v>
      </c>
      <c r="B1064" s="3" t="s">
        <v>63</v>
      </c>
      <c r="C1064" s="3" t="s">
        <v>18</v>
      </c>
      <c r="D1064" s="3" t="s">
        <v>257</v>
      </c>
      <c r="E1064" s="6"/>
      <c r="F1064" s="6"/>
      <c r="G1064" s="3" t="s">
        <v>44</v>
      </c>
      <c r="H1064" s="3" t="s">
        <v>27</v>
      </c>
      <c r="I1064" s="3" t="s">
        <v>21</v>
      </c>
    </row>
    <row r="1065" spans="1:9" s="3" customFormat="1" x14ac:dyDescent="0.3">
      <c r="A1065" s="3" t="s">
        <v>72</v>
      </c>
      <c r="B1065" s="3" t="s">
        <v>73</v>
      </c>
      <c r="C1065" s="3" t="s">
        <v>24</v>
      </c>
      <c r="D1065" s="3" t="s">
        <v>164</v>
      </c>
      <c r="E1065" s="6"/>
      <c r="F1065" s="6"/>
      <c r="G1065" s="3" t="s">
        <v>44</v>
      </c>
      <c r="H1065" s="3" t="s">
        <v>27</v>
      </c>
      <c r="I1065" s="3" t="s">
        <v>21</v>
      </c>
    </row>
    <row r="1066" spans="1:9" s="3" customFormat="1" x14ac:dyDescent="0.3">
      <c r="A1066" s="3" t="s">
        <v>84</v>
      </c>
      <c r="B1066" s="3" t="s">
        <v>85</v>
      </c>
      <c r="C1066" s="3" t="s">
        <v>18</v>
      </c>
      <c r="D1066" s="3" t="s">
        <v>288</v>
      </c>
      <c r="E1066" s="6">
        <v>0.38750000000000001</v>
      </c>
      <c r="F1066" s="6">
        <v>0.80555555555555558</v>
      </c>
      <c r="G1066" s="3" t="s">
        <v>26</v>
      </c>
      <c r="H1066" s="3" t="s">
        <v>14</v>
      </c>
      <c r="I1066" s="3" t="s">
        <v>15</v>
      </c>
    </row>
    <row r="1067" spans="1:9" s="3" customFormat="1" x14ac:dyDescent="0.3">
      <c r="A1067" s="3" t="s">
        <v>115</v>
      </c>
      <c r="B1067" s="3" t="s">
        <v>116</v>
      </c>
      <c r="C1067" s="3" t="s">
        <v>18</v>
      </c>
      <c r="D1067" s="3" t="s">
        <v>47</v>
      </c>
      <c r="E1067" s="6">
        <v>0.36527777777777776</v>
      </c>
      <c r="F1067" s="6">
        <v>0.70833333333333337</v>
      </c>
      <c r="G1067" s="3" t="s">
        <v>26</v>
      </c>
      <c r="H1067" s="3" t="s">
        <v>27</v>
      </c>
      <c r="I1067" s="3" t="s">
        <v>15</v>
      </c>
    </row>
    <row r="1068" spans="1:9" s="3" customFormat="1" x14ac:dyDescent="0.3">
      <c r="A1068" s="3" t="s">
        <v>48</v>
      </c>
      <c r="B1068" s="3" t="s">
        <v>49</v>
      </c>
      <c r="C1068" s="3" t="s">
        <v>60</v>
      </c>
      <c r="D1068" s="3" t="s">
        <v>185</v>
      </c>
      <c r="E1068" s="6">
        <v>0.41388888888888886</v>
      </c>
      <c r="F1068" s="6">
        <v>0.66874999999999996</v>
      </c>
      <c r="G1068" s="3" t="s">
        <v>20</v>
      </c>
      <c r="H1068" s="3" t="s">
        <v>14</v>
      </c>
      <c r="I1068" s="3" t="s">
        <v>15</v>
      </c>
    </row>
    <row r="1069" spans="1:9" s="3" customFormat="1" x14ac:dyDescent="0.3">
      <c r="A1069" s="3" t="s">
        <v>102</v>
      </c>
      <c r="B1069" s="3" t="s">
        <v>103</v>
      </c>
      <c r="C1069" s="3" t="s">
        <v>42</v>
      </c>
      <c r="D1069" s="3" t="s">
        <v>328</v>
      </c>
      <c r="E1069" s="6">
        <v>0.37916666666666665</v>
      </c>
      <c r="F1069" s="6">
        <v>0.85833333333333328</v>
      </c>
      <c r="G1069" s="3" t="s">
        <v>13</v>
      </c>
      <c r="H1069" s="3" t="s">
        <v>27</v>
      </c>
      <c r="I1069" s="3" t="s">
        <v>21</v>
      </c>
    </row>
    <row r="1070" spans="1:9" s="3" customFormat="1" x14ac:dyDescent="0.3">
      <c r="A1070" s="3" t="s">
        <v>28</v>
      </c>
      <c r="B1070" s="3" t="s">
        <v>29</v>
      </c>
      <c r="C1070" s="3" t="s">
        <v>24</v>
      </c>
      <c r="D1070" s="3" t="s">
        <v>265</v>
      </c>
      <c r="E1070" s="6">
        <v>0.48333333333333334</v>
      </c>
      <c r="F1070" s="6">
        <v>0.74583333333333335</v>
      </c>
      <c r="G1070" s="3" t="s">
        <v>20</v>
      </c>
      <c r="H1070" s="3" t="s">
        <v>27</v>
      </c>
      <c r="I1070" s="3" t="s">
        <v>15</v>
      </c>
    </row>
    <row r="1071" spans="1:9" s="3" customFormat="1" x14ac:dyDescent="0.3">
      <c r="A1071" s="3" t="s">
        <v>246</v>
      </c>
      <c r="B1071" s="3" t="s">
        <v>247</v>
      </c>
      <c r="C1071" s="3" t="s">
        <v>18</v>
      </c>
      <c r="D1071" s="3" t="s">
        <v>412</v>
      </c>
      <c r="E1071" s="6"/>
      <c r="F1071" s="6"/>
      <c r="G1071" s="3" t="s">
        <v>44</v>
      </c>
      <c r="H1071" s="3" t="s">
        <v>14</v>
      </c>
      <c r="I1071" s="3" t="s">
        <v>21</v>
      </c>
    </row>
    <row r="1072" spans="1:9" s="3" customFormat="1" x14ac:dyDescent="0.3">
      <c r="A1072" s="3" t="s">
        <v>87</v>
      </c>
      <c r="B1072" s="3" t="s">
        <v>88</v>
      </c>
      <c r="C1072" s="3" t="s">
        <v>167</v>
      </c>
      <c r="D1072" s="3" t="s">
        <v>193</v>
      </c>
      <c r="E1072" s="6"/>
      <c r="F1072" s="6"/>
      <c r="G1072" s="3" t="s">
        <v>44</v>
      </c>
      <c r="H1072" s="3" t="s">
        <v>14</v>
      </c>
      <c r="I1072" s="3" t="s">
        <v>21</v>
      </c>
    </row>
    <row r="1073" spans="1:9" s="3" customFormat="1" x14ac:dyDescent="0.3">
      <c r="A1073" s="3" t="s">
        <v>362</v>
      </c>
      <c r="B1073" s="3" t="s">
        <v>363</v>
      </c>
      <c r="C1073" s="3" t="s">
        <v>64</v>
      </c>
      <c r="D1073" s="3" t="s">
        <v>43</v>
      </c>
      <c r="E1073" s="6">
        <v>0.43541666666666667</v>
      </c>
      <c r="F1073" s="6">
        <v>0.68055555555555558</v>
      </c>
      <c r="G1073" s="3" t="s">
        <v>20</v>
      </c>
      <c r="H1073" s="3" t="s">
        <v>14</v>
      </c>
      <c r="I1073" s="3" t="s">
        <v>21</v>
      </c>
    </row>
    <row r="1074" spans="1:9" s="3" customFormat="1" x14ac:dyDescent="0.3">
      <c r="A1074" s="3" t="s">
        <v>115</v>
      </c>
      <c r="B1074" s="3" t="s">
        <v>116</v>
      </c>
      <c r="C1074" s="3" t="s">
        <v>167</v>
      </c>
      <c r="D1074" s="3" t="s">
        <v>57</v>
      </c>
      <c r="E1074" s="6">
        <v>0.43194444444444446</v>
      </c>
      <c r="F1074" s="6">
        <v>0.70416666666666672</v>
      </c>
      <c r="G1074" s="3" t="s">
        <v>20</v>
      </c>
      <c r="H1074" s="3" t="s">
        <v>14</v>
      </c>
      <c r="I1074" s="3" t="s">
        <v>21</v>
      </c>
    </row>
    <row r="1075" spans="1:9" s="3" customFormat="1" x14ac:dyDescent="0.3">
      <c r="A1075" s="3" t="s">
        <v>66</v>
      </c>
      <c r="B1075" s="3" t="s">
        <v>67</v>
      </c>
      <c r="C1075" s="3" t="s">
        <v>64</v>
      </c>
      <c r="D1075" s="3" t="s">
        <v>382</v>
      </c>
      <c r="E1075" s="6">
        <v>0.39166666666666666</v>
      </c>
      <c r="F1075" s="6">
        <v>0.76388888888888884</v>
      </c>
      <c r="G1075" s="3" t="s">
        <v>26</v>
      </c>
      <c r="H1075" s="3" t="s">
        <v>14</v>
      </c>
      <c r="I1075" s="3" t="s">
        <v>21</v>
      </c>
    </row>
    <row r="1076" spans="1:9" s="3" customFormat="1" x14ac:dyDescent="0.3">
      <c r="A1076" s="3" t="s">
        <v>236</v>
      </c>
      <c r="B1076" s="3" t="s">
        <v>237</v>
      </c>
      <c r="C1076" s="3" t="s">
        <v>64</v>
      </c>
      <c r="D1076" s="3" t="s">
        <v>376</v>
      </c>
      <c r="E1076" s="6">
        <v>0.39861111111111114</v>
      </c>
      <c r="F1076" s="6">
        <v>0.67361111111111116</v>
      </c>
      <c r="G1076" s="3" t="s">
        <v>20</v>
      </c>
      <c r="H1076" s="3" t="s">
        <v>14</v>
      </c>
      <c r="I1076" s="3" t="s">
        <v>15</v>
      </c>
    </row>
    <row r="1077" spans="1:9" s="3" customFormat="1" x14ac:dyDescent="0.3">
      <c r="A1077" s="3" t="s">
        <v>55</v>
      </c>
      <c r="B1077" s="3" t="s">
        <v>56</v>
      </c>
      <c r="C1077" s="3" t="s">
        <v>60</v>
      </c>
      <c r="D1077" s="3" t="s">
        <v>405</v>
      </c>
      <c r="E1077" s="6">
        <v>0.34513888888888888</v>
      </c>
      <c r="F1077" s="6">
        <v>0.78611111111111109</v>
      </c>
      <c r="G1077" s="3" t="s">
        <v>13</v>
      </c>
      <c r="H1077" s="3" t="s">
        <v>27</v>
      </c>
      <c r="I1077" s="3" t="s">
        <v>21</v>
      </c>
    </row>
    <row r="1078" spans="1:9" s="3" customFormat="1" x14ac:dyDescent="0.3">
      <c r="A1078" s="3" t="s">
        <v>66</v>
      </c>
      <c r="B1078" s="3" t="s">
        <v>67</v>
      </c>
      <c r="C1078" s="3" t="s">
        <v>143</v>
      </c>
      <c r="D1078" s="3" t="s">
        <v>417</v>
      </c>
      <c r="E1078" s="6">
        <v>0.41944444444444445</v>
      </c>
      <c r="F1078" s="6">
        <v>0.69444444444444442</v>
      </c>
      <c r="G1078" s="3" t="s">
        <v>26</v>
      </c>
      <c r="H1078" s="3" t="s">
        <v>27</v>
      </c>
      <c r="I1078" s="3" t="s">
        <v>15</v>
      </c>
    </row>
    <row r="1079" spans="1:9" s="3" customFormat="1" x14ac:dyDescent="0.3">
      <c r="A1079" s="3" t="s">
        <v>250</v>
      </c>
      <c r="B1079" s="3" t="s">
        <v>251</v>
      </c>
      <c r="C1079" s="3" t="s">
        <v>42</v>
      </c>
      <c r="D1079" s="3" t="s">
        <v>415</v>
      </c>
      <c r="E1079" s="6"/>
      <c r="F1079" s="6"/>
      <c r="G1079" s="3" t="s">
        <v>44</v>
      </c>
      <c r="H1079" s="3" t="s">
        <v>14</v>
      </c>
      <c r="I1079" s="3" t="s">
        <v>15</v>
      </c>
    </row>
    <row r="1080" spans="1:9" s="3" customFormat="1" x14ac:dyDescent="0.3">
      <c r="A1080" s="3" t="s">
        <v>48</v>
      </c>
      <c r="B1080" s="3" t="s">
        <v>49</v>
      </c>
      <c r="C1080" s="3" t="s">
        <v>64</v>
      </c>
      <c r="D1080" s="3" t="s">
        <v>95</v>
      </c>
      <c r="E1080" s="6">
        <v>0.46805555555555556</v>
      </c>
      <c r="F1080" s="6">
        <v>0.78888888888888886</v>
      </c>
      <c r="G1080" s="3" t="s">
        <v>274</v>
      </c>
      <c r="H1080" s="3" t="s">
        <v>14</v>
      </c>
      <c r="I1080" s="3" t="s">
        <v>21</v>
      </c>
    </row>
    <row r="1081" spans="1:9" s="3" customFormat="1" x14ac:dyDescent="0.3">
      <c r="A1081" s="3" t="s">
        <v>250</v>
      </c>
      <c r="B1081" s="3" t="s">
        <v>251</v>
      </c>
      <c r="C1081" s="3" t="s">
        <v>18</v>
      </c>
      <c r="D1081" s="3" t="s">
        <v>261</v>
      </c>
      <c r="E1081" s="6">
        <v>0.38472222222222224</v>
      </c>
      <c r="F1081" s="6">
        <v>0.67708333333333337</v>
      </c>
      <c r="G1081" s="3" t="s">
        <v>26</v>
      </c>
      <c r="H1081" s="3" t="s">
        <v>14</v>
      </c>
      <c r="I1081" s="3" t="s">
        <v>15</v>
      </c>
    </row>
    <row r="1082" spans="1:9" s="3" customFormat="1" x14ac:dyDescent="0.3">
      <c r="A1082" s="3" t="s">
        <v>224</v>
      </c>
      <c r="B1082" s="3" t="s">
        <v>225</v>
      </c>
      <c r="C1082" s="3" t="s">
        <v>239</v>
      </c>
      <c r="D1082" s="3" t="s">
        <v>108</v>
      </c>
      <c r="E1082" s="6">
        <v>0.3888888888888889</v>
      </c>
      <c r="F1082" s="6">
        <v>0.81527777777777777</v>
      </c>
      <c r="G1082" s="3" t="s">
        <v>274</v>
      </c>
      <c r="H1082" s="3" t="s">
        <v>27</v>
      </c>
      <c r="I1082" s="3" t="s">
        <v>15</v>
      </c>
    </row>
    <row r="1083" spans="1:9" s="3" customFormat="1" x14ac:dyDescent="0.3">
      <c r="A1083" s="3" t="s">
        <v>213</v>
      </c>
      <c r="B1083" s="3" t="s">
        <v>214</v>
      </c>
      <c r="C1083" s="3" t="s">
        <v>18</v>
      </c>
      <c r="D1083" s="3" t="s">
        <v>68</v>
      </c>
      <c r="E1083" s="6">
        <v>0.43194444444444446</v>
      </c>
      <c r="F1083" s="6">
        <v>0.7319444444444444</v>
      </c>
      <c r="G1083" s="3" t="s">
        <v>26</v>
      </c>
      <c r="H1083" s="3" t="s">
        <v>14</v>
      </c>
      <c r="I1083" s="3" t="s">
        <v>15</v>
      </c>
    </row>
    <row r="1084" spans="1:9" s="3" customFormat="1" x14ac:dyDescent="0.3">
      <c r="A1084" s="3" t="s">
        <v>204</v>
      </c>
      <c r="B1084" s="3" t="s">
        <v>205</v>
      </c>
      <c r="C1084" s="3" t="s">
        <v>24</v>
      </c>
      <c r="D1084" s="3" t="s">
        <v>174</v>
      </c>
      <c r="E1084" s="6"/>
      <c r="F1084" s="6"/>
      <c r="G1084" s="3" t="s">
        <v>44</v>
      </c>
      <c r="H1084" s="3" t="s">
        <v>27</v>
      </c>
      <c r="I1084" s="3" t="s">
        <v>15</v>
      </c>
    </row>
    <row r="1085" spans="1:9" s="3" customFormat="1" x14ac:dyDescent="0.3">
      <c r="A1085" s="3" t="s">
        <v>66</v>
      </c>
      <c r="B1085" s="3" t="s">
        <v>67</v>
      </c>
      <c r="C1085" s="3" t="s">
        <v>18</v>
      </c>
      <c r="D1085" s="3" t="s">
        <v>328</v>
      </c>
      <c r="E1085" s="6">
        <v>0.38055555555555554</v>
      </c>
      <c r="F1085" s="6">
        <v>0.84652777777777777</v>
      </c>
      <c r="G1085" s="3" t="s">
        <v>125</v>
      </c>
      <c r="H1085" s="3" t="s">
        <v>14</v>
      </c>
      <c r="I1085" s="3" t="s">
        <v>21</v>
      </c>
    </row>
    <row r="1086" spans="1:9" s="3" customFormat="1" x14ac:dyDescent="0.3">
      <c r="A1086" s="3" t="s">
        <v>58</v>
      </c>
      <c r="B1086" s="3" t="s">
        <v>59</v>
      </c>
      <c r="C1086" s="3" t="s">
        <v>42</v>
      </c>
      <c r="D1086" s="3" t="s">
        <v>227</v>
      </c>
      <c r="E1086" s="6">
        <v>0.45555555555555555</v>
      </c>
      <c r="F1086" s="6">
        <v>0.71875</v>
      </c>
      <c r="G1086" s="3" t="s">
        <v>13</v>
      </c>
      <c r="H1086" s="3" t="s">
        <v>27</v>
      </c>
      <c r="I1086" s="3" t="s">
        <v>21</v>
      </c>
    </row>
    <row r="1087" spans="1:9" s="3" customFormat="1" x14ac:dyDescent="0.3">
      <c r="A1087" s="3" t="s">
        <v>187</v>
      </c>
      <c r="B1087" s="3" t="s">
        <v>188</v>
      </c>
      <c r="C1087" s="3" t="s">
        <v>24</v>
      </c>
      <c r="D1087" s="3" t="s">
        <v>312</v>
      </c>
      <c r="E1087" s="6">
        <v>0.45347222222222222</v>
      </c>
      <c r="F1087" s="6">
        <v>0.74305555555555558</v>
      </c>
      <c r="G1087" s="3" t="s">
        <v>13</v>
      </c>
      <c r="H1087" s="3" t="s">
        <v>14</v>
      </c>
      <c r="I1087" s="3" t="s">
        <v>21</v>
      </c>
    </row>
    <row r="1088" spans="1:9" s="3" customFormat="1" x14ac:dyDescent="0.3">
      <c r="A1088" s="3" t="s">
        <v>81</v>
      </c>
      <c r="B1088" s="3" t="s">
        <v>82</v>
      </c>
      <c r="C1088" s="3" t="s">
        <v>42</v>
      </c>
      <c r="D1088" s="3" t="s">
        <v>222</v>
      </c>
      <c r="E1088" s="6">
        <v>0.4152777777777778</v>
      </c>
      <c r="F1088" s="6">
        <v>0.70972222222222225</v>
      </c>
      <c r="G1088" s="3" t="s">
        <v>13</v>
      </c>
      <c r="H1088" s="3" t="s">
        <v>27</v>
      </c>
      <c r="I1088" s="3" t="s">
        <v>15</v>
      </c>
    </row>
    <row r="1089" spans="1:9" s="3" customFormat="1" x14ac:dyDescent="0.3">
      <c r="A1089" s="3" t="s">
        <v>90</v>
      </c>
      <c r="B1089" s="3" t="s">
        <v>91</v>
      </c>
      <c r="C1089" s="3" t="s">
        <v>60</v>
      </c>
      <c r="D1089" s="3" t="s">
        <v>271</v>
      </c>
      <c r="E1089" s="6">
        <v>0.43888888888888888</v>
      </c>
      <c r="F1089" s="6">
        <v>0.82708333333333328</v>
      </c>
      <c r="G1089" s="3" t="s">
        <v>20</v>
      </c>
      <c r="H1089" s="3" t="s">
        <v>14</v>
      </c>
      <c r="I1089" s="3" t="s">
        <v>21</v>
      </c>
    </row>
    <row r="1090" spans="1:9" s="3" customFormat="1" x14ac:dyDescent="0.3">
      <c r="A1090" s="3" t="s">
        <v>200</v>
      </c>
      <c r="B1090" s="3" t="s">
        <v>201</v>
      </c>
      <c r="C1090" s="3" t="s">
        <v>64</v>
      </c>
      <c r="D1090" s="3" t="s">
        <v>294</v>
      </c>
      <c r="E1090" s="6"/>
      <c r="F1090" s="6"/>
      <c r="G1090" s="3" t="s">
        <v>44</v>
      </c>
      <c r="H1090" s="3" t="s">
        <v>27</v>
      </c>
      <c r="I1090" s="3" t="s">
        <v>15</v>
      </c>
    </row>
    <row r="1091" spans="1:9" s="3" customFormat="1" x14ac:dyDescent="0.3">
      <c r="A1091" s="3" t="s">
        <v>130</v>
      </c>
      <c r="B1091" s="3" t="s">
        <v>131</v>
      </c>
      <c r="C1091" s="3" t="s">
        <v>64</v>
      </c>
      <c r="D1091" s="3" t="s">
        <v>278</v>
      </c>
      <c r="E1091" s="6">
        <v>0.35486111111111113</v>
      </c>
      <c r="F1091" s="6">
        <v>0.82361111111111107</v>
      </c>
      <c r="G1091" s="3" t="s">
        <v>13</v>
      </c>
      <c r="H1091" s="3" t="s">
        <v>27</v>
      </c>
      <c r="I1091" s="3" t="s">
        <v>21</v>
      </c>
    </row>
    <row r="1092" spans="1:9" s="3" customFormat="1" x14ac:dyDescent="0.3">
      <c r="A1092" s="3" t="s">
        <v>52</v>
      </c>
      <c r="B1092" s="3" t="s">
        <v>53</v>
      </c>
      <c r="C1092" s="3" t="s">
        <v>60</v>
      </c>
      <c r="D1092" s="3" t="s">
        <v>265</v>
      </c>
      <c r="E1092" s="6">
        <v>0.45416666666666666</v>
      </c>
      <c r="F1092" s="6">
        <v>0.71597222222222223</v>
      </c>
      <c r="G1092" s="3" t="s">
        <v>13</v>
      </c>
      <c r="H1092" s="3" t="s">
        <v>14</v>
      </c>
      <c r="I1092" s="3" t="s">
        <v>21</v>
      </c>
    </row>
    <row r="1093" spans="1:9" s="3" customFormat="1" x14ac:dyDescent="0.3">
      <c r="A1093" s="3" t="s">
        <v>134</v>
      </c>
      <c r="B1093" s="3" t="s">
        <v>135</v>
      </c>
      <c r="C1093" s="3" t="s">
        <v>64</v>
      </c>
      <c r="D1093" s="3" t="s">
        <v>354</v>
      </c>
      <c r="E1093" s="6">
        <v>0.39027777777777778</v>
      </c>
      <c r="F1093" s="6">
        <v>0.72291666666666665</v>
      </c>
      <c r="G1093" s="3" t="s">
        <v>26</v>
      </c>
      <c r="H1093" s="3" t="s">
        <v>27</v>
      </c>
      <c r="I1093" s="3" t="s">
        <v>21</v>
      </c>
    </row>
    <row r="1094" spans="1:9" s="3" customFormat="1" x14ac:dyDescent="0.3">
      <c r="A1094" s="3" t="s">
        <v>146</v>
      </c>
      <c r="B1094" s="3" t="s">
        <v>147</v>
      </c>
      <c r="C1094" s="3" t="s">
        <v>64</v>
      </c>
      <c r="D1094" s="3" t="s">
        <v>196</v>
      </c>
      <c r="E1094" s="6">
        <v>0.46944444444444444</v>
      </c>
      <c r="F1094" s="6">
        <v>0.68125000000000002</v>
      </c>
      <c r="G1094" s="3" t="s">
        <v>20</v>
      </c>
      <c r="H1094" s="3" t="s">
        <v>14</v>
      </c>
      <c r="I1094" s="3" t="s">
        <v>21</v>
      </c>
    </row>
    <row r="1095" spans="1:9" s="3" customFormat="1" x14ac:dyDescent="0.3">
      <c r="A1095" s="3" t="s">
        <v>315</v>
      </c>
      <c r="B1095" s="3" t="s">
        <v>316</v>
      </c>
      <c r="C1095" s="3" t="s">
        <v>60</v>
      </c>
      <c r="D1095" s="3" t="s">
        <v>105</v>
      </c>
      <c r="E1095" s="6"/>
      <c r="F1095" s="6"/>
      <c r="G1095" s="3" t="s">
        <v>44</v>
      </c>
      <c r="H1095" s="3" t="s">
        <v>14</v>
      </c>
      <c r="I1095" s="3" t="s">
        <v>15</v>
      </c>
    </row>
    <row r="1096" spans="1:9" s="3" customFormat="1" x14ac:dyDescent="0.3">
      <c r="A1096" s="3" t="s">
        <v>84</v>
      </c>
      <c r="B1096" s="3" t="s">
        <v>85</v>
      </c>
      <c r="C1096" s="3" t="s">
        <v>24</v>
      </c>
      <c r="D1096" s="3" t="s">
        <v>39</v>
      </c>
      <c r="E1096" s="6">
        <v>0.41736111111111113</v>
      </c>
      <c r="F1096" s="6">
        <v>0.75902777777777775</v>
      </c>
      <c r="G1096" s="3" t="s">
        <v>20</v>
      </c>
      <c r="H1096" s="3" t="s">
        <v>14</v>
      </c>
      <c r="I1096" s="3" t="s">
        <v>21</v>
      </c>
    </row>
    <row r="1097" spans="1:9" s="3" customFormat="1" x14ac:dyDescent="0.3">
      <c r="A1097" s="3" t="s">
        <v>55</v>
      </c>
      <c r="B1097" s="3" t="s">
        <v>56</v>
      </c>
      <c r="C1097" s="3" t="s">
        <v>60</v>
      </c>
      <c r="D1097" s="3" t="s">
        <v>404</v>
      </c>
      <c r="E1097" s="6">
        <v>0.37361111111111112</v>
      </c>
      <c r="F1097" s="6">
        <v>0.68263888888888891</v>
      </c>
      <c r="G1097" s="3" t="s">
        <v>20</v>
      </c>
      <c r="H1097" s="3" t="s">
        <v>14</v>
      </c>
      <c r="I1097" s="3" t="s">
        <v>21</v>
      </c>
    </row>
    <row r="1098" spans="1:9" s="3" customFormat="1" x14ac:dyDescent="0.3">
      <c r="A1098" s="3" t="s">
        <v>119</v>
      </c>
      <c r="B1098" s="3" t="s">
        <v>120</v>
      </c>
      <c r="C1098" s="3" t="s">
        <v>24</v>
      </c>
      <c r="D1098" s="3" t="s">
        <v>245</v>
      </c>
      <c r="E1098" s="6">
        <v>0.46041666666666664</v>
      </c>
      <c r="F1098" s="6">
        <v>0.7729166666666667</v>
      </c>
      <c r="G1098" s="3" t="s">
        <v>26</v>
      </c>
      <c r="H1098" s="3" t="s">
        <v>14</v>
      </c>
      <c r="I1098" s="3" t="s">
        <v>15</v>
      </c>
    </row>
    <row r="1099" spans="1:9" s="3" customFormat="1" x14ac:dyDescent="0.3">
      <c r="A1099" s="3" t="s">
        <v>31</v>
      </c>
      <c r="B1099" s="3" t="s">
        <v>32</v>
      </c>
      <c r="C1099" s="3" t="s">
        <v>18</v>
      </c>
      <c r="D1099" s="3" t="s">
        <v>25</v>
      </c>
      <c r="E1099" s="6"/>
      <c r="F1099" s="6"/>
      <c r="G1099" s="3" t="s">
        <v>44</v>
      </c>
      <c r="H1099" s="3" t="s">
        <v>27</v>
      </c>
      <c r="I1099" s="3" t="s">
        <v>15</v>
      </c>
    </row>
    <row r="1100" spans="1:9" s="3" customFormat="1" x14ac:dyDescent="0.3">
      <c r="A1100" s="3" t="s">
        <v>22</v>
      </c>
      <c r="B1100" s="3" t="s">
        <v>23</v>
      </c>
      <c r="C1100" s="3" t="s">
        <v>60</v>
      </c>
      <c r="D1100" s="3" t="s">
        <v>215</v>
      </c>
      <c r="E1100" s="6">
        <v>0.34027777777777779</v>
      </c>
      <c r="F1100" s="6">
        <v>0.69236111111111109</v>
      </c>
      <c r="G1100" s="3" t="s">
        <v>13</v>
      </c>
      <c r="H1100" s="3" t="s">
        <v>27</v>
      </c>
      <c r="I1100" s="3" t="s">
        <v>21</v>
      </c>
    </row>
    <row r="1101" spans="1:9" s="3" customFormat="1" x14ac:dyDescent="0.3">
      <c r="A1101" s="3" t="s">
        <v>75</v>
      </c>
      <c r="B1101" s="3" t="s">
        <v>76</v>
      </c>
      <c r="C1101" s="3" t="s">
        <v>42</v>
      </c>
      <c r="D1101" s="3" t="s">
        <v>411</v>
      </c>
      <c r="E1101" s="6"/>
      <c r="F1101" s="6"/>
      <c r="G1101" s="3" t="s">
        <v>125</v>
      </c>
      <c r="H1101" s="3" t="s">
        <v>27</v>
      </c>
      <c r="I1101" s="3" t="s">
        <v>15</v>
      </c>
    </row>
    <row r="1102" spans="1:9" s="3" customFormat="1" x14ac:dyDescent="0.3">
      <c r="A1102" s="3" t="s">
        <v>138</v>
      </c>
      <c r="B1102" s="3" t="s">
        <v>139</v>
      </c>
      <c r="C1102" s="3" t="s">
        <v>64</v>
      </c>
      <c r="D1102" s="3" t="s">
        <v>328</v>
      </c>
      <c r="E1102" s="6">
        <v>0.41180555555555554</v>
      </c>
      <c r="F1102" s="6">
        <v>0.78333333333333333</v>
      </c>
      <c r="G1102" s="3" t="s">
        <v>13</v>
      </c>
      <c r="H1102" s="3" t="s">
        <v>14</v>
      </c>
      <c r="I1102" s="3" t="s">
        <v>21</v>
      </c>
    </row>
    <row r="1103" spans="1:9" s="3" customFormat="1" x14ac:dyDescent="0.3">
      <c r="A1103" s="3" t="s">
        <v>291</v>
      </c>
      <c r="B1103" s="3" t="s">
        <v>292</v>
      </c>
      <c r="C1103" s="3" t="s">
        <v>64</v>
      </c>
      <c r="D1103" s="3" t="s">
        <v>228</v>
      </c>
      <c r="E1103" s="6">
        <v>0.4</v>
      </c>
      <c r="F1103" s="6">
        <v>0.70277777777777772</v>
      </c>
      <c r="G1103" s="3" t="s">
        <v>26</v>
      </c>
      <c r="H1103" s="3" t="s">
        <v>14</v>
      </c>
      <c r="I1103" s="3" t="s">
        <v>21</v>
      </c>
    </row>
    <row r="1104" spans="1:9" s="3" customFormat="1" x14ac:dyDescent="0.3">
      <c r="A1104" s="3" t="s">
        <v>213</v>
      </c>
      <c r="B1104" s="3" t="s">
        <v>214</v>
      </c>
      <c r="C1104" s="3" t="s">
        <v>24</v>
      </c>
      <c r="D1104" s="3" t="s">
        <v>402</v>
      </c>
      <c r="E1104" s="6">
        <v>0.45416666666666666</v>
      </c>
      <c r="F1104" s="6">
        <v>0.78125</v>
      </c>
      <c r="G1104" s="3" t="s">
        <v>13</v>
      </c>
      <c r="H1104" s="3" t="s">
        <v>27</v>
      </c>
      <c r="I1104" s="3" t="s">
        <v>21</v>
      </c>
    </row>
    <row r="1105" spans="1:9" s="3" customFormat="1" x14ac:dyDescent="0.3">
      <c r="A1105" s="3" t="s">
        <v>16</v>
      </c>
      <c r="B1105" s="3" t="s">
        <v>17</v>
      </c>
      <c r="C1105" s="3" t="s">
        <v>60</v>
      </c>
      <c r="D1105" s="3" t="s">
        <v>301</v>
      </c>
      <c r="E1105" s="6">
        <v>0.49513888888888891</v>
      </c>
      <c r="F1105" s="6">
        <v>0.78472222222222221</v>
      </c>
      <c r="G1105" s="3" t="s">
        <v>125</v>
      </c>
      <c r="H1105" s="3" t="s">
        <v>27</v>
      </c>
      <c r="I1105" s="3" t="s">
        <v>15</v>
      </c>
    </row>
    <row r="1106" spans="1:9" s="3" customFormat="1" x14ac:dyDescent="0.3">
      <c r="A1106" s="3" t="s">
        <v>48</v>
      </c>
      <c r="B1106" s="3" t="s">
        <v>49</v>
      </c>
      <c r="C1106" s="3" t="s">
        <v>64</v>
      </c>
      <c r="D1106" s="3" t="s">
        <v>180</v>
      </c>
      <c r="E1106" s="6">
        <v>0.42152777777777778</v>
      </c>
      <c r="F1106" s="6">
        <v>0.81180555555555556</v>
      </c>
      <c r="G1106" s="3" t="s">
        <v>26</v>
      </c>
      <c r="H1106" s="3" t="s">
        <v>27</v>
      </c>
      <c r="I1106" s="3" t="s">
        <v>15</v>
      </c>
    </row>
    <row r="1107" spans="1:9" s="3" customFormat="1" x14ac:dyDescent="0.3">
      <c r="A1107" s="3" t="s">
        <v>191</v>
      </c>
      <c r="B1107" s="3" t="s">
        <v>192</v>
      </c>
      <c r="C1107" s="3" t="s">
        <v>64</v>
      </c>
      <c r="D1107" s="3" t="s">
        <v>129</v>
      </c>
      <c r="E1107" s="6"/>
      <c r="F1107" s="6"/>
      <c r="G1107" s="3" t="s">
        <v>44</v>
      </c>
      <c r="H1107" s="3" t="s">
        <v>14</v>
      </c>
      <c r="I1107" s="3" t="s">
        <v>15</v>
      </c>
    </row>
    <row r="1108" spans="1:9" s="3" customFormat="1" x14ac:dyDescent="0.3">
      <c r="A1108" s="3" t="s">
        <v>216</v>
      </c>
      <c r="B1108" s="3" t="s">
        <v>217</v>
      </c>
      <c r="C1108" s="3" t="s">
        <v>60</v>
      </c>
      <c r="D1108" s="3" t="s">
        <v>410</v>
      </c>
      <c r="E1108" s="6">
        <v>0.40138888888888891</v>
      </c>
      <c r="F1108" s="6">
        <v>0.73958333333333337</v>
      </c>
      <c r="G1108" s="3" t="s">
        <v>20</v>
      </c>
      <c r="H1108" s="3" t="s">
        <v>27</v>
      </c>
      <c r="I1108" s="3" t="s">
        <v>15</v>
      </c>
    </row>
    <row r="1109" spans="1:9" s="3" customFormat="1" x14ac:dyDescent="0.3">
      <c r="A1109" s="3" t="s">
        <v>154</v>
      </c>
      <c r="B1109" s="3" t="s">
        <v>155</v>
      </c>
      <c r="C1109" s="3" t="s">
        <v>42</v>
      </c>
      <c r="D1109" s="3" t="s">
        <v>356</v>
      </c>
      <c r="E1109" s="6"/>
      <c r="F1109" s="6"/>
      <c r="G1109" s="3" t="s">
        <v>44</v>
      </c>
      <c r="H1109" s="3" t="s">
        <v>14</v>
      </c>
      <c r="I1109" s="3" t="s">
        <v>15</v>
      </c>
    </row>
    <row r="1110" spans="1:9" s="3" customFormat="1" x14ac:dyDescent="0.3">
      <c r="A1110" s="3" t="s">
        <v>269</v>
      </c>
      <c r="B1110" s="3" t="s">
        <v>270</v>
      </c>
      <c r="C1110" s="3" t="s">
        <v>18</v>
      </c>
      <c r="D1110" s="3" t="s">
        <v>276</v>
      </c>
      <c r="E1110" s="6">
        <v>0.47916666666666669</v>
      </c>
      <c r="F1110" s="6">
        <v>0.72430555555555554</v>
      </c>
      <c r="G1110" s="3" t="s">
        <v>13</v>
      </c>
      <c r="H1110" s="3" t="s">
        <v>27</v>
      </c>
      <c r="I1110" s="3" t="s">
        <v>21</v>
      </c>
    </row>
    <row r="1111" spans="1:9" s="3" customFormat="1" x14ac:dyDescent="0.3">
      <c r="A1111" s="3" t="s">
        <v>102</v>
      </c>
      <c r="B1111" s="3" t="s">
        <v>103</v>
      </c>
      <c r="C1111" s="3" t="s">
        <v>143</v>
      </c>
      <c r="D1111" s="3" t="s">
        <v>389</v>
      </c>
      <c r="E1111" s="6">
        <v>0.35138888888888886</v>
      </c>
      <c r="F1111" s="6">
        <v>0.79861111111111116</v>
      </c>
      <c r="G1111" s="3" t="s">
        <v>26</v>
      </c>
      <c r="H1111" s="3" t="s">
        <v>27</v>
      </c>
      <c r="I1111" s="3" t="s">
        <v>15</v>
      </c>
    </row>
    <row r="1112" spans="1:9" s="3" customFormat="1" x14ac:dyDescent="0.3">
      <c r="A1112" s="3" t="s">
        <v>22</v>
      </c>
      <c r="B1112" s="3" t="s">
        <v>23</v>
      </c>
      <c r="C1112" s="3" t="s">
        <v>64</v>
      </c>
      <c r="D1112" s="3" t="s">
        <v>136</v>
      </c>
      <c r="E1112" s="6">
        <v>0.43125000000000002</v>
      </c>
      <c r="F1112" s="6">
        <v>0.70972222222222225</v>
      </c>
      <c r="G1112" s="3" t="s">
        <v>13</v>
      </c>
      <c r="H1112" s="3" t="s">
        <v>14</v>
      </c>
      <c r="I1112" s="3" t="s">
        <v>15</v>
      </c>
    </row>
    <row r="1113" spans="1:9" s="3" customFormat="1" x14ac:dyDescent="0.3">
      <c r="A1113" s="3" t="s">
        <v>90</v>
      </c>
      <c r="B1113" s="3" t="s">
        <v>91</v>
      </c>
      <c r="C1113" s="3" t="s">
        <v>60</v>
      </c>
      <c r="D1113" s="3" t="s">
        <v>222</v>
      </c>
      <c r="E1113" s="6">
        <v>0.3611111111111111</v>
      </c>
      <c r="F1113" s="6">
        <v>0.75694444444444442</v>
      </c>
      <c r="G1113" s="3" t="s">
        <v>26</v>
      </c>
      <c r="H1113" s="3" t="s">
        <v>14</v>
      </c>
      <c r="I1113" s="3" t="s">
        <v>15</v>
      </c>
    </row>
    <row r="1114" spans="1:9" s="3" customFormat="1" x14ac:dyDescent="0.3">
      <c r="A1114" s="3" t="s">
        <v>75</v>
      </c>
      <c r="B1114" s="3" t="s">
        <v>76</v>
      </c>
      <c r="C1114" s="3" t="s">
        <v>60</v>
      </c>
      <c r="D1114" s="3" t="s">
        <v>416</v>
      </c>
      <c r="E1114" s="6"/>
      <c r="F1114" s="6"/>
      <c r="G1114" s="3" t="s">
        <v>44</v>
      </c>
      <c r="H1114" s="3" t="s">
        <v>27</v>
      </c>
      <c r="I1114" s="3" t="s">
        <v>21</v>
      </c>
    </row>
    <row r="1115" spans="1:9" s="3" customFormat="1" x14ac:dyDescent="0.3">
      <c r="A1115" s="3" t="s">
        <v>204</v>
      </c>
      <c r="B1115" s="3" t="s">
        <v>205</v>
      </c>
      <c r="C1115" s="3" t="s">
        <v>24</v>
      </c>
      <c r="D1115" s="3" t="s">
        <v>124</v>
      </c>
      <c r="E1115" s="6">
        <v>0.35069444444444442</v>
      </c>
      <c r="F1115" s="6">
        <v>0.82152777777777775</v>
      </c>
      <c r="G1115" s="3" t="s">
        <v>20</v>
      </c>
      <c r="H1115" s="3" t="s">
        <v>27</v>
      </c>
      <c r="I1115" s="3" t="s">
        <v>21</v>
      </c>
    </row>
    <row r="1116" spans="1:9" s="3" customFormat="1" x14ac:dyDescent="0.3">
      <c r="A1116" s="3" t="s">
        <v>96</v>
      </c>
      <c r="B1116" s="3" t="s">
        <v>97</v>
      </c>
      <c r="C1116" s="3" t="s">
        <v>18</v>
      </c>
      <c r="D1116" s="3" t="s">
        <v>189</v>
      </c>
      <c r="E1116" s="6">
        <v>0.34652777777777777</v>
      </c>
      <c r="F1116" s="6">
        <v>0.69791666666666663</v>
      </c>
      <c r="G1116" s="3" t="s">
        <v>20</v>
      </c>
      <c r="H1116" s="3" t="s">
        <v>14</v>
      </c>
      <c r="I1116" s="3" t="s">
        <v>15</v>
      </c>
    </row>
    <row r="1117" spans="1:9" s="3" customFormat="1" x14ac:dyDescent="0.3">
      <c r="A1117" s="3" t="s">
        <v>146</v>
      </c>
      <c r="B1117" s="3" t="s">
        <v>147</v>
      </c>
      <c r="C1117" s="3" t="s">
        <v>18</v>
      </c>
      <c r="D1117" s="3" t="s">
        <v>314</v>
      </c>
      <c r="E1117" s="6"/>
      <c r="F1117" s="6"/>
      <c r="G1117" s="3" t="s">
        <v>44</v>
      </c>
      <c r="H1117" s="3" t="s">
        <v>27</v>
      </c>
      <c r="I1117" s="3" t="s">
        <v>21</v>
      </c>
    </row>
    <row r="1118" spans="1:9" s="3" customFormat="1" x14ac:dyDescent="0.3">
      <c r="A1118" s="3" t="s">
        <v>45</v>
      </c>
      <c r="B1118" s="3" t="s">
        <v>46</v>
      </c>
      <c r="C1118" s="3" t="s">
        <v>18</v>
      </c>
      <c r="D1118" s="3" t="s">
        <v>243</v>
      </c>
      <c r="E1118" s="6">
        <v>0.39166666666666666</v>
      </c>
      <c r="F1118" s="6">
        <v>0.68888888888888888</v>
      </c>
      <c r="G1118" s="3" t="s">
        <v>26</v>
      </c>
      <c r="H1118" s="3" t="s">
        <v>14</v>
      </c>
      <c r="I1118" s="3" t="s">
        <v>15</v>
      </c>
    </row>
    <row r="1119" spans="1:9" s="3" customFormat="1" x14ac:dyDescent="0.3">
      <c r="A1119" s="3" t="s">
        <v>171</v>
      </c>
      <c r="B1119" s="3" t="s">
        <v>172</v>
      </c>
      <c r="C1119" s="3" t="s">
        <v>60</v>
      </c>
      <c r="D1119" s="3" t="s">
        <v>387</v>
      </c>
      <c r="E1119" s="6">
        <v>0.44166666666666665</v>
      </c>
      <c r="F1119" s="6">
        <v>0.7</v>
      </c>
      <c r="G1119" s="3" t="s">
        <v>26</v>
      </c>
      <c r="H1119" s="3" t="s">
        <v>14</v>
      </c>
      <c r="I1119" s="3" t="s">
        <v>15</v>
      </c>
    </row>
    <row r="1120" spans="1:9" s="3" customFormat="1" x14ac:dyDescent="0.3">
      <c r="A1120" s="3" t="s">
        <v>291</v>
      </c>
      <c r="B1120" s="3" t="s">
        <v>292</v>
      </c>
      <c r="C1120" s="3" t="s">
        <v>24</v>
      </c>
      <c r="D1120" s="3" t="s">
        <v>111</v>
      </c>
      <c r="E1120" s="6"/>
      <c r="F1120" s="6"/>
      <c r="G1120" s="3" t="s">
        <v>44</v>
      </c>
      <c r="H1120" s="3" t="s">
        <v>14</v>
      </c>
      <c r="I1120" s="3" t="s">
        <v>15</v>
      </c>
    </row>
    <row r="1121" spans="1:9" s="3" customFormat="1" x14ac:dyDescent="0.3">
      <c r="A1121" s="3" t="s">
        <v>315</v>
      </c>
      <c r="B1121" s="3" t="s">
        <v>316</v>
      </c>
      <c r="C1121" s="3" t="s">
        <v>24</v>
      </c>
      <c r="D1121" s="3" t="s">
        <v>415</v>
      </c>
      <c r="E1121" s="6">
        <v>0.41736111111111113</v>
      </c>
      <c r="F1121" s="6">
        <v>0.77361111111111114</v>
      </c>
      <c r="G1121" s="3" t="s">
        <v>13</v>
      </c>
      <c r="H1121" s="3" t="s">
        <v>14</v>
      </c>
      <c r="I1121" s="3" t="s">
        <v>15</v>
      </c>
    </row>
    <row r="1122" spans="1:9" s="3" customFormat="1" x14ac:dyDescent="0.3">
      <c r="A1122" s="3" t="s">
        <v>40</v>
      </c>
      <c r="B1122" s="3" t="s">
        <v>41</v>
      </c>
      <c r="C1122" s="3" t="s">
        <v>42</v>
      </c>
      <c r="D1122" s="3" t="s">
        <v>39</v>
      </c>
      <c r="E1122" s="6">
        <v>0.45694444444444443</v>
      </c>
      <c r="F1122" s="6">
        <v>0.79027777777777775</v>
      </c>
      <c r="G1122" s="3" t="s">
        <v>149</v>
      </c>
      <c r="H1122" s="3" t="s">
        <v>14</v>
      </c>
      <c r="I1122" s="3" t="s">
        <v>21</v>
      </c>
    </row>
    <row r="1123" spans="1:9" s="3" customFormat="1" x14ac:dyDescent="0.3">
      <c r="A1123" s="3" t="s">
        <v>93</v>
      </c>
      <c r="B1123" s="3" t="s">
        <v>94</v>
      </c>
      <c r="C1123" s="3" t="s">
        <v>60</v>
      </c>
      <c r="D1123" s="3" t="s">
        <v>206</v>
      </c>
      <c r="E1123" s="6">
        <v>0.37777777777777777</v>
      </c>
      <c r="F1123" s="6">
        <v>0.6958333333333333</v>
      </c>
      <c r="G1123" s="3" t="s">
        <v>20</v>
      </c>
      <c r="H1123" s="3" t="s">
        <v>27</v>
      </c>
      <c r="I1123" s="3" t="s">
        <v>15</v>
      </c>
    </row>
    <row r="1124" spans="1:9" s="3" customFormat="1" x14ac:dyDescent="0.3">
      <c r="A1124" s="3" t="s">
        <v>130</v>
      </c>
      <c r="B1124" s="3" t="s">
        <v>131</v>
      </c>
      <c r="C1124" s="3" t="s">
        <v>42</v>
      </c>
      <c r="D1124" s="3" t="s">
        <v>43</v>
      </c>
      <c r="E1124" s="6">
        <v>0.33819444444444446</v>
      </c>
      <c r="F1124" s="6">
        <v>0.85555555555555551</v>
      </c>
      <c r="G1124" s="3" t="s">
        <v>20</v>
      </c>
      <c r="H1124" s="3" t="s">
        <v>27</v>
      </c>
      <c r="I1124" s="3" t="s">
        <v>21</v>
      </c>
    </row>
    <row r="1125" spans="1:9" s="3" customFormat="1" x14ac:dyDescent="0.3">
      <c r="A1125" s="3" t="s">
        <v>9</v>
      </c>
      <c r="B1125" s="3" t="s">
        <v>10</v>
      </c>
      <c r="C1125" s="3" t="s">
        <v>167</v>
      </c>
      <c r="D1125" s="3" t="s">
        <v>309</v>
      </c>
      <c r="E1125" s="6"/>
      <c r="F1125" s="6"/>
      <c r="G1125" s="3" t="s">
        <v>44</v>
      </c>
      <c r="H1125" s="3" t="s">
        <v>14</v>
      </c>
      <c r="I1125" s="3" t="s">
        <v>15</v>
      </c>
    </row>
    <row r="1126" spans="1:9" s="3" customFormat="1" x14ac:dyDescent="0.3">
      <c r="A1126" s="3" t="s">
        <v>52</v>
      </c>
      <c r="B1126" s="3" t="s">
        <v>53</v>
      </c>
      <c r="C1126" s="3" t="s">
        <v>127</v>
      </c>
      <c r="D1126" s="3" t="s">
        <v>244</v>
      </c>
      <c r="E1126" s="6">
        <v>0.43611111111111112</v>
      </c>
      <c r="F1126" s="6">
        <v>0.85138888888888886</v>
      </c>
      <c r="G1126" s="3" t="s">
        <v>26</v>
      </c>
      <c r="H1126" s="3" t="s">
        <v>27</v>
      </c>
      <c r="I1126" s="3" t="s">
        <v>21</v>
      </c>
    </row>
    <row r="1127" spans="1:9" s="3" customFormat="1" x14ac:dyDescent="0.3">
      <c r="A1127" s="3" t="s">
        <v>187</v>
      </c>
      <c r="B1127" s="3" t="s">
        <v>188</v>
      </c>
      <c r="C1127" s="3" t="s">
        <v>60</v>
      </c>
      <c r="D1127" s="3" t="s">
        <v>230</v>
      </c>
      <c r="E1127" s="6">
        <v>0.33888888888888891</v>
      </c>
      <c r="F1127" s="6">
        <v>0.75138888888888888</v>
      </c>
      <c r="G1127" s="3" t="s">
        <v>13</v>
      </c>
      <c r="H1127" s="3" t="s">
        <v>27</v>
      </c>
      <c r="I1127" s="3" t="s">
        <v>21</v>
      </c>
    </row>
    <row r="1128" spans="1:9" s="3" customFormat="1" x14ac:dyDescent="0.3">
      <c r="A1128" s="3" t="s">
        <v>84</v>
      </c>
      <c r="B1128" s="3" t="s">
        <v>85</v>
      </c>
      <c r="C1128" s="3" t="s">
        <v>64</v>
      </c>
      <c r="D1128" s="3" t="s">
        <v>281</v>
      </c>
      <c r="E1128" s="6">
        <v>0.34722222222222221</v>
      </c>
      <c r="F1128" s="6">
        <v>0.71666666666666667</v>
      </c>
      <c r="G1128" s="3" t="s">
        <v>20</v>
      </c>
      <c r="H1128" s="3" t="s">
        <v>14</v>
      </c>
      <c r="I1128" s="3" t="s">
        <v>15</v>
      </c>
    </row>
    <row r="1129" spans="1:9" s="3" customFormat="1" x14ac:dyDescent="0.3">
      <c r="A1129" s="3" t="s">
        <v>75</v>
      </c>
      <c r="B1129" s="3" t="s">
        <v>76</v>
      </c>
      <c r="C1129" s="3" t="s">
        <v>24</v>
      </c>
      <c r="D1129" s="3" t="s">
        <v>381</v>
      </c>
      <c r="E1129" s="6">
        <v>0.40138888888888891</v>
      </c>
      <c r="F1129" s="6">
        <v>0.74375000000000002</v>
      </c>
      <c r="G1129" s="3" t="s">
        <v>13</v>
      </c>
      <c r="H1129" s="3" t="s">
        <v>14</v>
      </c>
      <c r="I1129" s="3" t="s">
        <v>15</v>
      </c>
    </row>
    <row r="1130" spans="1:9" s="3" customFormat="1" x14ac:dyDescent="0.3">
      <c r="A1130" s="3" t="s">
        <v>216</v>
      </c>
      <c r="B1130" s="3" t="s">
        <v>217</v>
      </c>
      <c r="C1130" s="3" t="s">
        <v>24</v>
      </c>
      <c r="D1130" s="3" t="s">
        <v>215</v>
      </c>
      <c r="E1130" s="6">
        <v>0.46597222222222223</v>
      </c>
      <c r="F1130" s="6">
        <v>0.82638888888888884</v>
      </c>
      <c r="G1130" s="3" t="s">
        <v>20</v>
      </c>
      <c r="H1130" s="3" t="s">
        <v>14</v>
      </c>
      <c r="I1130" s="3" t="s">
        <v>21</v>
      </c>
    </row>
    <row r="1131" spans="1:9" s="3" customFormat="1" x14ac:dyDescent="0.3">
      <c r="A1131" s="3" t="s">
        <v>213</v>
      </c>
      <c r="B1131" s="3" t="s">
        <v>214</v>
      </c>
      <c r="C1131" s="3" t="s">
        <v>60</v>
      </c>
      <c r="D1131" s="3" t="s">
        <v>345</v>
      </c>
      <c r="E1131" s="6">
        <v>0.38819444444444445</v>
      </c>
      <c r="F1131" s="6">
        <v>0.74097222222222225</v>
      </c>
      <c r="G1131" s="3" t="s">
        <v>26</v>
      </c>
      <c r="H1131" s="3" t="s">
        <v>27</v>
      </c>
      <c r="I1131" s="3" t="s">
        <v>21</v>
      </c>
    </row>
    <row r="1132" spans="1:9" s="3" customFormat="1" x14ac:dyDescent="0.3">
      <c r="A1132" s="3" t="s">
        <v>31</v>
      </c>
      <c r="B1132" s="3" t="s">
        <v>32</v>
      </c>
      <c r="C1132" s="3" t="s">
        <v>24</v>
      </c>
      <c r="D1132" s="3" t="s">
        <v>285</v>
      </c>
      <c r="E1132" s="6">
        <v>0.34097222222222223</v>
      </c>
      <c r="F1132" s="6">
        <v>0.8520833333333333</v>
      </c>
      <c r="G1132" s="3" t="s">
        <v>26</v>
      </c>
      <c r="H1132" s="3" t="s">
        <v>14</v>
      </c>
      <c r="I1132" s="3" t="s">
        <v>21</v>
      </c>
    </row>
    <row r="1133" spans="1:9" s="3" customFormat="1" x14ac:dyDescent="0.3">
      <c r="A1133" s="3" t="s">
        <v>109</v>
      </c>
      <c r="B1133" s="3" t="s">
        <v>110</v>
      </c>
      <c r="C1133" s="3" t="s">
        <v>42</v>
      </c>
      <c r="D1133" s="3" t="s">
        <v>199</v>
      </c>
      <c r="E1133" s="6">
        <v>0.43263888888888891</v>
      </c>
      <c r="F1133" s="6">
        <v>0.87152777777777779</v>
      </c>
      <c r="G1133" s="3" t="s">
        <v>13</v>
      </c>
      <c r="H1133" s="3" t="s">
        <v>14</v>
      </c>
      <c r="I1133" s="3" t="s">
        <v>15</v>
      </c>
    </row>
    <row r="1134" spans="1:9" s="3" customFormat="1" x14ac:dyDescent="0.3">
      <c r="A1134" s="3" t="s">
        <v>115</v>
      </c>
      <c r="B1134" s="3" t="s">
        <v>116</v>
      </c>
      <c r="C1134" s="3" t="s">
        <v>64</v>
      </c>
      <c r="D1134" s="3" t="s">
        <v>161</v>
      </c>
      <c r="E1134" s="6">
        <v>0.4909722222222222</v>
      </c>
      <c r="F1134" s="6">
        <v>0.82777777777777772</v>
      </c>
      <c r="G1134" s="3" t="s">
        <v>13</v>
      </c>
      <c r="H1134" s="3" t="s">
        <v>27</v>
      </c>
      <c r="I1134" s="3" t="s">
        <v>15</v>
      </c>
    </row>
    <row r="1135" spans="1:9" s="3" customFormat="1" x14ac:dyDescent="0.3">
      <c r="A1135" s="3" t="s">
        <v>9</v>
      </c>
      <c r="B1135" s="3" t="s">
        <v>10</v>
      </c>
      <c r="C1135" s="3" t="s">
        <v>18</v>
      </c>
      <c r="D1135" s="3" t="s">
        <v>281</v>
      </c>
      <c r="E1135" s="6">
        <v>0.41319444444444442</v>
      </c>
      <c r="F1135" s="6">
        <v>0.8305555555555556</v>
      </c>
      <c r="G1135" s="3" t="s">
        <v>13</v>
      </c>
      <c r="H1135" s="3" t="s">
        <v>27</v>
      </c>
      <c r="I1135" s="3" t="s">
        <v>15</v>
      </c>
    </row>
    <row r="1136" spans="1:9" s="3" customFormat="1" x14ac:dyDescent="0.3">
      <c r="A1136" s="3" t="s">
        <v>93</v>
      </c>
      <c r="B1136" s="3" t="s">
        <v>94</v>
      </c>
      <c r="C1136" s="3" t="s">
        <v>11</v>
      </c>
      <c r="D1136" s="3" t="s">
        <v>348</v>
      </c>
      <c r="E1136" s="6">
        <v>0.49583333333333335</v>
      </c>
      <c r="F1136" s="6">
        <v>0.74513888888888891</v>
      </c>
      <c r="G1136" s="3" t="s">
        <v>20</v>
      </c>
      <c r="H1136" s="3" t="s">
        <v>14</v>
      </c>
      <c r="I1136" s="3" t="s">
        <v>21</v>
      </c>
    </row>
    <row r="1137" spans="1:9" s="3" customFormat="1" x14ac:dyDescent="0.3">
      <c r="A1137" s="3" t="s">
        <v>58</v>
      </c>
      <c r="B1137" s="3" t="s">
        <v>59</v>
      </c>
      <c r="C1137" s="3" t="s">
        <v>18</v>
      </c>
      <c r="D1137" s="3" t="s">
        <v>400</v>
      </c>
      <c r="E1137" s="6">
        <v>0.4513888888888889</v>
      </c>
      <c r="F1137" s="6">
        <v>0.68888888888888888</v>
      </c>
      <c r="G1137" s="3" t="s">
        <v>20</v>
      </c>
      <c r="H1137" s="3" t="s">
        <v>14</v>
      </c>
      <c r="I1137" s="3" t="s">
        <v>21</v>
      </c>
    </row>
    <row r="1138" spans="1:9" s="3" customFormat="1" x14ac:dyDescent="0.3">
      <c r="A1138" s="3" t="s">
        <v>45</v>
      </c>
      <c r="B1138" s="3" t="s">
        <v>46</v>
      </c>
      <c r="C1138" s="3" t="s">
        <v>60</v>
      </c>
      <c r="D1138" s="3" t="s">
        <v>320</v>
      </c>
      <c r="E1138" s="6">
        <v>0.39791666666666664</v>
      </c>
      <c r="F1138" s="6">
        <v>0.71875</v>
      </c>
      <c r="G1138" s="3" t="s">
        <v>26</v>
      </c>
      <c r="H1138" s="3" t="s">
        <v>14</v>
      </c>
      <c r="I1138" s="3" t="s">
        <v>15</v>
      </c>
    </row>
    <row r="1139" spans="1:9" s="3" customFormat="1" x14ac:dyDescent="0.3">
      <c r="A1139" s="3" t="s">
        <v>194</v>
      </c>
      <c r="B1139" s="3" t="s">
        <v>195</v>
      </c>
      <c r="C1139" s="3" t="s">
        <v>18</v>
      </c>
      <c r="D1139" s="3" t="s">
        <v>319</v>
      </c>
      <c r="E1139" s="6">
        <v>0.35902777777777778</v>
      </c>
      <c r="F1139" s="6">
        <v>0.70625000000000004</v>
      </c>
      <c r="G1139" s="3" t="s">
        <v>26</v>
      </c>
      <c r="H1139" s="3" t="s">
        <v>14</v>
      </c>
      <c r="I1139" s="3" t="s">
        <v>15</v>
      </c>
    </row>
    <row r="1140" spans="1:9" s="3" customFormat="1" x14ac:dyDescent="0.3">
      <c r="A1140" s="3" t="s">
        <v>84</v>
      </c>
      <c r="B1140" s="3" t="s">
        <v>85</v>
      </c>
      <c r="C1140" s="3" t="s">
        <v>18</v>
      </c>
      <c r="D1140" s="3" t="s">
        <v>65</v>
      </c>
      <c r="E1140" s="6">
        <v>0.39444444444444443</v>
      </c>
      <c r="F1140" s="6">
        <v>0.83611111111111114</v>
      </c>
      <c r="G1140" s="3" t="s">
        <v>13</v>
      </c>
      <c r="H1140" s="3" t="s">
        <v>14</v>
      </c>
      <c r="I1140" s="3" t="s">
        <v>21</v>
      </c>
    </row>
    <row r="1141" spans="1:9" s="3" customFormat="1" x14ac:dyDescent="0.3">
      <c r="A1141" s="3" t="s">
        <v>78</v>
      </c>
      <c r="B1141" s="3" t="s">
        <v>79</v>
      </c>
      <c r="C1141" s="3" t="s">
        <v>24</v>
      </c>
      <c r="D1141" s="3" t="s">
        <v>33</v>
      </c>
      <c r="E1141" s="6"/>
      <c r="F1141" s="6"/>
      <c r="G1141" s="3" t="s">
        <v>44</v>
      </c>
      <c r="H1141" s="3" t="s">
        <v>14</v>
      </c>
      <c r="I1141" s="3" t="s">
        <v>15</v>
      </c>
    </row>
    <row r="1142" spans="1:9" s="3" customFormat="1" x14ac:dyDescent="0.3">
      <c r="A1142" s="3" t="s">
        <v>138</v>
      </c>
      <c r="B1142" s="3" t="s">
        <v>139</v>
      </c>
      <c r="C1142" s="3" t="s">
        <v>64</v>
      </c>
      <c r="D1142" s="3" t="s">
        <v>156</v>
      </c>
      <c r="E1142" s="6">
        <v>0.34791666666666665</v>
      </c>
      <c r="F1142" s="6">
        <v>0.75624999999999998</v>
      </c>
      <c r="G1142" s="3" t="s">
        <v>13</v>
      </c>
      <c r="H1142" s="3" t="s">
        <v>27</v>
      </c>
      <c r="I1142" s="3" t="s">
        <v>21</v>
      </c>
    </row>
    <row r="1143" spans="1:9" s="3" customFormat="1" x14ac:dyDescent="0.3">
      <c r="A1143" s="3" t="s">
        <v>216</v>
      </c>
      <c r="B1143" s="3" t="s">
        <v>217</v>
      </c>
      <c r="C1143" s="3" t="s">
        <v>24</v>
      </c>
      <c r="D1143" s="3" t="s">
        <v>385</v>
      </c>
      <c r="E1143" s="6">
        <v>0.38958333333333334</v>
      </c>
      <c r="F1143" s="6">
        <v>0.86250000000000004</v>
      </c>
      <c r="G1143" s="3" t="s">
        <v>13</v>
      </c>
      <c r="H1143" s="3" t="s">
        <v>14</v>
      </c>
      <c r="I1143" s="3" t="s">
        <v>15</v>
      </c>
    </row>
    <row r="1144" spans="1:9" s="3" customFormat="1" x14ac:dyDescent="0.3">
      <c r="A1144" s="3" t="s">
        <v>55</v>
      </c>
      <c r="B1144" s="3" t="s">
        <v>56</v>
      </c>
      <c r="C1144" s="3" t="s">
        <v>18</v>
      </c>
      <c r="D1144" s="3" t="s">
        <v>318</v>
      </c>
      <c r="E1144" s="6">
        <v>0.43472222222222223</v>
      </c>
      <c r="F1144" s="6">
        <v>0.87152777777777779</v>
      </c>
      <c r="G1144" s="3" t="s">
        <v>13</v>
      </c>
      <c r="H1144" s="3" t="s">
        <v>27</v>
      </c>
      <c r="I1144" s="3" t="s">
        <v>21</v>
      </c>
    </row>
    <row r="1145" spans="1:9" s="3" customFormat="1" x14ac:dyDescent="0.3">
      <c r="A1145" s="3" t="s">
        <v>112</v>
      </c>
      <c r="B1145" s="3" t="s">
        <v>113</v>
      </c>
      <c r="C1145" s="3" t="s">
        <v>18</v>
      </c>
      <c r="D1145" s="3" t="s">
        <v>98</v>
      </c>
      <c r="E1145" s="6">
        <v>0.49027777777777776</v>
      </c>
      <c r="F1145" s="6">
        <v>0.69930555555555551</v>
      </c>
      <c r="G1145" s="3" t="s">
        <v>13</v>
      </c>
      <c r="H1145" s="3" t="s">
        <v>14</v>
      </c>
      <c r="I1145" s="3" t="s">
        <v>15</v>
      </c>
    </row>
    <row r="1146" spans="1:9" s="3" customFormat="1" x14ac:dyDescent="0.3">
      <c r="A1146" s="3" t="s">
        <v>141</v>
      </c>
      <c r="B1146" s="3" t="s">
        <v>142</v>
      </c>
      <c r="C1146" s="3" t="s">
        <v>60</v>
      </c>
      <c r="D1146" s="3" t="s">
        <v>397</v>
      </c>
      <c r="E1146" s="6">
        <v>0.36319444444444443</v>
      </c>
      <c r="F1146" s="6">
        <v>0.77708333333333335</v>
      </c>
      <c r="G1146" s="3" t="s">
        <v>26</v>
      </c>
      <c r="H1146" s="3" t="s">
        <v>27</v>
      </c>
      <c r="I1146" s="3" t="s">
        <v>21</v>
      </c>
    </row>
    <row r="1147" spans="1:9" s="3" customFormat="1" x14ac:dyDescent="0.3">
      <c r="A1147" s="3" t="s">
        <v>165</v>
      </c>
      <c r="B1147" s="3" t="s">
        <v>166</v>
      </c>
      <c r="C1147" s="3" t="s">
        <v>64</v>
      </c>
      <c r="D1147" s="3" t="s">
        <v>268</v>
      </c>
      <c r="E1147" s="6">
        <v>0.39166666666666666</v>
      </c>
      <c r="F1147" s="6">
        <v>0.71875</v>
      </c>
      <c r="G1147" s="3" t="s">
        <v>20</v>
      </c>
      <c r="H1147" s="3" t="s">
        <v>27</v>
      </c>
      <c r="I1147" s="3" t="s">
        <v>15</v>
      </c>
    </row>
    <row r="1148" spans="1:9" s="3" customFormat="1" x14ac:dyDescent="0.3">
      <c r="A1148" s="3" t="s">
        <v>112</v>
      </c>
      <c r="B1148" s="3" t="s">
        <v>113</v>
      </c>
      <c r="C1148" s="3" t="s">
        <v>18</v>
      </c>
      <c r="D1148" s="3" t="s">
        <v>168</v>
      </c>
      <c r="E1148" s="6"/>
      <c r="F1148" s="6"/>
      <c r="G1148" s="3" t="s">
        <v>44</v>
      </c>
      <c r="H1148" s="3" t="s">
        <v>27</v>
      </c>
      <c r="I1148" s="3" t="s">
        <v>15</v>
      </c>
    </row>
    <row r="1149" spans="1:9" s="3" customFormat="1" x14ac:dyDescent="0.3">
      <c r="A1149" s="3" t="s">
        <v>197</v>
      </c>
      <c r="B1149" s="3" t="s">
        <v>198</v>
      </c>
      <c r="C1149" s="3" t="s">
        <v>18</v>
      </c>
      <c r="D1149" s="3" t="s">
        <v>318</v>
      </c>
      <c r="E1149" s="6">
        <v>0.3972222222222222</v>
      </c>
      <c r="F1149" s="6">
        <v>0.73333333333333328</v>
      </c>
      <c r="G1149" s="3" t="s">
        <v>26</v>
      </c>
      <c r="H1149" s="3" t="s">
        <v>14</v>
      </c>
      <c r="I1149" s="3" t="s">
        <v>21</v>
      </c>
    </row>
    <row r="1150" spans="1:9" s="3" customFormat="1" x14ac:dyDescent="0.3">
      <c r="A1150" s="3" t="s">
        <v>84</v>
      </c>
      <c r="B1150" s="3" t="s">
        <v>85</v>
      </c>
      <c r="C1150" s="3" t="s">
        <v>64</v>
      </c>
      <c r="D1150" s="3" t="s">
        <v>293</v>
      </c>
      <c r="E1150" s="6">
        <v>0.35625000000000001</v>
      </c>
      <c r="F1150" s="6">
        <v>0.70347222222222228</v>
      </c>
      <c r="G1150" s="3" t="s">
        <v>26</v>
      </c>
      <c r="H1150" s="3" t="s">
        <v>14</v>
      </c>
      <c r="I1150" s="3" t="s">
        <v>15</v>
      </c>
    </row>
    <row r="1151" spans="1:9" s="3" customFormat="1" x14ac:dyDescent="0.3">
      <c r="A1151" s="3" t="s">
        <v>90</v>
      </c>
      <c r="B1151" s="3" t="s">
        <v>91</v>
      </c>
      <c r="C1151" s="3" t="s">
        <v>60</v>
      </c>
      <c r="D1151" s="3" t="s">
        <v>365</v>
      </c>
      <c r="E1151" s="6">
        <v>0.36458333333333331</v>
      </c>
      <c r="F1151" s="6">
        <v>0.8618055555555556</v>
      </c>
      <c r="G1151" s="3" t="s">
        <v>13</v>
      </c>
      <c r="H1151" s="3" t="s">
        <v>27</v>
      </c>
      <c r="I1151" s="3" t="s">
        <v>21</v>
      </c>
    </row>
    <row r="1152" spans="1:9" s="3" customFormat="1" x14ac:dyDescent="0.3">
      <c r="A1152" s="3" t="s">
        <v>48</v>
      </c>
      <c r="B1152" s="3" t="s">
        <v>49</v>
      </c>
      <c r="C1152" s="3" t="s">
        <v>24</v>
      </c>
      <c r="D1152" s="3" t="s">
        <v>288</v>
      </c>
      <c r="E1152" s="6">
        <v>0.41458333333333336</v>
      </c>
      <c r="F1152" s="6">
        <v>0.79652777777777772</v>
      </c>
      <c r="G1152" s="3" t="s">
        <v>13</v>
      </c>
      <c r="H1152" s="3" t="s">
        <v>27</v>
      </c>
      <c r="I1152" s="3" t="s">
        <v>21</v>
      </c>
    </row>
    <row r="1153" spans="1:9" s="3" customFormat="1" x14ac:dyDescent="0.3">
      <c r="A1153" s="3" t="s">
        <v>58</v>
      </c>
      <c r="B1153" s="3" t="s">
        <v>59</v>
      </c>
      <c r="C1153" s="3" t="s">
        <v>64</v>
      </c>
      <c r="D1153" s="3" t="s">
        <v>65</v>
      </c>
      <c r="E1153" s="6">
        <v>0.4236111111111111</v>
      </c>
      <c r="F1153" s="6">
        <v>0.72569444444444442</v>
      </c>
      <c r="G1153" s="3" t="s">
        <v>149</v>
      </c>
      <c r="H1153" s="3" t="s">
        <v>14</v>
      </c>
      <c r="I1153" s="3" t="s">
        <v>15</v>
      </c>
    </row>
    <row r="1154" spans="1:9" s="3" customFormat="1" x14ac:dyDescent="0.3">
      <c r="A1154" s="3" t="s">
        <v>72</v>
      </c>
      <c r="B1154" s="3" t="s">
        <v>73</v>
      </c>
      <c r="C1154" s="3" t="s">
        <v>24</v>
      </c>
      <c r="D1154" s="3" t="s">
        <v>390</v>
      </c>
      <c r="E1154" s="6">
        <v>0.34930555555555554</v>
      </c>
      <c r="F1154" s="6">
        <v>0.81041666666666667</v>
      </c>
      <c r="G1154" s="3" t="s">
        <v>13</v>
      </c>
      <c r="H1154" s="3" t="s">
        <v>14</v>
      </c>
      <c r="I1154" s="3" t="s">
        <v>15</v>
      </c>
    </row>
    <row r="1155" spans="1:9" s="3" customFormat="1" x14ac:dyDescent="0.3">
      <c r="A1155" s="3" t="s">
        <v>45</v>
      </c>
      <c r="B1155" s="3" t="s">
        <v>46</v>
      </c>
      <c r="C1155" s="3" t="s">
        <v>42</v>
      </c>
      <c r="D1155" s="3" t="s">
        <v>160</v>
      </c>
      <c r="E1155" s="6">
        <v>0.34791666666666665</v>
      </c>
      <c r="F1155" s="6">
        <v>0.85763888888888884</v>
      </c>
      <c r="G1155" s="3" t="s">
        <v>20</v>
      </c>
      <c r="H1155" s="3" t="s">
        <v>27</v>
      </c>
      <c r="I1155" s="3" t="s">
        <v>15</v>
      </c>
    </row>
    <row r="1156" spans="1:9" s="3" customFormat="1" x14ac:dyDescent="0.3">
      <c r="A1156" s="3" t="s">
        <v>269</v>
      </c>
      <c r="B1156" s="3" t="s">
        <v>270</v>
      </c>
      <c r="C1156" s="3" t="s">
        <v>64</v>
      </c>
      <c r="D1156" s="3" t="s">
        <v>177</v>
      </c>
      <c r="E1156" s="6">
        <v>0.33541666666666664</v>
      </c>
      <c r="F1156" s="6">
        <v>0.72083333333333333</v>
      </c>
      <c r="G1156" s="3" t="s">
        <v>13</v>
      </c>
      <c r="H1156" s="3" t="s">
        <v>14</v>
      </c>
      <c r="I1156" s="3" t="s">
        <v>21</v>
      </c>
    </row>
    <row r="1157" spans="1:9" s="3" customFormat="1" x14ac:dyDescent="0.3">
      <c r="A1157" s="3" t="s">
        <v>154</v>
      </c>
      <c r="B1157" s="3" t="s">
        <v>155</v>
      </c>
      <c r="C1157" s="3" t="s">
        <v>60</v>
      </c>
      <c r="D1157" s="3" t="s">
        <v>221</v>
      </c>
      <c r="E1157" s="6">
        <v>0.33888888888888891</v>
      </c>
      <c r="F1157" s="6">
        <v>0.76180555555555551</v>
      </c>
      <c r="G1157" s="3" t="s">
        <v>20</v>
      </c>
      <c r="H1157" s="3" t="s">
        <v>14</v>
      </c>
      <c r="I1157" s="3" t="s">
        <v>21</v>
      </c>
    </row>
    <row r="1158" spans="1:9" s="3" customFormat="1" x14ac:dyDescent="0.3">
      <c r="A1158" s="3" t="s">
        <v>22</v>
      </c>
      <c r="B1158" s="3" t="s">
        <v>23</v>
      </c>
      <c r="C1158" s="3" t="s">
        <v>42</v>
      </c>
      <c r="D1158" s="3" t="s">
        <v>181</v>
      </c>
      <c r="E1158" s="6"/>
      <c r="F1158" s="6"/>
      <c r="G1158" s="3" t="s">
        <v>51</v>
      </c>
      <c r="H1158" s="3" t="s">
        <v>27</v>
      </c>
      <c r="I1158" s="3" t="s">
        <v>15</v>
      </c>
    </row>
    <row r="1159" spans="1:9" s="3" customFormat="1" x14ac:dyDescent="0.3">
      <c r="A1159" s="3" t="s">
        <v>90</v>
      </c>
      <c r="B1159" s="3" t="s">
        <v>91</v>
      </c>
      <c r="C1159" s="3" t="s">
        <v>64</v>
      </c>
      <c r="D1159" s="3" t="s">
        <v>276</v>
      </c>
      <c r="E1159" s="6">
        <v>0.34375</v>
      </c>
      <c r="F1159" s="6">
        <v>0.75208333333333333</v>
      </c>
      <c r="G1159" s="3" t="s">
        <v>13</v>
      </c>
      <c r="H1159" s="3" t="s">
        <v>14</v>
      </c>
      <c r="I1159" s="3" t="s">
        <v>15</v>
      </c>
    </row>
    <row r="1160" spans="1:9" s="3" customFormat="1" x14ac:dyDescent="0.3">
      <c r="A1160" s="3" t="s">
        <v>9</v>
      </c>
      <c r="B1160" s="3" t="s">
        <v>10</v>
      </c>
      <c r="C1160" s="3" t="s">
        <v>64</v>
      </c>
      <c r="D1160" s="3" t="s">
        <v>182</v>
      </c>
      <c r="E1160" s="6">
        <v>0.47013888888888888</v>
      </c>
      <c r="F1160" s="6">
        <v>0.71250000000000002</v>
      </c>
      <c r="G1160" s="3" t="s">
        <v>26</v>
      </c>
      <c r="H1160" s="3" t="s">
        <v>14</v>
      </c>
      <c r="I1160" s="3" t="s">
        <v>15</v>
      </c>
    </row>
    <row r="1161" spans="1:9" s="3" customFormat="1" x14ac:dyDescent="0.3">
      <c r="A1161" s="3" t="s">
        <v>250</v>
      </c>
      <c r="B1161" s="3" t="s">
        <v>251</v>
      </c>
      <c r="C1161" s="3" t="s">
        <v>167</v>
      </c>
      <c r="D1161" s="3" t="s">
        <v>173</v>
      </c>
      <c r="E1161" s="6">
        <v>0.33333333333333331</v>
      </c>
      <c r="F1161" s="6">
        <v>0.73750000000000004</v>
      </c>
      <c r="G1161" s="3" t="s">
        <v>20</v>
      </c>
      <c r="H1161" s="3" t="s">
        <v>14</v>
      </c>
      <c r="I1161" s="3" t="s">
        <v>21</v>
      </c>
    </row>
    <row r="1162" spans="1:9" s="3" customFormat="1" x14ac:dyDescent="0.3">
      <c r="A1162" s="3" t="s">
        <v>191</v>
      </c>
      <c r="B1162" s="3" t="s">
        <v>192</v>
      </c>
      <c r="C1162" s="3" t="s">
        <v>18</v>
      </c>
      <c r="D1162" s="3" t="s">
        <v>264</v>
      </c>
      <c r="E1162" s="6">
        <v>0.38333333333333336</v>
      </c>
      <c r="F1162" s="6">
        <v>0.7319444444444444</v>
      </c>
      <c r="G1162" s="3" t="s">
        <v>26</v>
      </c>
      <c r="H1162" s="3" t="s">
        <v>14</v>
      </c>
      <c r="I1162" s="3" t="s">
        <v>15</v>
      </c>
    </row>
    <row r="1163" spans="1:9" s="3" customFormat="1" x14ac:dyDescent="0.3">
      <c r="A1163" s="3" t="s">
        <v>78</v>
      </c>
      <c r="B1163" s="3" t="s">
        <v>79</v>
      </c>
      <c r="C1163" s="3" t="s">
        <v>24</v>
      </c>
      <c r="D1163" s="3" t="s">
        <v>137</v>
      </c>
      <c r="E1163" s="6">
        <v>0.3527777777777778</v>
      </c>
      <c r="F1163" s="6">
        <v>0.80833333333333335</v>
      </c>
      <c r="G1163" s="3" t="s">
        <v>26</v>
      </c>
      <c r="H1163" s="3" t="s">
        <v>27</v>
      </c>
      <c r="I1163" s="3" t="s">
        <v>15</v>
      </c>
    </row>
    <row r="1164" spans="1:9" s="3" customFormat="1" x14ac:dyDescent="0.3">
      <c r="A1164" s="3" t="s">
        <v>112</v>
      </c>
      <c r="B1164" s="3" t="s">
        <v>113</v>
      </c>
      <c r="C1164" s="3" t="s">
        <v>167</v>
      </c>
      <c r="D1164" s="3" t="s">
        <v>313</v>
      </c>
      <c r="E1164" s="6">
        <v>0.37847222222222221</v>
      </c>
      <c r="F1164" s="6">
        <v>0.82291666666666663</v>
      </c>
      <c r="G1164" s="3" t="s">
        <v>26</v>
      </c>
      <c r="H1164" s="3" t="s">
        <v>27</v>
      </c>
      <c r="I1164" s="3" t="s">
        <v>21</v>
      </c>
    </row>
    <row r="1165" spans="1:9" s="3" customFormat="1" x14ac:dyDescent="0.3">
      <c r="A1165" s="3" t="s">
        <v>93</v>
      </c>
      <c r="B1165" s="3" t="s">
        <v>94</v>
      </c>
      <c r="C1165" s="3" t="s">
        <v>18</v>
      </c>
      <c r="D1165" s="3" t="s">
        <v>132</v>
      </c>
      <c r="E1165" s="6">
        <v>0.42638888888888887</v>
      </c>
      <c r="F1165" s="6">
        <v>0.7895833333333333</v>
      </c>
      <c r="G1165" s="3" t="s">
        <v>26</v>
      </c>
      <c r="H1165" s="3" t="s">
        <v>14</v>
      </c>
      <c r="I1165" s="3" t="s">
        <v>21</v>
      </c>
    </row>
    <row r="1166" spans="1:9" s="3" customFormat="1" x14ac:dyDescent="0.3">
      <c r="A1166" s="3" t="s">
        <v>45</v>
      </c>
      <c r="B1166" s="3" t="s">
        <v>46</v>
      </c>
      <c r="C1166" s="3" t="s">
        <v>24</v>
      </c>
      <c r="D1166" s="3" t="s">
        <v>128</v>
      </c>
      <c r="E1166" s="6"/>
      <c r="F1166" s="6"/>
      <c r="G1166" s="3" t="s">
        <v>125</v>
      </c>
      <c r="H1166" s="3" t="s">
        <v>27</v>
      </c>
      <c r="I1166" s="3" t="s">
        <v>21</v>
      </c>
    </row>
    <row r="1167" spans="1:9" s="3" customFormat="1" x14ac:dyDescent="0.3">
      <c r="A1167" s="3" t="s">
        <v>37</v>
      </c>
      <c r="B1167" s="3" t="s">
        <v>38</v>
      </c>
      <c r="C1167" s="3" t="s">
        <v>42</v>
      </c>
      <c r="D1167" s="3" t="s">
        <v>257</v>
      </c>
      <c r="E1167" s="6">
        <v>0.43958333333333333</v>
      </c>
      <c r="F1167" s="6">
        <v>0.6791666666666667</v>
      </c>
      <c r="G1167" s="3" t="s">
        <v>13</v>
      </c>
      <c r="H1167" s="3" t="s">
        <v>27</v>
      </c>
      <c r="I1167" s="3" t="s">
        <v>21</v>
      </c>
    </row>
    <row r="1168" spans="1:9" s="3" customFormat="1" x14ac:dyDescent="0.3">
      <c r="A1168" s="3" t="s">
        <v>150</v>
      </c>
      <c r="B1168" s="3" t="s">
        <v>151</v>
      </c>
      <c r="C1168" s="3" t="s">
        <v>60</v>
      </c>
      <c r="D1168" s="3" t="s">
        <v>89</v>
      </c>
      <c r="E1168" s="6">
        <v>0.4375</v>
      </c>
      <c r="F1168" s="6">
        <v>0.7680555555555556</v>
      </c>
      <c r="G1168" s="3" t="s">
        <v>13</v>
      </c>
      <c r="H1168" s="3" t="s">
        <v>14</v>
      </c>
      <c r="I1168" s="3" t="s">
        <v>21</v>
      </c>
    </row>
    <row r="1169" spans="1:9" s="3" customFormat="1" x14ac:dyDescent="0.3">
      <c r="A1169" s="3" t="s">
        <v>55</v>
      </c>
      <c r="B1169" s="3" t="s">
        <v>56</v>
      </c>
      <c r="C1169" s="3" t="s">
        <v>18</v>
      </c>
      <c r="D1169" s="3" t="s">
        <v>54</v>
      </c>
      <c r="E1169" s="6">
        <v>0.47638888888888886</v>
      </c>
      <c r="F1169" s="6">
        <v>0.8666666666666667</v>
      </c>
      <c r="G1169" s="3" t="s">
        <v>13</v>
      </c>
      <c r="H1169" s="3" t="s">
        <v>27</v>
      </c>
      <c r="I1169" s="3" t="s">
        <v>15</v>
      </c>
    </row>
    <row r="1170" spans="1:9" s="3" customFormat="1" x14ac:dyDescent="0.3">
      <c r="A1170" s="3" t="s">
        <v>119</v>
      </c>
      <c r="B1170" s="3" t="s">
        <v>120</v>
      </c>
      <c r="C1170" s="3" t="s">
        <v>60</v>
      </c>
      <c r="D1170" s="3" t="s">
        <v>30</v>
      </c>
      <c r="E1170" s="6">
        <v>0.37986111111111109</v>
      </c>
      <c r="F1170" s="6">
        <v>0.72013888888888888</v>
      </c>
      <c r="G1170" s="3" t="s">
        <v>13</v>
      </c>
      <c r="H1170" s="3" t="s">
        <v>27</v>
      </c>
      <c r="I1170" s="3" t="s">
        <v>21</v>
      </c>
    </row>
    <row r="1171" spans="1:9" s="3" customFormat="1" x14ac:dyDescent="0.3">
      <c r="A1171" s="3" t="s">
        <v>16</v>
      </c>
      <c r="B1171" s="3" t="s">
        <v>17</v>
      </c>
      <c r="C1171" s="3" t="s">
        <v>42</v>
      </c>
      <c r="D1171" s="3" t="s">
        <v>263</v>
      </c>
      <c r="E1171" s="6">
        <v>0.35902777777777778</v>
      </c>
      <c r="F1171" s="6">
        <v>0.81319444444444444</v>
      </c>
      <c r="G1171" s="3" t="s">
        <v>26</v>
      </c>
      <c r="H1171" s="3" t="s">
        <v>27</v>
      </c>
      <c r="I1171" s="3" t="s">
        <v>15</v>
      </c>
    </row>
    <row r="1172" spans="1:9" s="3" customFormat="1" x14ac:dyDescent="0.3">
      <c r="A1172" s="3" t="s">
        <v>200</v>
      </c>
      <c r="B1172" s="3" t="s">
        <v>201</v>
      </c>
      <c r="C1172" s="3" t="s">
        <v>18</v>
      </c>
      <c r="D1172" s="3" t="s">
        <v>278</v>
      </c>
      <c r="E1172" s="6">
        <v>0.42708333333333331</v>
      </c>
      <c r="F1172" s="6">
        <v>0.83680555555555558</v>
      </c>
      <c r="G1172" s="3" t="s">
        <v>26</v>
      </c>
      <c r="H1172" s="3" t="s">
        <v>27</v>
      </c>
      <c r="I1172" s="3" t="s">
        <v>15</v>
      </c>
    </row>
    <row r="1173" spans="1:9" s="3" customFormat="1" x14ac:dyDescent="0.3">
      <c r="A1173" s="3" t="s">
        <v>84</v>
      </c>
      <c r="B1173" s="3" t="s">
        <v>85</v>
      </c>
      <c r="C1173" s="3" t="s">
        <v>127</v>
      </c>
      <c r="D1173" s="3" t="s">
        <v>220</v>
      </c>
      <c r="E1173" s="6">
        <v>0.48333333333333334</v>
      </c>
      <c r="F1173" s="6">
        <v>0.81180555555555556</v>
      </c>
      <c r="G1173" s="3" t="s">
        <v>20</v>
      </c>
      <c r="H1173" s="3" t="s">
        <v>27</v>
      </c>
      <c r="I1173" s="3" t="s">
        <v>15</v>
      </c>
    </row>
    <row r="1174" spans="1:9" s="3" customFormat="1" x14ac:dyDescent="0.3">
      <c r="A1174" s="3" t="s">
        <v>141</v>
      </c>
      <c r="B1174" s="3" t="s">
        <v>142</v>
      </c>
      <c r="C1174" s="3" t="s">
        <v>143</v>
      </c>
      <c r="D1174" s="3" t="s">
        <v>227</v>
      </c>
      <c r="E1174" s="6">
        <v>0.3527777777777778</v>
      </c>
      <c r="F1174" s="6">
        <v>0.87291666666666667</v>
      </c>
      <c r="G1174" s="3" t="s">
        <v>20</v>
      </c>
      <c r="H1174" s="3" t="s">
        <v>14</v>
      </c>
      <c r="I1174" s="3" t="s">
        <v>21</v>
      </c>
    </row>
    <row r="1175" spans="1:9" s="3" customFormat="1" x14ac:dyDescent="0.3">
      <c r="A1175" s="3" t="s">
        <v>269</v>
      </c>
      <c r="B1175" s="3" t="s">
        <v>270</v>
      </c>
      <c r="C1175" s="3" t="s">
        <v>64</v>
      </c>
      <c r="D1175" s="3" t="s">
        <v>257</v>
      </c>
      <c r="E1175" s="6">
        <v>0.34305555555555556</v>
      </c>
      <c r="F1175" s="6">
        <v>0.82430555555555551</v>
      </c>
      <c r="G1175" s="3" t="s">
        <v>20</v>
      </c>
      <c r="H1175" s="3" t="s">
        <v>27</v>
      </c>
      <c r="I1175" s="3" t="s">
        <v>21</v>
      </c>
    </row>
    <row r="1176" spans="1:9" s="3" customFormat="1" x14ac:dyDescent="0.3">
      <c r="A1176" s="3" t="s">
        <v>37</v>
      </c>
      <c r="B1176" s="3" t="s">
        <v>38</v>
      </c>
      <c r="C1176" s="3" t="s">
        <v>18</v>
      </c>
      <c r="D1176" s="3" t="s">
        <v>384</v>
      </c>
      <c r="E1176" s="6"/>
      <c r="F1176" s="6"/>
      <c r="G1176" s="3" t="s">
        <v>44</v>
      </c>
      <c r="H1176" s="3" t="s">
        <v>27</v>
      </c>
      <c r="I1176" s="3" t="s">
        <v>21</v>
      </c>
    </row>
    <row r="1177" spans="1:9" s="3" customFormat="1" x14ac:dyDescent="0.3">
      <c r="A1177" s="3" t="s">
        <v>269</v>
      </c>
      <c r="B1177" s="3" t="s">
        <v>270</v>
      </c>
      <c r="C1177" s="3" t="s">
        <v>11</v>
      </c>
      <c r="D1177" s="3" t="s">
        <v>357</v>
      </c>
      <c r="E1177" s="6">
        <v>0.49861111111111112</v>
      </c>
      <c r="F1177" s="6">
        <v>0.72499999999999998</v>
      </c>
      <c r="G1177" s="3" t="s">
        <v>20</v>
      </c>
      <c r="H1177" s="3" t="s">
        <v>14</v>
      </c>
      <c r="I1177" s="3" t="s">
        <v>21</v>
      </c>
    </row>
    <row r="1178" spans="1:9" s="3" customFormat="1" x14ac:dyDescent="0.3">
      <c r="A1178" s="3" t="s">
        <v>291</v>
      </c>
      <c r="B1178" s="3" t="s">
        <v>292</v>
      </c>
      <c r="C1178" s="3" t="s">
        <v>24</v>
      </c>
      <c r="D1178" s="3" t="s">
        <v>276</v>
      </c>
      <c r="E1178" s="6">
        <v>0.35</v>
      </c>
      <c r="F1178" s="6">
        <v>0.76249999999999996</v>
      </c>
      <c r="G1178" s="3" t="s">
        <v>125</v>
      </c>
      <c r="H1178" s="3" t="s">
        <v>27</v>
      </c>
      <c r="I1178" s="3" t="s">
        <v>15</v>
      </c>
    </row>
    <row r="1179" spans="1:9" s="3" customFormat="1" x14ac:dyDescent="0.3">
      <c r="A1179" s="3" t="s">
        <v>130</v>
      </c>
      <c r="B1179" s="3" t="s">
        <v>131</v>
      </c>
      <c r="C1179" s="3" t="s">
        <v>60</v>
      </c>
      <c r="D1179" s="3" t="s">
        <v>376</v>
      </c>
      <c r="E1179" s="6">
        <v>0.38680555555555557</v>
      </c>
      <c r="F1179" s="6">
        <v>0.83472222222222225</v>
      </c>
      <c r="G1179" s="3" t="s">
        <v>26</v>
      </c>
      <c r="H1179" s="3" t="s">
        <v>27</v>
      </c>
      <c r="I1179" s="3" t="s">
        <v>21</v>
      </c>
    </row>
    <row r="1180" spans="1:9" s="3" customFormat="1" x14ac:dyDescent="0.3">
      <c r="A1180" s="3" t="s">
        <v>246</v>
      </c>
      <c r="B1180" s="3" t="s">
        <v>247</v>
      </c>
      <c r="C1180" s="3" t="s">
        <v>64</v>
      </c>
      <c r="D1180" s="3" t="s">
        <v>183</v>
      </c>
      <c r="E1180" s="6">
        <v>0.37361111111111112</v>
      </c>
      <c r="F1180" s="6">
        <v>0.81805555555555554</v>
      </c>
      <c r="G1180" s="3" t="s">
        <v>274</v>
      </c>
      <c r="H1180" s="3" t="s">
        <v>14</v>
      </c>
      <c r="I1180" s="3" t="s">
        <v>15</v>
      </c>
    </row>
    <row r="1181" spans="1:9" s="3" customFormat="1" x14ac:dyDescent="0.3">
      <c r="A1181" s="3" t="s">
        <v>146</v>
      </c>
      <c r="B1181" s="3" t="s">
        <v>147</v>
      </c>
      <c r="C1181" s="3" t="s">
        <v>42</v>
      </c>
      <c r="D1181" s="3" t="s">
        <v>98</v>
      </c>
      <c r="E1181" s="6"/>
      <c r="F1181" s="6"/>
      <c r="G1181" s="3" t="s">
        <v>44</v>
      </c>
      <c r="H1181" s="3" t="s">
        <v>27</v>
      </c>
      <c r="I1181" s="3" t="s">
        <v>21</v>
      </c>
    </row>
    <row r="1182" spans="1:9" s="3" customFormat="1" x14ac:dyDescent="0.3">
      <c r="A1182" s="3" t="s">
        <v>96</v>
      </c>
      <c r="B1182" s="3" t="s">
        <v>97</v>
      </c>
      <c r="C1182" s="3" t="s">
        <v>42</v>
      </c>
      <c r="D1182" s="3" t="s">
        <v>101</v>
      </c>
      <c r="E1182" s="6">
        <v>0.48125000000000001</v>
      </c>
      <c r="F1182" s="6">
        <v>0.80625000000000002</v>
      </c>
      <c r="G1182" s="3" t="s">
        <v>26</v>
      </c>
      <c r="H1182" s="3" t="s">
        <v>14</v>
      </c>
      <c r="I1182" s="3" t="s">
        <v>15</v>
      </c>
    </row>
    <row r="1183" spans="1:9" s="3" customFormat="1" x14ac:dyDescent="0.3">
      <c r="A1183" s="3" t="s">
        <v>99</v>
      </c>
      <c r="B1183" s="3" t="s">
        <v>100</v>
      </c>
      <c r="C1183" s="3" t="s">
        <v>18</v>
      </c>
      <c r="D1183" s="3" t="s">
        <v>299</v>
      </c>
      <c r="E1183" s="6"/>
      <c r="F1183" s="6"/>
      <c r="G1183" s="3" t="s">
        <v>44</v>
      </c>
      <c r="H1183" s="3" t="s">
        <v>27</v>
      </c>
      <c r="I1183" s="3" t="s">
        <v>21</v>
      </c>
    </row>
    <row r="1184" spans="1:9" s="3" customFormat="1" x14ac:dyDescent="0.3">
      <c r="A1184" s="3" t="s">
        <v>69</v>
      </c>
      <c r="B1184" s="3" t="s">
        <v>70</v>
      </c>
      <c r="C1184" s="3" t="s">
        <v>18</v>
      </c>
      <c r="D1184" s="3" t="s">
        <v>12</v>
      </c>
      <c r="E1184" s="6">
        <v>0.37569444444444444</v>
      </c>
      <c r="F1184" s="6">
        <v>0.77916666666666667</v>
      </c>
      <c r="G1184" s="3" t="s">
        <v>26</v>
      </c>
      <c r="H1184" s="3" t="s">
        <v>27</v>
      </c>
      <c r="I1184" s="3" t="s">
        <v>21</v>
      </c>
    </row>
    <row r="1185" spans="1:9" s="3" customFormat="1" x14ac:dyDescent="0.3">
      <c r="A1185" s="3" t="s">
        <v>194</v>
      </c>
      <c r="B1185" s="3" t="s">
        <v>195</v>
      </c>
      <c r="C1185" s="3" t="s">
        <v>64</v>
      </c>
      <c r="D1185" s="3" t="s">
        <v>417</v>
      </c>
      <c r="E1185" s="6"/>
      <c r="F1185" s="6"/>
      <c r="G1185" s="3" t="s">
        <v>44</v>
      </c>
      <c r="H1185" s="3" t="s">
        <v>14</v>
      </c>
      <c r="I1185" s="3" t="s">
        <v>21</v>
      </c>
    </row>
    <row r="1186" spans="1:9" s="3" customFormat="1" x14ac:dyDescent="0.3">
      <c r="A1186" s="3" t="s">
        <v>165</v>
      </c>
      <c r="B1186" s="3" t="s">
        <v>166</v>
      </c>
      <c r="C1186" s="3" t="s">
        <v>42</v>
      </c>
      <c r="D1186" s="3" t="s">
        <v>137</v>
      </c>
      <c r="E1186" s="6">
        <v>0.49027777777777776</v>
      </c>
      <c r="F1186" s="6">
        <v>0.81458333333333333</v>
      </c>
      <c r="G1186" s="3" t="s">
        <v>13</v>
      </c>
      <c r="H1186" s="3" t="s">
        <v>27</v>
      </c>
      <c r="I1186" s="3" t="s">
        <v>15</v>
      </c>
    </row>
    <row r="1187" spans="1:9" s="3" customFormat="1" x14ac:dyDescent="0.3">
      <c r="A1187" s="3" t="s">
        <v>194</v>
      </c>
      <c r="B1187" s="3" t="s">
        <v>195</v>
      </c>
      <c r="C1187" s="3" t="s">
        <v>42</v>
      </c>
      <c r="D1187" s="3" t="s">
        <v>283</v>
      </c>
      <c r="E1187" s="6">
        <v>0.39444444444444443</v>
      </c>
      <c r="F1187" s="6">
        <v>0.8666666666666667</v>
      </c>
      <c r="G1187" s="3" t="s">
        <v>125</v>
      </c>
      <c r="H1187" s="3" t="s">
        <v>14</v>
      </c>
      <c r="I1187" s="3" t="s">
        <v>21</v>
      </c>
    </row>
    <row r="1188" spans="1:9" s="3" customFormat="1" x14ac:dyDescent="0.3">
      <c r="A1188" s="3" t="s">
        <v>157</v>
      </c>
      <c r="B1188" s="3" t="s">
        <v>158</v>
      </c>
      <c r="C1188" s="3" t="s">
        <v>42</v>
      </c>
      <c r="D1188" s="3" t="s">
        <v>336</v>
      </c>
      <c r="E1188" s="6">
        <v>0.42916666666666664</v>
      </c>
      <c r="F1188" s="6">
        <v>0.83125000000000004</v>
      </c>
      <c r="G1188" s="3" t="s">
        <v>13</v>
      </c>
      <c r="H1188" s="3" t="s">
        <v>27</v>
      </c>
      <c r="I1188" s="3" t="s">
        <v>21</v>
      </c>
    </row>
    <row r="1189" spans="1:9" s="3" customFormat="1" x14ac:dyDescent="0.3">
      <c r="A1189" s="3" t="s">
        <v>122</v>
      </c>
      <c r="B1189" s="3" t="s">
        <v>123</v>
      </c>
      <c r="C1189" s="3" t="s">
        <v>18</v>
      </c>
      <c r="D1189" s="3" t="s">
        <v>319</v>
      </c>
      <c r="E1189" s="6">
        <v>0.46875</v>
      </c>
      <c r="F1189" s="6">
        <v>0.77013888888888893</v>
      </c>
      <c r="G1189" s="3" t="s">
        <v>20</v>
      </c>
      <c r="H1189" s="3" t="s">
        <v>14</v>
      </c>
      <c r="I1189" s="3" t="s">
        <v>15</v>
      </c>
    </row>
    <row r="1190" spans="1:9" s="3" customFormat="1" x14ac:dyDescent="0.3">
      <c r="A1190" s="3" t="s">
        <v>34</v>
      </c>
      <c r="B1190" s="3" t="s">
        <v>35</v>
      </c>
      <c r="C1190" s="3" t="s">
        <v>42</v>
      </c>
      <c r="D1190" s="3" t="s">
        <v>289</v>
      </c>
      <c r="E1190" s="6">
        <v>0.37847222222222221</v>
      </c>
      <c r="F1190" s="6">
        <v>0.69861111111111107</v>
      </c>
      <c r="G1190" s="3" t="s">
        <v>125</v>
      </c>
      <c r="H1190" s="3" t="s">
        <v>27</v>
      </c>
      <c r="I1190" s="3" t="s">
        <v>15</v>
      </c>
    </row>
    <row r="1191" spans="1:9" s="3" customFormat="1" x14ac:dyDescent="0.3">
      <c r="A1191" s="3" t="s">
        <v>150</v>
      </c>
      <c r="B1191" s="3" t="s">
        <v>151</v>
      </c>
      <c r="C1191" s="3" t="s">
        <v>24</v>
      </c>
      <c r="D1191" s="3" t="s">
        <v>370</v>
      </c>
      <c r="E1191" s="6">
        <v>0.34027777777777779</v>
      </c>
      <c r="F1191" s="6">
        <v>0.82222222222222219</v>
      </c>
      <c r="G1191" s="3" t="s">
        <v>13</v>
      </c>
      <c r="H1191" s="3" t="s">
        <v>14</v>
      </c>
      <c r="I1191" s="3" t="s">
        <v>21</v>
      </c>
    </row>
    <row r="1192" spans="1:9" s="3" customFormat="1" x14ac:dyDescent="0.3">
      <c r="A1192" s="3" t="s">
        <v>191</v>
      </c>
      <c r="B1192" s="3" t="s">
        <v>192</v>
      </c>
      <c r="C1192" s="3" t="s">
        <v>18</v>
      </c>
      <c r="D1192" s="3" t="s">
        <v>305</v>
      </c>
      <c r="E1192" s="6">
        <v>0.36249999999999999</v>
      </c>
      <c r="F1192" s="6">
        <v>0.85763888888888884</v>
      </c>
      <c r="G1192" s="3" t="s">
        <v>13</v>
      </c>
      <c r="H1192" s="3" t="s">
        <v>27</v>
      </c>
      <c r="I1192" s="3" t="s">
        <v>15</v>
      </c>
    </row>
    <row r="1193" spans="1:9" s="3" customFormat="1" x14ac:dyDescent="0.3">
      <c r="A1193" s="3" t="s">
        <v>146</v>
      </c>
      <c r="B1193" s="3" t="s">
        <v>147</v>
      </c>
      <c r="C1193" s="3" t="s">
        <v>24</v>
      </c>
      <c r="D1193" s="3" t="s">
        <v>308</v>
      </c>
      <c r="E1193" s="6"/>
      <c r="F1193" s="6"/>
      <c r="G1193" s="3" t="s">
        <v>44</v>
      </c>
      <c r="H1193" s="3" t="s">
        <v>27</v>
      </c>
      <c r="I1193" s="3" t="s">
        <v>21</v>
      </c>
    </row>
    <row r="1194" spans="1:9" s="3" customFormat="1" x14ac:dyDescent="0.3">
      <c r="A1194" s="3" t="s">
        <v>204</v>
      </c>
      <c r="B1194" s="3" t="s">
        <v>205</v>
      </c>
      <c r="C1194" s="3" t="s">
        <v>42</v>
      </c>
      <c r="D1194" s="3" t="s">
        <v>344</v>
      </c>
      <c r="E1194" s="6">
        <v>0.39861111111111114</v>
      </c>
      <c r="F1194" s="6">
        <v>0.73541666666666672</v>
      </c>
      <c r="G1194" s="3" t="s">
        <v>20</v>
      </c>
      <c r="H1194" s="3" t="s">
        <v>27</v>
      </c>
      <c r="I1194" s="3" t="s">
        <v>15</v>
      </c>
    </row>
    <row r="1195" spans="1:9" s="3" customFormat="1" x14ac:dyDescent="0.3">
      <c r="A1195" s="3" t="s">
        <v>112</v>
      </c>
      <c r="B1195" s="3" t="s">
        <v>113</v>
      </c>
      <c r="C1195" s="3" t="s">
        <v>64</v>
      </c>
      <c r="D1195" s="3" t="s">
        <v>164</v>
      </c>
      <c r="E1195" s="6">
        <v>0.46388888888888891</v>
      </c>
      <c r="F1195" s="6">
        <v>0.74027777777777781</v>
      </c>
      <c r="G1195" s="3" t="s">
        <v>13</v>
      </c>
      <c r="H1195" s="3" t="s">
        <v>14</v>
      </c>
      <c r="I1195" s="3" t="s">
        <v>21</v>
      </c>
    </row>
    <row r="1196" spans="1:9" s="3" customFormat="1" x14ac:dyDescent="0.3">
      <c r="A1196" s="3" t="s">
        <v>62</v>
      </c>
      <c r="B1196" s="3" t="s">
        <v>63</v>
      </c>
      <c r="C1196" s="3" t="s">
        <v>42</v>
      </c>
      <c r="D1196" s="3" t="s">
        <v>409</v>
      </c>
      <c r="E1196" s="6"/>
      <c r="F1196" s="6"/>
      <c r="G1196" s="3" t="s">
        <v>51</v>
      </c>
      <c r="H1196" s="3" t="s">
        <v>14</v>
      </c>
      <c r="I1196" s="3" t="s">
        <v>21</v>
      </c>
    </row>
    <row r="1197" spans="1:9" s="3" customFormat="1" x14ac:dyDescent="0.3">
      <c r="A1197" s="3" t="s">
        <v>28</v>
      </c>
      <c r="B1197" s="3" t="s">
        <v>29</v>
      </c>
      <c r="C1197" s="3" t="s">
        <v>18</v>
      </c>
      <c r="D1197" s="3" t="s">
        <v>145</v>
      </c>
      <c r="E1197" s="6">
        <v>0.42986111111111114</v>
      </c>
      <c r="F1197" s="6">
        <v>0.83819444444444446</v>
      </c>
      <c r="G1197" s="3" t="s">
        <v>20</v>
      </c>
      <c r="H1197" s="3" t="s">
        <v>14</v>
      </c>
      <c r="I1197" s="3" t="s">
        <v>15</v>
      </c>
    </row>
    <row r="1198" spans="1:9" s="3" customFormat="1" x14ac:dyDescent="0.3">
      <c r="A1198" s="3" t="s">
        <v>55</v>
      </c>
      <c r="B1198" s="3" t="s">
        <v>56</v>
      </c>
      <c r="C1198" s="3" t="s">
        <v>60</v>
      </c>
      <c r="D1198" s="3" t="s">
        <v>407</v>
      </c>
      <c r="E1198" s="6">
        <v>0.41388888888888886</v>
      </c>
      <c r="F1198" s="6">
        <v>0.68888888888888888</v>
      </c>
      <c r="G1198" s="3" t="s">
        <v>26</v>
      </c>
      <c r="H1198" s="3" t="s">
        <v>27</v>
      </c>
      <c r="I1198" s="3" t="s">
        <v>21</v>
      </c>
    </row>
    <row r="1199" spans="1:9" s="3" customFormat="1" x14ac:dyDescent="0.3">
      <c r="A1199" s="3" t="s">
        <v>45</v>
      </c>
      <c r="B1199" s="3" t="s">
        <v>46</v>
      </c>
      <c r="C1199" s="3" t="s">
        <v>24</v>
      </c>
      <c r="D1199" s="3" t="s">
        <v>218</v>
      </c>
      <c r="E1199" s="6">
        <v>0.41180555555555554</v>
      </c>
      <c r="F1199" s="6">
        <v>0.76180555555555551</v>
      </c>
      <c r="G1199" s="3" t="s">
        <v>26</v>
      </c>
      <c r="H1199" s="3" t="s">
        <v>27</v>
      </c>
      <c r="I1199" s="3" t="s">
        <v>21</v>
      </c>
    </row>
    <row r="1200" spans="1:9" s="3" customFormat="1" x14ac:dyDescent="0.3">
      <c r="A1200" s="3" t="s">
        <v>87</v>
      </c>
      <c r="B1200" s="3" t="s">
        <v>88</v>
      </c>
      <c r="C1200" s="3" t="s">
        <v>60</v>
      </c>
      <c r="D1200" s="3" t="s">
        <v>356</v>
      </c>
      <c r="E1200" s="6"/>
      <c r="F1200" s="6"/>
      <c r="G1200" s="3" t="s">
        <v>44</v>
      </c>
      <c r="H1200" s="3" t="s">
        <v>14</v>
      </c>
      <c r="I1200" s="3" t="s">
        <v>21</v>
      </c>
    </row>
    <row r="1201" spans="1:9" s="3" customFormat="1" x14ac:dyDescent="0.3">
      <c r="A1201" s="3" t="s">
        <v>69</v>
      </c>
      <c r="B1201" s="3" t="s">
        <v>70</v>
      </c>
      <c r="C1201" s="3" t="s">
        <v>60</v>
      </c>
      <c r="D1201" s="3" t="s">
        <v>364</v>
      </c>
      <c r="E1201" s="6">
        <v>0.35069444444444442</v>
      </c>
      <c r="F1201" s="6">
        <v>0.70833333333333337</v>
      </c>
      <c r="G1201" s="3" t="s">
        <v>20</v>
      </c>
      <c r="H1201" s="3" t="s">
        <v>14</v>
      </c>
      <c r="I1201" s="3" t="s">
        <v>15</v>
      </c>
    </row>
    <row r="1202" spans="1:9" s="3" customFormat="1" x14ac:dyDescent="0.3">
      <c r="A1202" s="3" t="s">
        <v>204</v>
      </c>
      <c r="B1202" s="3" t="s">
        <v>205</v>
      </c>
      <c r="C1202" s="3" t="s">
        <v>127</v>
      </c>
      <c r="D1202" s="3" t="s">
        <v>396</v>
      </c>
      <c r="E1202" s="6">
        <v>0.34513888888888888</v>
      </c>
      <c r="F1202" s="6">
        <v>0.7895833333333333</v>
      </c>
      <c r="G1202" s="3" t="s">
        <v>20</v>
      </c>
      <c r="H1202" s="3" t="s">
        <v>27</v>
      </c>
      <c r="I1202" s="3" t="s">
        <v>21</v>
      </c>
    </row>
    <row r="1203" spans="1:9" s="3" customFormat="1" x14ac:dyDescent="0.3">
      <c r="A1203" s="3" t="s">
        <v>96</v>
      </c>
      <c r="B1203" s="3" t="s">
        <v>97</v>
      </c>
      <c r="C1203" s="3" t="s">
        <v>24</v>
      </c>
      <c r="D1203" s="3" t="s">
        <v>240</v>
      </c>
      <c r="E1203" s="6">
        <v>0.34861111111111109</v>
      </c>
      <c r="F1203" s="6">
        <v>0.86041666666666672</v>
      </c>
      <c r="G1203" s="3" t="s">
        <v>20</v>
      </c>
      <c r="H1203" s="3" t="s">
        <v>27</v>
      </c>
      <c r="I1203" s="3" t="s">
        <v>15</v>
      </c>
    </row>
    <row r="1204" spans="1:9" s="3" customFormat="1" x14ac:dyDescent="0.3">
      <c r="A1204" s="3" t="s">
        <v>291</v>
      </c>
      <c r="B1204" s="3" t="s">
        <v>292</v>
      </c>
      <c r="C1204" s="3" t="s">
        <v>60</v>
      </c>
      <c r="D1204" s="3" t="s">
        <v>328</v>
      </c>
      <c r="E1204" s="6">
        <v>0.33333333333333331</v>
      </c>
      <c r="F1204" s="6">
        <v>0.7583333333333333</v>
      </c>
      <c r="G1204" s="3" t="s">
        <v>20</v>
      </c>
      <c r="H1204" s="3" t="s">
        <v>14</v>
      </c>
      <c r="I1204" s="3" t="s">
        <v>21</v>
      </c>
    </row>
    <row r="1205" spans="1:9" s="3" customFormat="1" x14ac:dyDescent="0.3">
      <c r="A1205" s="3" t="s">
        <v>157</v>
      </c>
      <c r="B1205" s="3" t="s">
        <v>158</v>
      </c>
      <c r="C1205" s="3" t="s">
        <v>24</v>
      </c>
      <c r="D1205" s="3" t="s">
        <v>106</v>
      </c>
      <c r="E1205" s="6"/>
      <c r="F1205" s="6"/>
      <c r="G1205" s="3" t="s">
        <v>44</v>
      </c>
      <c r="H1205" s="3" t="s">
        <v>27</v>
      </c>
      <c r="I1205" s="3" t="s">
        <v>21</v>
      </c>
    </row>
    <row r="1206" spans="1:9" s="3" customFormat="1" x14ac:dyDescent="0.3">
      <c r="A1206" s="3" t="s">
        <v>72</v>
      </c>
      <c r="B1206" s="3" t="s">
        <v>73</v>
      </c>
      <c r="C1206" s="3" t="s">
        <v>143</v>
      </c>
      <c r="D1206" s="3" t="s">
        <v>333</v>
      </c>
      <c r="E1206" s="6">
        <v>0.39097222222222222</v>
      </c>
      <c r="F1206" s="6">
        <v>0.85902777777777772</v>
      </c>
      <c r="G1206" s="3" t="s">
        <v>20</v>
      </c>
      <c r="H1206" s="3" t="s">
        <v>14</v>
      </c>
      <c r="I1206" s="3" t="s">
        <v>21</v>
      </c>
    </row>
    <row r="1207" spans="1:9" s="3" customFormat="1" x14ac:dyDescent="0.3">
      <c r="A1207" s="3" t="s">
        <v>45</v>
      </c>
      <c r="B1207" s="3" t="s">
        <v>46</v>
      </c>
      <c r="C1207" s="3" t="s">
        <v>24</v>
      </c>
      <c r="D1207" s="3" t="s">
        <v>210</v>
      </c>
      <c r="E1207" s="6">
        <v>0.47083333333333333</v>
      </c>
      <c r="F1207" s="6">
        <v>0.83402777777777781</v>
      </c>
      <c r="G1207" s="3" t="s">
        <v>20</v>
      </c>
      <c r="H1207" s="3" t="s">
        <v>14</v>
      </c>
      <c r="I1207" s="3" t="s">
        <v>21</v>
      </c>
    </row>
    <row r="1208" spans="1:9" s="3" customFormat="1" x14ac:dyDescent="0.3">
      <c r="A1208" s="3" t="s">
        <v>69</v>
      </c>
      <c r="B1208" s="3" t="s">
        <v>70</v>
      </c>
      <c r="C1208" s="3" t="s">
        <v>64</v>
      </c>
      <c r="D1208" s="3" t="s">
        <v>258</v>
      </c>
      <c r="E1208" s="6"/>
      <c r="F1208" s="6"/>
      <c r="G1208" s="3" t="s">
        <v>44</v>
      </c>
      <c r="H1208" s="3" t="s">
        <v>27</v>
      </c>
      <c r="I1208" s="3" t="s">
        <v>15</v>
      </c>
    </row>
    <row r="1209" spans="1:9" s="3" customFormat="1" x14ac:dyDescent="0.3">
      <c r="A1209" s="3" t="s">
        <v>165</v>
      </c>
      <c r="B1209" s="3" t="s">
        <v>166</v>
      </c>
      <c r="C1209" s="3" t="s">
        <v>60</v>
      </c>
      <c r="D1209" s="3" t="s">
        <v>233</v>
      </c>
      <c r="E1209" s="6">
        <v>0.41041666666666665</v>
      </c>
      <c r="F1209" s="6">
        <v>0.80555555555555558</v>
      </c>
      <c r="G1209" s="3" t="s">
        <v>20</v>
      </c>
      <c r="H1209" s="3" t="s">
        <v>14</v>
      </c>
      <c r="I1209" s="3" t="s">
        <v>21</v>
      </c>
    </row>
    <row r="1210" spans="1:9" s="3" customFormat="1" x14ac:dyDescent="0.3">
      <c r="A1210" s="3" t="s">
        <v>37</v>
      </c>
      <c r="B1210" s="3" t="s">
        <v>38</v>
      </c>
      <c r="C1210" s="3" t="s">
        <v>42</v>
      </c>
      <c r="D1210" s="3" t="s">
        <v>318</v>
      </c>
      <c r="E1210" s="6">
        <v>0.46111111111111114</v>
      </c>
      <c r="F1210" s="6">
        <v>0.7104166666666667</v>
      </c>
      <c r="G1210" s="3" t="s">
        <v>26</v>
      </c>
      <c r="H1210" s="3" t="s">
        <v>27</v>
      </c>
      <c r="I1210" s="3" t="s">
        <v>15</v>
      </c>
    </row>
    <row r="1211" spans="1:9" s="3" customFormat="1" x14ac:dyDescent="0.3">
      <c r="A1211" s="3" t="s">
        <v>200</v>
      </c>
      <c r="B1211" s="3" t="s">
        <v>201</v>
      </c>
      <c r="C1211" s="3" t="s">
        <v>60</v>
      </c>
      <c r="D1211" s="3" t="s">
        <v>168</v>
      </c>
      <c r="E1211" s="6">
        <v>0.44722222222222224</v>
      </c>
      <c r="F1211" s="6">
        <v>0.81736111111111109</v>
      </c>
      <c r="G1211" s="3" t="s">
        <v>13</v>
      </c>
      <c r="H1211" s="3" t="s">
        <v>27</v>
      </c>
      <c r="I1211" s="3" t="s">
        <v>21</v>
      </c>
    </row>
    <row r="1212" spans="1:9" s="3" customFormat="1" x14ac:dyDescent="0.3">
      <c r="A1212" s="3" t="s">
        <v>216</v>
      </c>
      <c r="B1212" s="3" t="s">
        <v>217</v>
      </c>
      <c r="C1212" s="3" t="s">
        <v>42</v>
      </c>
      <c r="D1212" s="3" t="s">
        <v>318</v>
      </c>
      <c r="E1212" s="6">
        <v>0.40902777777777777</v>
      </c>
      <c r="F1212" s="6">
        <v>0.72013888888888888</v>
      </c>
      <c r="G1212" s="3" t="s">
        <v>170</v>
      </c>
      <c r="H1212" s="3" t="s">
        <v>14</v>
      </c>
      <c r="I1212" s="3" t="s">
        <v>15</v>
      </c>
    </row>
    <row r="1213" spans="1:9" s="3" customFormat="1" x14ac:dyDescent="0.3">
      <c r="A1213" s="3" t="s">
        <v>55</v>
      </c>
      <c r="B1213" s="3" t="s">
        <v>56</v>
      </c>
      <c r="C1213" s="3" t="s">
        <v>64</v>
      </c>
      <c r="D1213" s="3" t="s">
        <v>323</v>
      </c>
      <c r="E1213" s="6">
        <v>0.33958333333333335</v>
      </c>
      <c r="F1213" s="6">
        <v>0.75972222222222219</v>
      </c>
      <c r="G1213" s="3" t="s">
        <v>149</v>
      </c>
      <c r="H1213" s="3" t="s">
        <v>14</v>
      </c>
      <c r="I1213" s="3" t="s">
        <v>21</v>
      </c>
    </row>
    <row r="1214" spans="1:9" s="3" customFormat="1" x14ac:dyDescent="0.3">
      <c r="A1214" s="3" t="s">
        <v>194</v>
      </c>
      <c r="B1214" s="3" t="s">
        <v>195</v>
      </c>
      <c r="C1214" s="3" t="s">
        <v>60</v>
      </c>
      <c r="D1214" s="3" t="s">
        <v>144</v>
      </c>
      <c r="E1214" s="6">
        <v>0.34305555555555556</v>
      </c>
      <c r="F1214" s="6">
        <v>0.84791666666666665</v>
      </c>
      <c r="G1214" s="3" t="s">
        <v>170</v>
      </c>
      <c r="H1214" s="3" t="s">
        <v>14</v>
      </c>
      <c r="I1214" s="3" t="s">
        <v>15</v>
      </c>
    </row>
    <row r="1215" spans="1:9" s="3" customFormat="1" x14ac:dyDescent="0.3">
      <c r="A1215" s="3" t="s">
        <v>112</v>
      </c>
      <c r="B1215" s="3" t="s">
        <v>113</v>
      </c>
      <c r="C1215" s="3" t="s">
        <v>64</v>
      </c>
      <c r="D1215" s="3" t="s">
        <v>106</v>
      </c>
      <c r="E1215" s="6">
        <v>0.43611111111111112</v>
      </c>
      <c r="F1215" s="6">
        <v>0.77500000000000002</v>
      </c>
      <c r="G1215" s="3" t="s">
        <v>13</v>
      </c>
      <c r="H1215" s="3" t="s">
        <v>14</v>
      </c>
      <c r="I1215" s="3" t="s">
        <v>15</v>
      </c>
    </row>
    <row r="1216" spans="1:9" s="3" customFormat="1" x14ac:dyDescent="0.3">
      <c r="A1216" s="3" t="s">
        <v>204</v>
      </c>
      <c r="B1216" s="3" t="s">
        <v>205</v>
      </c>
      <c r="C1216" s="3" t="s">
        <v>42</v>
      </c>
      <c r="D1216" s="3" t="s">
        <v>203</v>
      </c>
      <c r="E1216" s="6">
        <v>0.47499999999999998</v>
      </c>
      <c r="F1216" s="6">
        <v>0.68888888888888888</v>
      </c>
      <c r="G1216" s="3" t="s">
        <v>125</v>
      </c>
      <c r="H1216" s="3" t="s">
        <v>27</v>
      </c>
      <c r="I1216" s="3" t="s">
        <v>15</v>
      </c>
    </row>
    <row r="1217" spans="1:9" s="3" customFormat="1" x14ac:dyDescent="0.3">
      <c r="A1217" s="3" t="s">
        <v>22</v>
      </c>
      <c r="B1217" s="3" t="s">
        <v>23</v>
      </c>
      <c r="C1217" s="3" t="s">
        <v>143</v>
      </c>
      <c r="D1217" s="3" t="s">
        <v>230</v>
      </c>
      <c r="E1217" s="6"/>
      <c r="F1217" s="6"/>
      <c r="G1217" s="3" t="s">
        <v>44</v>
      </c>
      <c r="H1217" s="3" t="s">
        <v>27</v>
      </c>
      <c r="I1217" s="3" t="s">
        <v>15</v>
      </c>
    </row>
    <row r="1218" spans="1:9" s="3" customFormat="1" x14ac:dyDescent="0.3">
      <c r="A1218" s="3" t="s">
        <v>171</v>
      </c>
      <c r="B1218" s="3" t="s">
        <v>172</v>
      </c>
      <c r="C1218" s="3" t="s">
        <v>60</v>
      </c>
      <c r="D1218" s="3" t="s">
        <v>179</v>
      </c>
      <c r="E1218" s="6">
        <v>0.48125000000000001</v>
      </c>
      <c r="F1218" s="6">
        <v>0.76041666666666663</v>
      </c>
      <c r="G1218" s="3" t="s">
        <v>20</v>
      </c>
      <c r="H1218" s="3" t="s">
        <v>27</v>
      </c>
      <c r="I1218" s="3" t="s">
        <v>15</v>
      </c>
    </row>
    <row r="1219" spans="1:9" s="3" customFormat="1" x14ac:dyDescent="0.3">
      <c r="A1219" s="3" t="s">
        <v>58</v>
      </c>
      <c r="B1219" s="3" t="s">
        <v>59</v>
      </c>
      <c r="C1219" s="3" t="s">
        <v>18</v>
      </c>
      <c r="D1219" s="3" t="s">
        <v>221</v>
      </c>
      <c r="E1219" s="6"/>
      <c r="F1219" s="6"/>
      <c r="G1219" s="3" t="s">
        <v>44</v>
      </c>
      <c r="H1219" s="3" t="s">
        <v>14</v>
      </c>
      <c r="I1219" s="3" t="s">
        <v>21</v>
      </c>
    </row>
    <row r="1220" spans="1:9" s="3" customFormat="1" x14ac:dyDescent="0.3">
      <c r="A1220" s="3" t="s">
        <v>150</v>
      </c>
      <c r="B1220" s="3" t="s">
        <v>151</v>
      </c>
      <c r="C1220" s="3" t="s">
        <v>24</v>
      </c>
      <c r="D1220" s="3" t="s">
        <v>359</v>
      </c>
      <c r="E1220" s="6">
        <v>0.36875000000000002</v>
      </c>
      <c r="F1220" s="6">
        <v>0.70416666666666672</v>
      </c>
      <c r="G1220" s="3" t="s">
        <v>20</v>
      </c>
      <c r="H1220" s="3" t="s">
        <v>14</v>
      </c>
      <c r="I1220" s="3" t="s">
        <v>15</v>
      </c>
    </row>
    <row r="1221" spans="1:9" s="3" customFormat="1" x14ac:dyDescent="0.3">
      <c r="A1221" s="3" t="s">
        <v>69</v>
      </c>
      <c r="B1221" s="3" t="s">
        <v>70</v>
      </c>
      <c r="C1221" s="3" t="s">
        <v>60</v>
      </c>
      <c r="D1221" s="3" t="s">
        <v>153</v>
      </c>
      <c r="E1221" s="6"/>
      <c r="F1221" s="6"/>
      <c r="G1221" s="3" t="s">
        <v>44</v>
      </c>
      <c r="H1221" s="3" t="s">
        <v>14</v>
      </c>
      <c r="I1221" s="3" t="s">
        <v>21</v>
      </c>
    </row>
    <row r="1222" spans="1:9" s="3" customFormat="1" x14ac:dyDescent="0.3">
      <c r="A1222" s="3" t="s">
        <v>9</v>
      </c>
      <c r="B1222" s="3" t="s">
        <v>10</v>
      </c>
      <c r="C1222" s="3" t="s">
        <v>64</v>
      </c>
      <c r="D1222" s="3" t="s">
        <v>378</v>
      </c>
      <c r="E1222" s="6">
        <v>0.49791666666666667</v>
      </c>
      <c r="F1222" s="6">
        <v>0.7055555555555556</v>
      </c>
      <c r="G1222" s="3" t="s">
        <v>20</v>
      </c>
      <c r="H1222" s="3" t="s">
        <v>14</v>
      </c>
      <c r="I1222" s="3" t="s">
        <v>15</v>
      </c>
    </row>
    <row r="1223" spans="1:9" s="3" customFormat="1" x14ac:dyDescent="0.3">
      <c r="A1223" s="3" t="s">
        <v>102</v>
      </c>
      <c r="B1223" s="3" t="s">
        <v>103</v>
      </c>
      <c r="C1223" s="3" t="s">
        <v>42</v>
      </c>
      <c r="D1223" s="3" t="s">
        <v>415</v>
      </c>
      <c r="E1223" s="6">
        <v>0.38124999999999998</v>
      </c>
      <c r="F1223" s="6">
        <v>0.86597222222222225</v>
      </c>
      <c r="G1223" s="3" t="s">
        <v>26</v>
      </c>
      <c r="H1223" s="3" t="s">
        <v>14</v>
      </c>
      <c r="I1223" s="3" t="s">
        <v>21</v>
      </c>
    </row>
    <row r="1224" spans="1:9" s="3" customFormat="1" x14ac:dyDescent="0.3">
      <c r="A1224" s="3" t="s">
        <v>197</v>
      </c>
      <c r="B1224" s="3" t="s">
        <v>198</v>
      </c>
      <c r="C1224" s="3" t="s">
        <v>60</v>
      </c>
      <c r="D1224" s="3" t="s">
        <v>271</v>
      </c>
      <c r="E1224" s="6"/>
      <c r="F1224" s="6"/>
      <c r="G1224" s="3" t="s">
        <v>44</v>
      </c>
      <c r="H1224" s="3" t="s">
        <v>14</v>
      </c>
      <c r="I1224" s="3" t="s">
        <v>21</v>
      </c>
    </row>
    <row r="1225" spans="1:9" s="3" customFormat="1" x14ac:dyDescent="0.3">
      <c r="A1225" s="3" t="s">
        <v>34</v>
      </c>
      <c r="B1225" s="3" t="s">
        <v>35</v>
      </c>
      <c r="C1225" s="3" t="s">
        <v>18</v>
      </c>
      <c r="D1225" s="3" t="s">
        <v>159</v>
      </c>
      <c r="E1225" s="6">
        <v>0.40625</v>
      </c>
      <c r="F1225" s="6">
        <v>0.87361111111111112</v>
      </c>
      <c r="G1225" s="3" t="s">
        <v>149</v>
      </c>
      <c r="H1225" s="3" t="s">
        <v>27</v>
      </c>
      <c r="I1225" s="3" t="s">
        <v>15</v>
      </c>
    </row>
    <row r="1226" spans="1:9" s="3" customFormat="1" x14ac:dyDescent="0.3">
      <c r="A1226" s="3" t="s">
        <v>150</v>
      </c>
      <c r="B1226" s="3" t="s">
        <v>151</v>
      </c>
      <c r="C1226" s="3" t="s">
        <v>60</v>
      </c>
      <c r="D1226" s="3" t="s">
        <v>262</v>
      </c>
      <c r="E1226" s="6"/>
      <c r="F1226" s="6"/>
      <c r="G1226" s="3" t="s">
        <v>44</v>
      </c>
      <c r="H1226" s="3" t="s">
        <v>27</v>
      </c>
      <c r="I1226" s="3" t="s">
        <v>15</v>
      </c>
    </row>
    <row r="1227" spans="1:9" s="3" customFormat="1" x14ac:dyDescent="0.3">
      <c r="A1227" s="3" t="s">
        <v>58</v>
      </c>
      <c r="B1227" s="3" t="s">
        <v>59</v>
      </c>
      <c r="C1227" s="3" t="s">
        <v>64</v>
      </c>
      <c r="D1227" s="3" t="s">
        <v>228</v>
      </c>
      <c r="E1227" s="6"/>
      <c r="F1227" s="6"/>
      <c r="G1227" s="3" t="s">
        <v>44</v>
      </c>
      <c r="H1227" s="3" t="s">
        <v>27</v>
      </c>
      <c r="I1227" s="3" t="s">
        <v>21</v>
      </c>
    </row>
    <row r="1228" spans="1:9" s="3" customFormat="1" x14ac:dyDescent="0.3">
      <c r="A1228" s="3" t="s">
        <v>134</v>
      </c>
      <c r="B1228" s="3" t="s">
        <v>135</v>
      </c>
      <c r="C1228" s="3" t="s">
        <v>239</v>
      </c>
      <c r="D1228" s="3" t="s">
        <v>89</v>
      </c>
      <c r="E1228" s="6"/>
      <c r="F1228" s="6"/>
      <c r="G1228" s="3" t="s">
        <v>44</v>
      </c>
      <c r="H1228" s="3" t="s">
        <v>27</v>
      </c>
      <c r="I1228" s="3" t="s">
        <v>15</v>
      </c>
    </row>
    <row r="1229" spans="1:9" s="3" customFormat="1" x14ac:dyDescent="0.3">
      <c r="A1229" s="3" t="s">
        <v>84</v>
      </c>
      <c r="B1229" s="3" t="s">
        <v>85</v>
      </c>
      <c r="C1229" s="3" t="s">
        <v>60</v>
      </c>
      <c r="D1229" s="3" t="s">
        <v>36</v>
      </c>
      <c r="E1229" s="6"/>
      <c r="F1229" s="6"/>
      <c r="G1229" s="3" t="s">
        <v>44</v>
      </c>
      <c r="H1229" s="3" t="s">
        <v>27</v>
      </c>
      <c r="I1229" s="3" t="s">
        <v>21</v>
      </c>
    </row>
    <row r="1230" spans="1:9" s="3" customFormat="1" x14ac:dyDescent="0.3">
      <c r="A1230" s="3" t="s">
        <v>213</v>
      </c>
      <c r="B1230" s="3" t="s">
        <v>214</v>
      </c>
      <c r="C1230" s="3" t="s">
        <v>60</v>
      </c>
      <c r="D1230" s="3" t="s">
        <v>124</v>
      </c>
      <c r="E1230" s="6"/>
      <c r="F1230" s="6"/>
      <c r="G1230" s="3" t="s">
        <v>44</v>
      </c>
      <c r="H1230" s="3" t="s">
        <v>27</v>
      </c>
      <c r="I1230" s="3" t="s">
        <v>21</v>
      </c>
    </row>
    <row r="1231" spans="1:9" s="3" customFormat="1" x14ac:dyDescent="0.3">
      <c r="A1231" s="3" t="s">
        <v>48</v>
      </c>
      <c r="B1231" s="3" t="s">
        <v>49</v>
      </c>
      <c r="C1231" s="3" t="s">
        <v>64</v>
      </c>
      <c r="D1231" s="3" t="s">
        <v>36</v>
      </c>
      <c r="E1231" s="6"/>
      <c r="F1231" s="6"/>
      <c r="G1231" s="3" t="s">
        <v>44</v>
      </c>
      <c r="H1231" s="3" t="s">
        <v>14</v>
      </c>
      <c r="I1231" s="3" t="s">
        <v>21</v>
      </c>
    </row>
    <row r="1232" spans="1:9" s="3" customFormat="1" x14ac:dyDescent="0.3">
      <c r="A1232" s="3" t="s">
        <v>246</v>
      </c>
      <c r="B1232" s="3" t="s">
        <v>247</v>
      </c>
      <c r="C1232" s="3" t="s">
        <v>64</v>
      </c>
      <c r="D1232" s="3" t="s">
        <v>409</v>
      </c>
      <c r="E1232" s="6"/>
      <c r="F1232" s="6"/>
      <c r="G1232" s="3" t="s">
        <v>44</v>
      </c>
      <c r="H1232" s="3" t="s">
        <v>27</v>
      </c>
      <c r="I1232" s="3" t="s">
        <v>21</v>
      </c>
    </row>
    <row r="1233" spans="1:9" s="3" customFormat="1" x14ac:dyDescent="0.3">
      <c r="A1233" s="3" t="s">
        <v>40</v>
      </c>
      <c r="B1233" s="3" t="s">
        <v>41</v>
      </c>
      <c r="C1233" s="3" t="s">
        <v>42</v>
      </c>
      <c r="D1233" s="3" t="s">
        <v>228</v>
      </c>
      <c r="E1233" s="6">
        <v>0.34375</v>
      </c>
      <c r="F1233" s="6">
        <v>0.69305555555555554</v>
      </c>
      <c r="G1233" s="3" t="s">
        <v>13</v>
      </c>
      <c r="H1233" s="3" t="s">
        <v>14</v>
      </c>
      <c r="I1233" s="3" t="s">
        <v>15</v>
      </c>
    </row>
    <row r="1234" spans="1:9" s="3" customFormat="1" x14ac:dyDescent="0.3">
      <c r="A1234" s="3" t="s">
        <v>216</v>
      </c>
      <c r="B1234" s="3" t="s">
        <v>217</v>
      </c>
      <c r="C1234" s="3" t="s">
        <v>60</v>
      </c>
      <c r="D1234" s="3" t="s">
        <v>36</v>
      </c>
      <c r="E1234" s="6">
        <v>0.42499999999999999</v>
      </c>
      <c r="F1234" s="6">
        <v>0.75555555555555554</v>
      </c>
      <c r="G1234" s="3" t="s">
        <v>13</v>
      </c>
      <c r="H1234" s="3" t="s">
        <v>14</v>
      </c>
      <c r="I1234" s="3" t="s">
        <v>21</v>
      </c>
    </row>
    <row r="1235" spans="1:9" s="3" customFormat="1" x14ac:dyDescent="0.3">
      <c r="A1235" s="3" t="s">
        <v>122</v>
      </c>
      <c r="B1235" s="3" t="s">
        <v>123</v>
      </c>
      <c r="C1235" s="3" t="s">
        <v>18</v>
      </c>
      <c r="D1235" s="3" t="s">
        <v>304</v>
      </c>
      <c r="E1235" s="6"/>
      <c r="F1235" s="6"/>
      <c r="G1235" s="3" t="s">
        <v>44</v>
      </c>
      <c r="H1235" s="3" t="s">
        <v>27</v>
      </c>
      <c r="I1235" s="3" t="s">
        <v>21</v>
      </c>
    </row>
    <row r="1236" spans="1:9" s="3" customFormat="1" x14ac:dyDescent="0.3">
      <c r="A1236" s="3" t="s">
        <v>191</v>
      </c>
      <c r="B1236" s="3" t="s">
        <v>192</v>
      </c>
      <c r="C1236" s="3" t="s">
        <v>64</v>
      </c>
      <c r="D1236" s="3" t="s">
        <v>161</v>
      </c>
      <c r="E1236" s="6">
        <v>0.33541666666666664</v>
      </c>
      <c r="F1236" s="6">
        <v>0.67569444444444449</v>
      </c>
      <c r="G1236" s="3" t="s">
        <v>26</v>
      </c>
      <c r="H1236" s="3" t="s">
        <v>14</v>
      </c>
      <c r="I1236" s="3" t="s">
        <v>21</v>
      </c>
    </row>
    <row r="1237" spans="1:9" s="3" customFormat="1" x14ac:dyDescent="0.3">
      <c r="A1237" s="3" t="s">
        <v>191</v>
      </c>
      <c r="B1237" s="3" t="s">
        <v>192</v>
      </c>
      <c r="C1237" s="3" t="s">
        <v>239</v>
      </c>
      <c r="D1237" s="3" t="s">
        <v>411</v>
      </c>
      <c r="E1237" s="6">
        <v>0.40069444444444446</v>
      </c>
      <c r="F1237" s="6">
        <v>0.73124999999999996</v>
      </c>
      <c r="G1237" s="3" t="s">
        <v>26</v>
      </c>
      <c r="H1237" s="3" t="s">
        <v>14</v>
      </c>
      <c r="I1237" s="3" t="s">
        <v>21</v>
      </c>
    </row>
    <row r="1238" spans="1:9" s="3" customFormat="1" x14ac:dyDescent="0.3">
      <c r="A1238" s="3" t="s">
        <v>69</v>
      </c>
      <c r="B1238" s="3" t="s">
        <v>70</v>
      </c>
      <c r="C1238" s="3" t="s">
        <v>42</v>
      </c>
      <c r="D1238" s="3" t="s">
        <v>173</v>
      </c>
      <c r="E1238" s="6">
        <v>0.3611111111111111</v>
      </c>
      <c r="F1238" s="6">
        <v>0.72847222222222219</v>
      </c>
      <c r="G1238" s="3" t="s">
        <v>20</v>
      </c>
      <c r="H1238" s="3" t="s">
        <v>27</v>
      </c>
      <c r="I1238" s="3" t="s">
        <v>15</v>
      </c>
    </row>
    <row r="1239" spans="1:9" s="3" customFormat="1" x14ac:dyDescent="0.3">
      <c r="A1239" s="3" t="s">
        <v>112</v>
      </c>
      <c r="B1239" s="3" t="s">
        <v>113</v>
      </c>
      <c r="C1239" s="3" t="s">
        <v>64</v>
      </c>
      <c r="D1239" s="3" t="s">
        <v>180</v>
      </c>
      <c r="E1239" s="6">
        <v>0.43402777777777779</v>
      </c>
      <c r="F1239" s="6">
        <v>0.74305555555555558</v>
      </c>
      <c r="G1239" s="3" t="s">
        <v>20</v>
      </c>
      <c r="H1239" s="3" t="s">
        <v>27</v>
      </c>
      <c r="I1239" s="3" t="s">
        <v>21</v>
      </c>
    </row>
    <row r="1240" spans="1:9" s="3" customFormat="1" x14ac:dyDescent="0.3">
      <c r="A1240" s="3" t="s">
        <v>194</v>
      </c>
      <c r="B1240" s="3" t="s">
        <v>195</v>
      </c>
      <c r="C1240" s="3" t="s">
        <v>127</v>
      </c>
      <c r="D1240" s="3" t="s">
        <v>111</v>
      </c>
      <c r="E1240" s="6">
        <v>0.42986111111111114</v>
      </c>
      <c r="F1240" s="6">
        <v>0.79305555555555551</v>
      </c>
      <c r="G1240" s="3" t="s">
        <v>20</v>
      </c>
      <c r="H1240" s="3" t="s">
        <v>14</v>
      </c>
      <c r="I1240" s="3" t="s">
        <v>21</v>
      </c>
    </row>
    <row r="1241" spans="1:9" s="3" customFormat="1" x14ac:dyDescent="0.3">
      <c r="A1241" s="3" t="s">
        <v>90</v>
      </c>
      <c r="B1241" s="3" t="s">
        <v>91</v>
      </c>
      <c r="C1241" s="3" t="s">
        <v>24</v>
      </c>
      <c r="D1241" s="3" t="s">
        <v>129</v>
      </c>
      <c r="E1241" s="6">
        <v>0.3527777777777778</v>
      </c>
      <c r="F1241" s="6">
        <v>0.73263888888888884</v>
      </c>
      <c r="G1241" s="3" t="s">
        <v>20</v>
      </c>
      <c r="H1241" s="3" t="s">
        <v>14</v>
      </c>
      <c r="I1241" s="3" t="s">
        <v>21</v>
      </c>
    </row>
    <row r="1242" spans="1:9" s="3" customFormat="1" x14ac:dyDescent="0.3">
      <c r="A1242" s="3" t="s">
        <v>146</v>
      </c>
      <c r="B1242" s="3" t="s">
        <v>147</v>
      </c>
      <c r="C1242" s="3" t="s">
        <v>60</v>
      </c>
      <c r="D1242" s="3" t="s">
        <v>160</v>
      </c>
      <c r="E1242" s="6">
        <v>0.38263888888888886</v>
      </c>
      <c r="F1242" s="6">
        <v>0.82361111111111107</v>
      </c>
      <c r="G1242" s="3" t="s">
        <v>26</v>
      </c>
      <c r="H1242" s="3" t="s">
        <v>27</v>
      </c>
      <c r="I1242" s="3" t="s">
        <v>15</v>
      </c>
    </row>
    <row r="1243" spans="1:9" s="3" customFormat="1" x14ac:dyDescent="0.3">
      <c r="A1243" s="3" t="s">
        <v>109</v>
      </c>
      <c r="B1243" s="3" t="s">
        <v>110</v>
      </c>
      <c r="C1243" s="3" t="s">
        <v>42</v>
      </c>
      <c r="D1243" s="3" t="s">
        <v>280</v>
      </c>
      <c r="E1243" s="6">
        <v>0.41805555555555557</v>
      </c>
      <c r="F1243" s="6">
        <v>0.7631944444444444</v>
      </c>
      <c r="G1243" s="3" t="s">
        <v>26</v>
      </c>
      <c r="H1243" s="3" t="s">
        <v>14</v>
      </c>
      <c r="I1243" s="3" t="s">
        <v>21</v>
      </c>
    </row>
    <row r="1244" spans="1:9" s="3" customFormat="1" x14ac:dyDescent="0.3">
      <c r="A1244" s="3" t="s">
        <v>62</v>
      </c>
      <c r="B1244" s="3" t="s">
        <v>63</v>
      </c>
      <c r="C1244" s="3" t="s">
        <v>24</v>
      </c>
      <c r="D1244" s="3" t="s">
        <v>365</v>
      </c>
      <c r="E1244" s="6">
        <v>0.38680555555555557</v>
      </c>
      <c r="F1244" s="6">
        <v>0.80486111111111114</v>
      </c>
      <c r="G1244" s="3" t="s">
        <v>26</v>
      </c>
      <c r="H1244" s="3" t="s">
        <v>14</v>
      </c>
      <c r="I1244" s="3" t="s">
        <v>21</v>
      </c>
    </row>
    <row r="1245" spans="1:9" s="3" customFormat="1" x14ac:dyDescent="0.3">
      <c r="A1245" s="3" t="s">
        <v>141</v>
      </c>
      <c r="B1245" s="3" t="s">
        <v>142</v>
      </c>
      <c r="C1245" s="3" t="s">
        <v>60</v>
      </c>
      <c r="D1245" s="3" t="s">
        <v>208</v>
      </c>
      <c r="E1245" s="6">
        <v>0.38958333333333334</v>
      </c>
      <c r="F1245" s="6">
        <v>0.81736111111111109</v>
      </c>
      <c r="G1245" s="3" t="s">
        <v>20</v>
      </c>
      <c r="H1245" s="3" t="s">
        <v>27</v>
      </c>
      <c r="I1245" s="3" t="s">
        <v>15</v>
      </c>
    </row>
    <row r="1246" spans="1:9" s="3" customFormat="1" x14ac:dyDescent="0.3">
      <c r="A1246" s="3" t="s">
        <v>150</v>
      </c>
      <c r="B1246" s="3" t="s">
        <v>151</v>
      </c>
      <c r="C1246" s="3" t="s">
        <v>60</v>
      </c>
      <c r="D1246" s="3" t="s">
        <v>121</v>
      </c>
      <c r="E1246" s="6">
        <v>0.43333333333333335</v>
      </c>
      <c r="F1246" s="6">
        <v>0.80694444444444446</v>
      </c>
      <c r="G1246" s="3" t="s">
        <v>20</v>
      </c>
      <c r="H1246" s="3" t="s">
        <v>14</v>
      </c>
      <c r="I1246" s="3" t="s">
        <v>21</v>
      </c>
    </row>
    <row r="1247" spans="1:9" s="3" customFormat="1" x14ac:dyDescent="0.3">
      <c r="A1247" s="3" t="s">
        <v>197</v>
      </c>
      <c r="B1247" s="3" t="s">
        <v>198</v>
      </c>
      <c r="C1247" s="3" t="s">
        <v>24</v>
      </c>
      <c r="D1247" s="3" t="s">
        <v>259</v>
      </c>
      <c r="E1247" s="6">
        <v>0.40972222222222221</v>
      </c>
      <c r="F1247" s="6">
        <v>0.70486111111111116</v>
      </c>
      <c r="G1247" s="3" t="s">
        <v>26</v>
      </c>
      <c r="H1247" s="3" t="s">
        <v>27</v>
      </c>
      <c r="I1247" s="3" t="s">
        <v>15</v>
      </c>
    </row>
    <row r="1248" spans="1:9" s="3" customFormat="1" x14ac:dyDescent="0.3">
      <c r="A1248" s="3" t="s">
        <v>109</v>
      </c>
      <c r="B1248" s="3" t="s">
        <v>110</v>
      </c>
      <c r="C1248" s="3" t="s">
        <v>64</v>
      </c>
      <c r="D1248" s="3" t="s">
        <v>351</v>
      </c>
      <c r="E1248" s="6">
        <v>0.40486111111111112</v>
      </c>
      <c r="F1248" s="6">
        <v>0.82430555555555551</v>
      </c>
      <c r="G1248" s="3" t="s">
        <v>26</v>
      </c>
      <c r="H1248" s="3" t="s">
        <v>14</v>
      </c>
      <c r="I1248" s="3" t="s">
        <v>15</v>
      </c>
    </row>
    <row r="1249" spans="1:9" s="3" customFormat="1" x14ac:dyDescent="0.3">
      <c r="A1249" s="3" t="s">
        <v>204</v>
      </c>
      <c r="B1249" s="3" t="s">
        <v>205</v>
      </c>
      <c r="C1249" s="3" t="s">
        <v>18</v>
      </c>
      <c r="D1249" s="3" t="s">
        <v>340</v>
      </c>
      <c r="E1249" s="6">
        <v>0.48055555555555557</v>
      </c>
      <c r="F1249" s="6">
        <v>0.67083333333333328</v>
      </c>
      <c r="G1249" s="3" t="s">
        <v>13</v>
      </c>
      <c r="H1249" s="3" t="s">
        <v>14</v>
      </c>
      <c r="I1249" s="3" t="s">
        <v>21</v>
      </c>
    </row>
    <row r="1250" spans="1:9" s="3" customFormat="1" x14ac:dyDescent="0.3">
      <c r="A1250" s="3" t="s">
        <v>75</v>
      </c>
      <c r="B1250" s="3" t="s">
        <v>76</v>
      </c>
      <c r="C1250" s="3" t="s">
        <v>18</v>
      </c>
      <c r="D1250" s="3" t="s">
        <v>395</v>
      </c>
      <c r="E1250" s="6">
        <v>0.34513888888888888</v>
      </c>
      <c r="F1250" s="6">
        <v>0.69930555555555551</v>
      </c>
      <c r="G1250" s="3" t="s">
        <v>13</v>
      </c>
      <c r="H1250" s="3" t="s">
        <v>27</v>
      </c>
      <c r="I1250" s="3" t="s">
        <v>15</v>
      </c>
    </row>
    <row r="1251" spans="1:9" s="3" customFormat="1" x14ac:dyDescent="0.3">
      <c r="A1251" s="3" t="s">
        <v>16</v>
      </c>
      <c r="B1251" s="3" t="s">
        <v>17</v>
      </c>
      <c r="C1251" s="3" t="s">
        <v>64</v>
      </c>
      <c r="D1251" s="3" t="s">
        <v>117</v>
      </c>
      <c r="E1251" s="6"/>
      <c r="F1251" s="6"/>
      <c r="G1251" s="3" t="s">
        <v>44</v>
      </c>
      <c r="H1251" s="3" t="s">
        <v>14</v>
      </c>
      <c r="I1251" s="3" t="s">
        <v>21</v>
      </c>
    </row>
    <row r="1252" spans="1:9" s="3" customFormat="1" x14ac:dyDescent="0.3">
      <c r="A1252" s="3" t="s">
        <v>157</v>
      </c>
      <c r="B1252" s="3" t="s">
        <v>158</v>
      </c>
      <c r="C1252" s="3" t="s">
        <v>60</v>
      </c>
      <c r="D1252" s="3" t="s">
        <v>238</v>
      </c>
      <c r="E1252" s="6">
        <v>0.38333333333333336</v>
      </c>
      <c r="F1252" s="6">
        <v>0.85138888888888886</v>
      </c>
      <c r="G1252" s="3" t="s">
        <v>26</v>
      </c>
      <c r="H1252" s="3" t="s">
        <v>27</v>
      </c>
      <c r="I1252" s="3" t="s">
        <v>15</v>
      </c>
    </row>
    <row r="1253" spans="1:9" s="3" customFormat="1" x14ac:dyDescent="0.3">
      <c r="A1253" s="3" t="s">
        <v>9</v>
      </c>
      <c r="B1253" s="3" t="s">
        <v>10</v>
      </c>
      <c r="C1253" s="3" t="s">
        <v>24</v>
      </c>
      <c r="D1253" s="3" t="s">
        <v>358</v>
      </c>
      <c r="E1253" s="6">
        <v>0.46875</v>
      </c>
      <c r="F1253" s="6">
        <v>0.72361111111111109</v>
      </c>
      <c r="G1253" s="3" t="s">
        <v>26</v>
      </c>
      <c r="H1253" s="3" t="s">
        <v>27</v>
      </c>
      <c r="I1253" s="3" t="s">
        <v>21</v>
      </c>
    </row>
    <row r="1254" spans="1:9" s="3" customFormat="1" x14ac:dyDescent="0.3">
      <c r="A1254" s="3" t="s">
        <v>154</v>
      </c>
      <c r="B1254" s="3" t="s">
        <v>155</v>
      </c>
      <c r="C1254" s="3" t="s">
        <v>18</v>
      </c>
      <c r="D1254" s="3" t="s">
        <v>289</v>
      </c>
      <c r="E1254" s="6">
        <v>0.4152777777777778</v>
      </c>
      <c r="F1254" s="6">
        <v>0.70972222222222225</v>
      </c>
      <c r="G1254" s="3" t="s">
        <v>26</v>
      </c>
      <c r="H1254" s="3" t="s">
        <v>27</v>
      </c>
      <c r="I1254" s="3" t="s">
        <v>21</v>
      </c>
    </row>
    <row r="1255" spans="1:9" s="3" customFormat="1" x14ac:dyDescent="0.3">
      <c r="A1255" s="3" t="s">
        <v>134</v>
      </c>
      <c r="B1255" s="3" t="s">
        <v>135</v>
      </c>
      <c r="C1255" s="3" t="s">
        <v>60</v>
      </c>
      <c r="D1255" s="3" t="s">
        <v>369</v>
      </c>
      <c r="E1255" s="6">
        <v>0.375</v>
      </c>
      <c r="F1255" s="6">
        <v>0.83680555555555558</v>
      </c>
      <c r="G1255" s="3" t="s">
        <v>170</v>
      </c>
      <c r="H1255" s="3" t="s">
        <v>27</v>
      </c>
      <c r="I1255" s="3" t="s">
        <v>15</v>
      </c>
    </row>
    <row r="1256" spans="1:9" s="3" customFormat="1" x14ac:dyDescent="0.3">
      <c r="A1256" s="3" t="s">
        <v>216</v>
      </c>
      <c r="B1256" s="3" t="s">
        <v>217</v>
      </c>
      <c r="C1256" s="3" t="s">
        <v>18</v>
      </c>
      <c r="D1256" s="3" t="s">
        <v>232</v>
      </c>
      <c r="E1256" s="6"/>
      <c r="F1256" s="6"/>
      <c r="G1256" s="3" t="s">
        <v>44</v>
      </c>
      <c r="H1256" s="3" t="s">
        <v>14</v>
      </c>
      <c r="I1256" s="3" t="s">
        <v>21</v>
      </c>
    </row>
    <row r="1257" spans="1:9" s="3" customFormat="1" x14ac:dyDescent="0.3">
      <c r="A1257" s="3" t="s">
        <v>236</v>
      </c>
      <c r="B1257" s="3" t="s">
        <v>237</v>
      </c>
      <c r="C1257" s="3" t="s">
        <v>18</v>
      </c>
      <c r="D1257" s="3" t="s">
        <v>89</v>
      </c>
      <c r="E1257" s="6">
        <v>0.34375</v>
      </c>
      <c r="F1257" s="6">
        <v>0.77013888888888893</v>
      </c>
      <c r="G1257" s="3" t="s">
        <v>26</v>
      </c>
      <c r="H1257" s="3" t="s">
        <v>27</v>
      </c>
      <c r="I1257" s="3" t="s">
        <v>21</v>
      </c>
    </row>
    <row r="1258" spans="1:9" s="3" customFormat="1" x14ac:dyDescent="0.3">
      <c r="A1258" s="3" t="s">
        <v>62</v>
      </c>
      <c r="B1258" s="3" t="s">
        <v>63</v>
      </c>
      <c r="C1258" s="3" t="s">
        <v>60</v>
      </c>
      <c r="D1258" s="3" t="s">
        <v>256</v>
      </c>
      <c r="E1258" s="6">
        <v>0.3576388888888889</v>
      </c>
      <c r="F1258" s="6">
        <v>0.7993055555555556</v>
      </c>
      <c r="G1258" s="3" t="s">
        <v>26</v>
      </c>
      <c r="H1258" s="3" t="s">
        <v>14</v>
      </c>
      <c r="I1258" s="3" t="s">
        <v>15</v>
      </c>
    </row>
    <row r="1259" spans="1:9" s="3" customFormat="1" x14ac:dyDescent="0.3">
      <c r="A1259" s="3" t="s">
        <v>102</v>
      </c>
      <c r="B1259" s="3" t="s">
        <v>103</v>
      </c>
      <c r="C1259" s="3" t="s">
        <v>18</v>
      </c>
      <c r="D1259" s="3" t="s">
        <v>209</v>
      </c>
      <c r="E1259" s="6">
        <v>0.36875000000000002</v>
      </c>
      <c r="F1259" s="6">
        <v>0.67361111111111116</v>
      </c>
      <c r="G1259" s="3" t="s">
        <v>274</v>
      </c>
      <c r="H1259" s="3" t="s">
        <v>14</v>
      </c>
      <c r="I1259" s="3" t="s">
        <v>21</v>
      </c>
    </row>
    <row r="1260" spans="1:9" s="3" customFormat="1" x14ac:dyDescent="0.3">
      <c r="A1260" s="3" t="s">
        <v>291</v>
      </c>
      <c r="B1260" s="3" t="s">
        <v>292</v>
      </c>
      <c r="C1260" s="3" t="s">
        <v>18</v>
      </c>
      <c r="D1260" s="3" t="s">
        <v>401</v>
      </c>
      <c r="E1260" s="6">
        <v>0.45416666666666666</v>
      </c>
      <c r="F1260" s="6">
        <v>0.73472222222222228</v>
      </c>
      <c r="G1260" s="3" t="s">
        <v>20</v>
      </c>
      <c r="H1260" s="3" t="s">
        <v>14</v>
      </c>
      <c r="I1260" s="3" t="s">
        <v>21</v>
      </c>
    </row>
    <row r="1261" spans="1:9" s="3" customFormat="1" x14ac:dyDescent="0.3">
      <c r="A1261" s="3" t="s">
        <v>109</v>
      </c>
      <c r="B1261" s="3" t="s">
        <v>110</v>
      </c>
      <c r="C1261" s="3" t="s">
        <v>24</v>
      </c>
      <c r="D1261" s="3" t="s">
        <v>160</v>
      </c>
      <c r="E1261" s="6">
        <v>0.43541666666666667</v>
      </c>
      <c r="F1261" s="6">
        <v>0.80625000000000002</v>
      </c>
      <c r="G1261" s="3" t="s">
        <v>26</v>
      </c>
      <c r="H1261" s="3" t="s">
        <v>14</v>
      </c>
      <c r="I1261" s="3" t="s">
        <v>15</v>
      </c>
    </row>
    <row r="1262" spans="1:9" s="3" customFormat="1" x14ac:dyDescent="0.3">
      <c r="A1262" s="3" t="s">
        <v>40</v>
      </c>
      <c r="B1262" s="3" t="s">
        <v>41</v>
      </c>
      <c r="C1262" s="3" t="s">
        <v>18</v>
      </c>
      <c r="D1262" s="3" t="s">
        <v>263</v>
      </c>
      <c r="E1262" s="6">
        <v>0.46388888888888891</v>
      </c>
      <c r="F1262" s="6">
        <v>0.68263888888888891</v>
      </c>
      <c r="G1262" s="3" t="s">
        <v>26</v>
      </c>
      <c r="H1262" s="3" t="s">
        <v>14</v>
      </c>
      <c r="I1262" s="3" t="s">
        <v>15</v>
      </c>
    </row>
    <row r="1263" spans="1:9" s="3" customFormat="1" x14ac:dyDescent="0.3">
      <c r="A1263" s="3" t="s">
        <v>175</v>
      </c>
      <c r="B1263" s="3" t="s">
        <v>176</v>
      </c>
      <c r="C1263" s="3" t="s">
        <v>42</v>
      </c>
      <c r="D1263" s="3" t="s">
        <v>267</v>
      </c>
      <c r="E1263" s="6">
        <v>0.34861111111111109</v>
      </c>
      <c r="F1263" s="6">
        <v>0.74791666666666667</v>
      </c>
      <c r="G1263" s="3" t="s">
        <v>20</v>
      </c>
      <c r="H1263" s="3" t="s">
        <v>14</v>
      </c>
      <c r="I1263" s="3" t="s">
        <v>21</v>
      </c>
    </row>
    <row r="1264" spans="1:9" s="3" customFormat="1" x14ac:dyDescent="0.3">
      <c r="A1264" s="3" t="s">
        <v>9</v>
      </c>
      <c r="B1264" s="3" t="s">
        <v>10</v>
      </c>
      <c r="C1264" s="3" t="s">
        <v>18</v>
      </c>
      <c r="D1264" s="3" t="s">
        <v>399</v>
      </c>
      <c r="E1264" s="6">
        <v>0.4465277777777778</v>
      </c>
      <c r="F1264" s="6">
        <v>0.68194444444444446</v>
      </c>
      <c r="G1264" s="3" t="s">
        <v>26</v>
      </c>
      <c r="H1264" s="3" t="s">
        <v>27</v>
      </c>
      <c r="I1264" s="3" t="s">
        <v>21</v>
      </c>
    </row>
    <row r="1265" spans="1:9" s="3" customFormat="1" x14ac:dyDescent="0.3">
      <c r="A1265" s="3" t="s">
        <v>34</v>
      </c>
      <c r="B1265" s="3" t="s">
        <v>35</v>
      </c>
      <c r="C1265" s="3" t="s">
        <v>24</v>
      </c>
      <c r="D1265" s="3" t="s">
        <v>215</v>
      </c>
      <c r="E1265" s="6">
        <v>0.47430555555555554</v>
      </c>
      <c r="F1265" s="6">
        <v>0.73263888888888884</v>
      </c>
      <c r="G1265" s="3" t="s">
        <v>26</v>
      </c>
      <c r="H1265" s="3" t="s">
        <v>14</v>
      </c>
      <c r="I1265" s="3" t="s">
        <v>15</v>
      </c>
    </row>
    <row r="1266" spans="1:9" s="3" customFormat="1" x14ac:dyDescent="0.3">
      <c r="A1266" s="3" t="s">
        <v>75</v>
      </c>
      <c r="B1266" s="3" t="s">
        <v>76</v>
      </c>
      <c r="C1266" s="3" t="s">
        <v>18</v>
      </c>
      <c r="D1266" s="3" t="s">
        <v>207</v>
      </c>
      <c r="E1266" s="6">
        <v>0.3888888888888889</v>
      </c>
      <c r="F1266" s="6">
        <v>0.8125</v>
      </c>
      <c r="G1266" s="3" t="s">
        <v>20</v>
      </c>
      <c r="H1266" s="3" t="s">
        <v>27</v>
      </c>
      <c r="I1266" s="3" t="s">
        <v>21</v>
      </c>
    </row>
    <row r="1267" spans="1:9" s="3" customFormat="1" x14ac:dyDescent="0.3">
      <c r="A1267" s="3" t="s">
        <v>191</v>
      </c>
      <c r="B1267" s="3" t="s">
        <v>192</v>
      </c>
      <c r="C1267" s="3" t="s">
        <v>60</v>
      </c>
      <c r="D1267" s="3" t="s">
        <v>177</v>
      </c>
      <c r="E1267" s="6">
        <v>0.45347222222222222</v>
      </c>
      <c r="F1267" s="6">
        <v>0.75694444444444442</v>
      </c>
      <c r="G1267" s="3" t="s">
        <v>26</v>
      </c>
      <c r="H1267" s="3" t="s">
        <v>27</v>
      </c>
      <c r="I1267" s="3" t="s">
        <v>21</v>
      </c>
    </row>
    <row r="1268" spans="1:9" s="3" customFormat="1" x14ac:dyDescent="0.3">
      <c r="A1268" s="3" t="s">
        <v>197</v>
      </c>
      <c r="B1268" s="3" t="s">
        <v>198</v>
      </c>
      <c r="C1268" s="3" t="s">
        <v>18</v>
      </c>
      <c r="D1268" s="3" t="s">
        <v>240</v>
      </c>
      <c r="E1268" s="6">
        <v>0.40416666666666667</v>
      </c>
      <c r="F1268" s="6">
        <v>0.67083333333333328</v>
      </c>
      <c r="G1268" s="3" t="s">
        <v>13</v>
      </c>
      <c r="H1268" s="3" t="s">
        <v>27</v>
      </c>
      <c r="I1268" s="3" t="s">
        <v>21</v>
      </c>
    </row>
    <row r="1269" spans="1:9" s="3" customFormat="1" x14ac:dyDescent="0.3">
      <c r="A1269" s="3" t="s">
        <v>134</v>
      </c>
      <c r="B1269" s="3" t="s">
        <v>135</v>
      </c>
      <c r="C1269" s="3" t="s">
        <v>24</v>
      </c>
      <c r="D1269" s="3" t="s">
        <v>305</v>
      </c>
      <c r="E1269" s="6"/>
      <c r="F1269" s="6"/>
      <c r="G1269" s="3" t="s">
        <v>44</v>
      </c>
      <c r="H1269" s="3" t="s">
        <v>27</v>
      </c>
      <c r="I1269" s="3" t="s">
        <v>21</v>
      </c>
    </row>
    <row r="1270" spans="1:9" s="3" customFormat="1" x14ac:dyDescent="0.3">
      <c r="A1270" s="3" t="s">
        <v>58</v>
      </c>
      <c r="B1270" s="3" t="s">
        <v>59</v>
      </c>
      <c r="C1270" s="3" t="s">
        <v>18</v>
      </c>
      <c r="D1270" s="3" t="s">
        <v>343</v>
      </c>
      <c r="E1270" s="6">
        <v>0.33680555555555558</v>
      </c>
      <c r="F1270" s="6">
        <v>0.68472222222222223</v>
      </c>
      <c r="G1270" s="3" t="s">
        <v>26</v>
      </c>
      <c r="H1270" s="3" t="s">
        <v>14</v>
      </c>
      <c r="I1270" s="3" t="s">
        <v>15</v>
      </c>
    </row>
    <row r="1271" spans="1:9" s="3" customFormat="1" x14ac:dyDescent="0.3">
      <c r="A1271" s="3" t="s">
        <v>315</v>
      </c>
      <c r="B1271" s="3" t="s">
        <v>316</v>
      </c>
      <c r="C1271" s="3" t="s">
        <v>60</v>
      </c>
      <c r="D1271" s="3" t="s">
        <v>286</v>
      </c>
      <c r="E1271" s="6">
        <v>0.47708333333333336</v>
      </c>
      <c r="F1271" s="6">
        <v>0.72986111111111107</v>
      </c>
      <c r="G1271" s="3" t="s">
        <v>26</v>
      </c>
      <c r="H1271" s="3" t="s">
        <v>14</v>
      </c>
      <c r="I1271" s="3" t="s">
        <v>21</v>
      </c>
    </row>
    <row r="1272" spans="1:9" s="3" customFormat="1" x14ac:dyDescent="0.3">
      <c r="A1272" s="3" t="s">
        <v>141</v>
      </c>
      <c r="B1272" s="3" t="s">
        <v>142</v>
      </c>
      <c r="C1272" s="3" t="s">
        <v>18</v>
      </c>
      <c r="D1272" s="3" t="s">
        <v>108</v>
      </c>
      <c r="E1272" s="6"/>
      <c r="F1272" s="6"/>
      <c r="G1272" s="3" t="s">
        <v>44</v>
      </c>
      <c r="H1272" s="3" t="s">
        <v>27</v>
      </c>
      <c r="I1272" s="3" t="s">
        <v>15</v>
      </c>
    </row>
    <row r="1273" spans="1:9" s="3" customFormat="1" x14ac:dyDescent="0.3">
      <c r="A1273" s="3" t="s">
        <v>99</v>
      </c>
      <c r="B1273" s="3" t="s">
        <v>100</v>
      </c>
      <c r="C1273" s="3" t="s">
        <v>24</v>
      </c>
      <c r="D1273" s="3" t="s">
        <v>418</v>
      </c>
      <c r="E1273" s="6">
        <v>0.39652777777777776</v>
      </c>
      <c r="F1273" s="6">
        <v>0.69444444444444442</v>
      </c>
      <c r="G1273" s="3" t="s">
        <v>125</v>
      </c>
      <c r="H1273" s="3" t="s">
        <v>14</v>
      </c>
      <c r="I1273" s="3" t="s">
        <v>15</v>
      </c>
    </row>
    <row r="1274" spans="1:9" s="3" customFormat="1" x14ac:dyDescent="0.3">
      <c r="A1274" s="3" t="s">
        <v>141</v>
      </c>
      <c r="B1274" s="3" t="s">
        <v>142</v>
      </c>
      <c r="C1274" s="3" t="s">
        <v>42</v>
      </c>
      <c r="D1274" s="3" t="s">
        <v>342</v>
      </c>
      <c r="E1274" s="6">
        <v>0.37916666666666665</v>
      </c>
      <c r="F1274" s="6">
        <v>0.79374999999999996</v>
      </c>
      <c r="G1274" s="3" t="s">
        <v>26</v>
      </c>
      <c r="H1274" s="3" t="s">
        <v>27</v>
      </c>
      <c r="I1274" s="3" t="s">
        <v>15</v>
      </c>
    </row>
    <row r="1275" spans="1:9" s="3" customFormat="1" x14ac:dyDescent="0.3">
      <c r="A1275" s="3" t="s">
        <v>87</v>
      </c>
      <c r="B1275" s="3" t="s">
        <v>88</v>
      </c>
      <c r="C1275" s="3" t="s">
        <v>60</v>
      </c>
      <c r="D1275" s="3" t="s">
        <v>117</v>
      </c>
      <c r="E1275" s="6">
        <v>0.3888888888888889</v>
      </c>
      <c r="F1275" s="6">
        <v>0.74027777777777781</v>
      </c>
      <c r="G1275" s="3" t="s">
        <v>26</v>
      </c>
      <c r="H1275" s="3" t="s">
        <v>14</v>
      </c>
      <c r="I1275" s="3" t="s">
        <v>21</v>
      </c>
    </row>
    <row r="1276" spans="1:9" s="3" customFormat="1" x14ac:dyDescent="0.3">
      <c r="A1276" s="3" t="s">
        <v>34</v>
      </c>
      <c r="B1276" s="3" t="s">
        <v>35</v>
      </c>
      <c r="C1276" s="3" t="s">
        <v>64</v>
      </c>
      <c r="D1276" s="3" t="s">
        <v>375</v>
      </c>
      <c r="E1276" s="6"/>
      <c r="F1276" s="6"/>
      <c r="G1276" s="3" t="s">
        <v>44</v>
      </c>
      <c r="H1276" s="3" t="s">
        <v>27</v>
      </c>
      <c r="I1276" s="3" t="s">
        <v>15</v>
      </c>
    </row>
    <row r="1277" spans="1:9" s="3" customFormat="1" x14ac:dyDescent="0.3">
      <c r="A1277" s="3" t="s">
        <v>197</v>
      </c>
      <c r="B1277" s="3" t="s">
        <v>198</v>
      </c>
      <c r="C1277" s="3" t="s">
        <v>24</v>
      </c>
      <c r="D1277" s="3" t="s">
        <v>395</v>
      </c>
      <c r="E1277" s="6">
        <v>0.40625</v>
      </c>
      <c r="F1277" s="6">
        <v>0.85763888888888884</v>
      </c>
      <c r="G1277" s="3" t="s">
        <v>13</v>
      </c>
      <c r="H1277" s="3" t="s">
        <v>27</v>
      </c>
      <c r="I1277" s="3" t="s">
        <v>15</v>
      </c>
    </row>
    <row r="1278" spans="1:9" s="3" customFormat="1" x14ac:dyDescent="0.3">
      <c r="A1278" s="3" t="s">
        <v>84</v>
      </c>
      <c r="B1278" s="3" t="s">
        <v>85</v>
      </c>
      <c r="C1278" s="3" t="s">
        <v>42</v>
      </c>
      <c r="D1278" s="3" t="s">
        <v>98</v>
      </c>
      <c r="E1278" s="6">
        <v>0.39305555555555555</v>
      </c>
      <c r="F1278" s="6">
        <v>0.72430555555555554</v>
      </c>
      <c r="G1278" s="3" t="s">
        <v>20</v>
      </c>
      <c r="H1278" s="3" t="s">
        <v>27</v>
      </c>
      <c r="I1278" s="3" t="s">
        <v>21</v>
      </c>
    </row>
    <row r="1279" spans="1:9" s="3" customFormat="1" x14ac:dyDescent="0.3">
      <c r="A1279" s="3" t="s">
        <v>78</v>
      </c>
      <c r="B1279" s="3" t="s">
        <v>79</v>
      </c>
      <c r="C1279" s="3" t="s">
        <v>60</v>
      </c>
      <c r="D1279" s="3" t="s">
        <v>352</v>
      </c>
      <c r="E1279" s="6">
        <v>0.38472222222222224</v>
      </c>
      <c r="F1279" s="6">
        <v>0.77847222222222223</v>
      </c>
      <c r="G1279" s="3" t="s">
        <v>125</v>
      </c>
      <c r="H1279" s="3" t="s">
        <v>14</v>
      </c>
      <c r="I1279" s="3" t="s">
        <v>15</v>
      </c>
    </row>
    <row r="1280" spans="1:9" s="3" customFormat="1" x14ac:dyDescent="0.3">
      <c r="A1280" s="3" t="s">
        <v>34</v>
      </c>
      <c r="B1280" s="3" t="s">
        <v>35</v>
      </c>
      <c r="C1280" s="3" t="s">
        <v>60</v>
      </c>
      <c r="D1280" s="3" t="s">
        <v>403</v>
      </c>
      <c r="E1280" s="6">
        <v>0.45833333333333331</v>
      </c>
      <c r="F1280" s="6">
        <v>0.82222222222222219</v>
      </c>
      <c r="G1280" s="3" t="s">
        <v>26</v>
      </c>
      <c r="H1280" s="3" t="s">
        <v>27</v>
      </c>
      <c r="I1280" s="3" t="s">
        <v>15</v>
      </c>
    </row>
    <row r="1281" spans="1:9" s="3" customFormat="1" x14ac:dyDescent="0.3">
      <c r="A1281" s="3" t="s">
        <v>84</v>
      </c>
      <c r="B1281" s="3" t="s">
        <v>85</v>
      </c>
      <c r="C1281" s="3" t="s">
        <v>24</v>
      </c>
      <c r="D1281" s="3" t="s">
        <v>286</v>
      </c>
      <c r="E1281" s="6">
        <v>0.36180555555555555</v>
      </c>
      <c r="F1281" s="6">
        <v>0.78402777777777777</v>
      </c>
      <c r="G1281" s="3" t="s">
        <v>26</v>
      </c>
      <c r="H1281" s="3" t="s">
        <v>14</v>
      </c>
      <c r="I1281" s="3" t="s">
        <v>21</v>
      </c>
    </row>
    <row r="1282" spans="1:9" s="3" customFormat="1" x14ac:dyDescent="0.3">
      <c r="A1282" s="3" t="s">
        <v>146</v>
      </c>
      <c r="B1282" s="3" t="s">
        <v>147</v>
      </c>
      <c r="C1282" s="3" t="s">
        <v>167</v>
      </c>
      <c r="D1282" s="3" t="s">
        <v>220</v>
      </c>
      <c r="E1282" s="6">
        <v>0.43541666666666667</v>
      </c>
      <c r="F1282" s="6">
        <v>0.72013888888888888</v>
      </c>
      <c r="G1282" s="3" t="s">
        <v>13</v>
      </c>
      <c r="H1282" s="3" t="s">
        <v>27</v>
      </c>
      <c r="I1282" s="3" t="s">
        <v>21</v>
      </c>
    </row>
    <row r="1283" spans="1:9" s="3" customFormat="1" x14ac:dyDescent="0.3">
      <c r="A1283" s="3" t="s">
        <v>84</v>
      </c>
      <c r="B1283" s="3" t="s">
        <v>85</v>
      </c>
      <c r="C1283" s="3" t="s">
        <v>64</v>
      </c>
      <c r="D1283" s="3" t="s">
        <v>366</v>
      </c>
      <c r="E1283" s="6">
        <v>0.41249999999999998</v>
      </c>
      <c r="F1283" s="6">
        <v>0.87083333333333335</v>
      </c>
      <c r="G1283" s="3" t="s">
        <v>20</v>
      </c>
      <c r="H1283" s="3" t="s">
        <v>14</v>
      </c>
      <c r="I1283" s="3" t="s">
        <v>15</v>
      </c>
    </row>
    <row r="1284" spans="1:9" s="3" customFormat="1" x14ac:dyDescent="0.3">
      <c r="A1284" s="3" t="s">
        <v>34</v>
      </c>
      <c r="B1284" s="3" t="s">
        <v>35</v>
      </c>
      <c r="C1284" s="3" t="s">
        <v>64</v>
      </c>
      <c r="D1284" s="3" t="s">
        <v>180</v>
      </c>
      <c r="E1284" s="6"/>
      <c r="F1284" s="6"/>
      <c r="G1284" s="3" t="s">
        <v>44</v>
      </c>
      <c r="H1284" s="3" t="s">
        <v>14</v>
      </c>
      <c r="I1284" s="3" t="s">
        <v>15</v>
      </c>
    </row>
    <row r="1285" spans="1:9" s="3" customFormat="1" x14ac:dyDescent="0.3">
      <c r="A1285" s="3" t="s">
        <v>22</v>
      </c>
      <c r="B1285" s="3" t="s">
        <v>23</v>
      </c>
      <c r="C1285" s="3" t="s">
        <v>64</v>
      </c>
      <c r="D1285" s="3" t="s">
        <v>398</v>
      </c>
      <c r="E1285" s="6">
        <v>0.34791666666666665</v>
      </c>
      <c r="F1285" s="6">
        <v>0.84861111111111109</v>
      </c>
      <c r="G1285" s="3" t="s">
        <v>13</v>
      </c>
      <c r="H1285" s="3" t="s">
        <v>27</v>
      </c>
      <c r="I1285" s="3" t="s">
        <v>21</v>
      </c>
    </row>
    <row r="1286" spans="1:9" s="3" customFormat="1" x14ac:dyDescent="0.3">
      <c r="A1286" s="3" t="s">
        <v>250</v>
      </c>
      <c r="B1286" s="3" t="s">
        <v>251</v>
      </c>
      <c r="C1286" s="3" t="s">
        <v>60</v>
      </c>
      <c r="D1286" s="3" t="s">
        <v>263</v>
      </c>
      <c r="E1286" s="6">
        <v>0.43958333333333333</v>
      </c>
      <c r="F1286" s="6">
        <v>0.83888888888888891</v>
      </c>
      <c r="G1286" s="3" t="s">
        <v>13</v>
      </c>
      <c r="H1286" s="3" t="s">
        <v>27</v>
      </c>
      <c r="I1286" s="3" t="s">
        <v>15</v>
      </c>
    </row>
    <row r="1287" spans="1:9" s="3" customFormat="1" x14ac:dyDescent="0.3">
      <c r="A1287" s="3" t="s">
        <v>81</v>
      </c>
      <c r="B1287" s="3" t="s">
        <v>82</v>
      </c>
      <c r="C1287" s="3" t="s">
        <v>24</v>
      </c>
      <c r="D1287" s="3" t="s">
        <v>227</v>
      </c>
      <c r="E1287" s="6"/>
      <c r="F1287" s="6"/>
      <c r="G1287" s="3" t="s">
        <v>44</v>
      </c>
      <c r="H1287" s="3" t="s">
        <v>27</v>
      </c>
      <c r="I1287" s="3" t="s">
        <v>21</v>
      </c>
    </row>
    <row r="1288" spans="1:9" s="3" customFormat="1" x14ac:dyDescent="0.3">
      <c r="A1288" s="3" t="s">
        <v>119</v>
      </c>
      <c r="B1288" s="3" t="s">
        <v>120</v>
      </c>
      <c r="C1288" s="3" t="s">
        <v>18</v>
      </c>
      <c r="D1288" s="3" t="s">
        <v>189</v>
      </c>
      <c r="E1288" s="6"/>
      <c r="F1288" s="6"/>
      <c r="G1288" s="3" t="s">
        <v>44</v>
      </c>
      <c r="H1288" s="3" t="s">
        <v>27</v>
      </c>
      <c r="I1288" s="3" t="s">
        <v>21</v>
      </c>
    </row>
    <row r="1289" spans="1:9" s="3" customFormat="1" x14ac:dyDescent="0.3">
      <c r="A1289" s="3" t="s">
        <v>197</v>
      </c>
      <c r="B1289" s="3" t="s">
        <v>198</v>
      </c>
      <c r="C1289" s="3" t="s">
        <v>24</v>
      </c>
      <c r="D1289" s="3" t="s">
        <v>412</v>
      </c>
      <c r="E1289" s="6">
        <v>0.33680555555555558</v>
      </c>
      <c r="F1289" s="6">
        <v>0.86458333333333337</v>
      </c>
      <c r="G1289" s="3" t="s">
        <v>125</v>
      </c>
      <c r="H1289" s="3" t="s">
        <v>14</v>
      </c>
      <c r="I1289" s="3" t="s">
        <v>21</v>
      </c>
    </row>
    <row r="1290" spans="1:9" s="3" customFormat="1" x14ac:dyDescent="0.3">
      <c r="A1290" s="3" t="s">
        <v>191</v>
      </c>
      <c r="B1290" s="3" t="s">
        <v>192</v>
      </c>
      <c r="C1290" s="3" t="s">
        <v>64</v>
      </c>
      <c r="D1290" s="3" t="s">
        <v>325</v>
      </c>
      <c r="E1290" s="6"/>
      <c r="F1290" s="6"/>
      <c r="G1290" s="3" t="s">
        <v>44</v>
      </c>
      <c r="H1290" s="3" t="s">
        <v>14</v>
      </c>
      <c r="I1290" s="3" t="s">
        <v>21</v>
      </c>
    </row>
    <row r="1291" spans="1:9" s="3" customFormat="1" x14ac:dyDescent="0.3">
      <c r="A1291" s="3" t="s">
        <v>16</v>
      </c>
      <c r="B1291" s="3" t="s">
        <v>17</v>
      </c>
      <c r="C1291" s="3" t="s">
        <v>18</v>
      </c>
      <c r="D1291" s="3" t="s">
        <v>290</v>
      </c>
      <c r="E1291" s="6">
        <v>0.47083333333333333</v>
      </c>
      <c r="F1291" s="6">
        <v>0.85069444444444442</v>
      </c>
      <c r="G1291" s="3" t="s">
        <v>20</v>
      </c>
      <c r="H1291" s="3" t="s">
        <v>14</v>
      </c>
      <c r="I1291" s="3" t="s">
        <v>15</v>
      </c>
    </row>
    <row r="1292" spans="1:9" s="3" customFormat="1" x14ac:dyDescent="0.3">
      <c r="A1292" s="3" t="s">
        <v>246</v>
      </c>
      <c r="B1292" s="3" t="s">
        <v>247</v>
      </c>
      <c r="C1292" s="3" t="s">
        <v>60</v>
      </c>
      <c r="D1292" s="3" t="s">
        <v>317</v>
      </c>
      <c r="E1292" s="6">
        <v>0.48888888888888887</v>
      </c>
      <c r="F1292" s="6">
        <v>0.76736111111111116</v>
      </c>
      <c r="G1292" s="3" t="s">
        <v>20</v>
      </c>
      <c r="H1292" s="3" t="s">
        <v>27</v>
      </c>
      <c r="I1292" s="3" t="s">
        <v>15</v>
      </c>
    </row>
    <row r="1293" spans="1:9" s="3" customFormat="1" x14ac:dyDescent="0.3">
      <c r="A1293" s="3" t="s">
        <v>78</v>
      </c>
      <c r="B1293" s="3" t="s">
        <v>79</v>
      </c>
      <c r="C1293" s="3" t="s">
        <v>42</v>
      </c>
      <c r="D1293" s="3" t="s">
        <v>101</v>
      </c>
      <c r="E1293" s="6">
        <v>0.35694444444444445</v>
      </c>
      <c r="F1293" s="6">
        <v>0.7993055555555556</v>
      </c>
      <c r="G1293" s="3" t="s">
        <v>26</v>
      </c>
      <c r="H1293" s="3" t="s">
        <v>14</v>
      </c>
      <c r="I1293" s="3" t="s">
        <v>15</v>
      </c>
    </row>
    <row r="1294" spans="1:9" s="3" customFormat="1" x14ac:dyDescent="0.3">
      <c r="A1294" s="3" t="s">
        <v>52</v>
      </c>
      <c r="B1294" s="3" t="s">
        <v>53</v>
      </c>
      <c r="C1294" s="3" t="s">
        <v>60</v>
      </c>
      <c r="D1294" s="3" t="s">
        <v>174</v>
      </c>
      <c r="E1294" s="6">
        <v>0.35972222222222222</v>
      </c>
      <c r="F1294" s="6">
        <v>0.8208333333333333</v>
      </c>
      <c r="G1294" s="3" t="s">
        <v>26</v>
      </c>
      <c r="H1294" s="3" t="s">
        <v>27</v>
      </c>
      <c r="I1294" s="3" t="s">
        <v>15</v>
      </c>
    </row>
    <row r="1295" spans="1:9" s="3" customFormat="1" x14ac:dyDescent="0.3">
      <c r="A1295" s="3" t="s">
        <v>22</v>
      </c>
      <c r="B1295" s="3" t="s">
        <v>23</v>
      </c>
      <c r="C1295" s="3" t="s">
        <v>18</v>
      </c>
      <c r="D1295" s="3" t="s">
        <v>180</v>
      </c>
      <c r="E1295" s="6">
        <v>0.34097222222222223</v>
      </c>
      <c r="F1295" s="6">
        <v>0.77569444444444446</v>
      </c>
      <c r="G1295" s="3" t="s">
        <v>13</v>
      </c>
      <c r="H1295" s="3" t="s">
        <v>14</v>
      </c>
      <c r="I1295" s="3" t="s">
        <v>21</v>
      </c>
    </row>
    <row r="1296" spans="1:9" s="3" customFormat="1" x14ac:dyDescent="0.3">
      <c r="A1296" s="3" t="s">
        <v>78</v>
      </c>
      <c r="B1296" s="3" t="s">
        <v>79</v>
      </c>
      <c r="C1296" s="3" t="s">
        <v>64</v>
      </c>
      <c r="D1296" s="3" t="s">
        <v>241</v>
      </c>
      <c r="E1296" s="6">
        <v>0.42152777777777778</v>
      </c>
      <c r="F1296" s="6">
        <v>0.7631944444444444</v>
      </c>
      <c r="G1296" s="3" t="s">
        <v>26</v>
      </c>
      <c r="H1296" s="3" t="s">
        <v>14</v>
      </c>
      <c r="I1296" s="3" t="s">
        <v>15</v>
      </c>
    </row>
    <row r="1297" spans="1:9" s="3" customFormat="1" x14ac:dyDescent="0.3">
      <c r="A1297" s="3" t="s">
        <v>34</v>
      </c>
      <c r="B1297" s="3" t="s">
        <v>35</v>
      </c>
      <c r="C1297" s="3" t="s">
        <v>18</v>
      </c>
      <c r="D1297" s="3" t="s">
        <v>340</v>
      </c>
      <c r="E1297" s="6"/>
      <c r="F1297" s="6"/>
      <c r="G1297" s="3" t="s">
        <v>44</v>
      </c>
      <c r="H1297" s="3" t="s">
        <v>27</v>
      </c>
      <c r="I1297" s="3" t="s">
        <v>21</v>
      </c>
    </row>
    <row r="1298" spans="1:9" s="3" customFormat="1" x14ac:dyDescent="0.3">
      <c r="A1298" s="3" t="s">
        <v>9</v>
      </c>
      <c r="B1298" s="3" t="s">
        <v>10</v>
      </c>
      <c r="C1298" s="3" t="s">
        <v>18</v>
      </c>
      <c r="D1298" s="3" t="s">
        <v>379</v>
      </c>
      <c r="E1298" s="6">
        <v>0.38541666666666669</v>
      </c>
      <c r="F1298" s="6">
        <v>0.6791666666666667</v>
      </c>
      <c r="G1298" s="3" t="s">
        <v>13</v>
      </c>
      <c r="H1298" s="3" t="s">
        <v>27</v>
      </c>
      <c r="I1298" s="3" t="s">
        <v>21</v>
      </c>
    </row>
    <row r="1299" spans="1:9" s="3" customFormat="1" x14ac:dyDescent="0.3">
      <c r="A1299" s="3" t="s">
        <v>213</v>
      </c>
      <c r="B1299" s="3" t="s">
        <v>214</v>
      </c>
      <c r="C1299" s="3" t="s">
        <v>42</v>
      </c>
      <c r="D1299" s="3" t="s">
        <v>301</v>
      </c>
      <c r="E1299" s="6">
        <v>0.48333333333333334</v>
      </c>
      <c r="F1299" s="6">
        <v>0.86388888888888893</v>
      </c>
      <c r="G1299" s="3" t="s">
        <v>13</v>
      </c>
      <c r="H1299" s="3" t="s">
        <v>27</v>
      </c>
      <c r="I1299" s="3" t="s">
        <v>15</v>
      </c>
    </row>
    <row r="1300" spans="1:9" s="3" customFormat="1" x14ac:dyDescent="0.3">
      <c r="A1300" s="3" t="s">
        <v>22</v>
      </c>
      <c r="B1300" s="3" t="s">
        <v>23</v>
      </c>
      <c r="C1300" s="3" t="s">
        <v>60</v>
      </c>
      <c r="D1300" s="3" t="s">
        <v>277</v>
      </c>
      <c r="E1300" s="6">
        <v>0.3611111111111111</v>
      </c>
      <c r="F1300" s="6">
        <v>0.8</v>
      </c>
      <c r="G1300" s="3" t="s">
        <v>20</v>
      </c>
      <c r="H1300" s="3" t="s">
        <v>14</v>
      </c>
      <c r="I1300" s="3" t="s">
        <v>15</v>
      </c>
    </row>
    <row r="1301" spans="1:9" s="3" customFormat="1" x14ac:dyDescent="0.3">
      <c r="A1301" s="3" t="s">
        <v>16</v>
      </c>
      <c r="B1301" s="3" t="s">
        <v>17</v>
      </c>
      <c r="C1301" s="3" t="s">
        <v>42</v>
      </c>
      <c r="D1301" s="3" t="s">
        <v>114</v>
      </c>
      <c r="E1301" s="6">
        <v>0.38611111111111113</v>
      </c>
      <c r="F1301" s="6">
        <v>0.77013888888888893</v>
      </c>
      <c r="G1301" s="3" t="s">
        <v>13</v>
      </c>
      <c r="H1301" s="3" t="s">
        <v>27</v>
      </c>
      <c r="I1301" s="3" t="s">
        <v>21</v>
      </c>
    </row>
    <row r="1302" spans="1:9" s="3" customFormat="1" x14ac:dyDescent="0.3">
      <c r="A1302" s="3" t="s">
        <v>224</v>
      </c>
      <c r="B1302" s="3" t="s">
        <v>225</v>
      </c>
      <c r="C1302" s="3" t="s">
        <v>24</v>
      </c>
      <c r="D1302" s="3" t="s">
        <v>185</v>
      </c>
      <c r="E1302" s="6">
        <v>0.34861111111111109</v>
      </c>
      <c r="F1302" s="6">
        <v>0.80208333333333337</v>
      </c>
      <c r="G1302" s="3" t="s">
        <v>20</v>
      </c>
      <c r="H1302" s="3" t="s">
        <v>14</v>
      </c>
      <c r="I1302" s="3" t="s">
        <v>21</v>
      </c>
    </row>
    <row r="1303" spans="1:9" s="3" customFormat="1" x14ac:dyDescent="0.3">
      <c r="A1303" s="3" t="s">
        <v>213</v>
      </c>
      <c r="B1303" s="3" t="s">
        <v>214</v>
      </c>
      <c r="C1303" s="3" t="s">
        <v>60</v>
      </c>
      <c r="D1303" s="3" t="s">
        <v>132</v>
      </c>
      <c r="E1303" s="6">
        <v>0.49652777777777779</v>
      </c>
      <c r="F1303" s="6">
        <v>0.85069444444444442</v>
      </c>
      <c r="G1303" s="3" t="s">
        <v>26</v>
      </c>
      <c r="H1303" s="3" t="s">
        <v>27</v>
      </c>
      <c r="I1303" s="3" t="s">
        <v>15</v>
      </c>
    </row>
    <row r="1304" spans="1:9" s="3" customFormat="1" x14ac:dyDescent="0.3">
      <c r="A1304" s="3" t="s">
        <v>134</v>
      </c>
      <c r="B1304" s="3" t="s">
        <v>135</v>
      </c>
      <c r="C1304" s="3" t="s">
        <v>18</v>
      </c>
      <c r="D1304" s="3" t="s">
        <v>168</v>
      </c>
      <c r="E1304" s="6">
        <v>0.46805555555555556</v>
      </c>
      <c r="F1304" s="6">
        <v>0.84305555555555556</v>
      </c>
      <c r="G1304" s="3" t="s">
        <v>20</v>
      </c>
      <c r="H1304" s="3" t="s">
        <v>27</v>
      </c>
      <c r="I1304" s="3" t="s">
        <v>15</v>
      </c>
    </row>
    <row r="1305" spans="1:9" s="3" customFormat="1" x14ac:dyDescent="0.3">
      <c r="A1305" s="3" t="s">
        <v>78</v>
      </c>
      <c r="B1305" s="3" t="s">
        <v>79</v>
      </c>
      <c r="C1305" s="3" t="s">
        <v>18</v>
      </c>
      <c r="D1305" s="3" t="s">
        <v>128</v>
      </c>
      <c r="E1305" s="6"/>
      <c r="F1305" s="6"/>
      <c r="G1305" s="3" t="s">
        <v>44</v>
      </c>
      <c r="H1305" s="3" t="s">
        <v>27</v>
      </c>
      <c r="I1305" s="3" t="s">
        <v>21</v>
      </c>
    </row>
    <row r="1306" spans="1:9" s="3" customFormat="1" x14ac:dyDescent="0.3">
      <c r="A1306" s="3" t="s">
        <v>191</v>
      </c>
      <c r="B1306" s="3" t="s">
        <v>192</v>
      </c>
      <c r="C1306" s="3" t="s">
        <v>24</v>
      </c>
      <c r="D1306" s="3" t="s">
        <v>299</v>
      </c>
      <c r="E1306" s="6">
        <v>0.46666666666666667</v>
      </c>
      <c r="F1306" s="6">
        <v>0.85833333333333328</v>
      </c>
      <c r="G1306" s="3" t="s">
        <v>13</v>
      </c>
      <c r="H1306" s="3" t="s">
        <v>14</v>
      </c>
      <c r="I1306" s="3" t="s">
        <v>15</v>
      </c>
    </row>
    <row r="1307" spans="1:9" s="3" customFormat="1" x14ac:dyDescent="0.3">
      <c r="A1307" s="3" t="s">
        <v>150</v>
      </c>
      <c r="B1307" s="3" t="s">
        <v>151</v>
      </c>
      <c r="C1307" s="3" t="s">
        <v>24</v>
      </c>
      <c r="D1307" s="3" t="s">
        <v>268</v>
      </c>
      <c r="E1307" s="6"/>
      <c r="F1307" s="6"/>
      <c r="G1307" s="3" t="s">
        <v>44</v>
      </c>
      <c r="H1307" s="3" t="s">
        <v>27</v>
      </c>
      <c r="I1307" s="3" t="s">
        <v>15</v>
      </c>
    </row>
    <row r="1308" spans="1:9" s="3" customFormat="1" x14ac:dyDescent="0.3">
      <c r="A1308" s="3" t="s">
        <v>31</v>
      </c>
      <c r="B1308" s="3" t="s">
        <v>32</v>
      </c>
      <c r="C1308" s="3" t="s">
        <v>60</v>
      </c>
      <c r="D1308" s="3" t="s">
        <v>54</v>
      </c>
      <c r="E1308" s="6">
        <v>0.37361111111111112</v>
      </c>
      <c r="F1308" s="6">
        <v>0.82638888888888884</v>
      </c>
      <c r="G1308" s="3" t="s">
        <v>13</v>
      </c>
      <c r="H1308" s="3" t="s">
        <v>27</v>
      </c>
      <c r="I1308" s="3" t="s">
        <v>21</v>
      </c>
    </row>
    <row r="1309" spans="1:9" s="3" customFormat="1" x14ac:dyDescent="0.3">
      <c r="A1309" s="3" t="s">
        <v>122</v>
      </c>
      <c r="B1309" s="3" t="s">
        <v>123</v>
      </c>
      <c r="C1309" s="3" t="s">
        <v>24</v>
      </c>
      <c r="D1309" s="3" t="s">
        <v>162</v>
      </c>
      <c r="E1309" s="6">
        <v>0.44791666666666669</v>
      </c>
      <c r="F1309" s="6">
        <v>0.79305555555555551</v>
      </c>
      <c r="G1309" s="3" t="s">
        <v>26</v>
      </c>
      <c r="H1309" s="3" t="s">
        <v>27</v>
      </c>
      <c r="I1309" s="3" t="s">
        <v>15</v>
      </c>
    </row>
    <row r="1310" spans="1:9" s="3" customFormat="1" x14ac:dyDescent="0.3">
      <c r="A1310" s="3" t="s">
        <v>69</v>
      </c>
      <c r="B1310" s="3" t="s">
        <v>70</v>
      </c>
      <c r="C1310" s="3" t="s">
        <v>18</v>
      </c>
      <c r="D1310" s="3" t="s">
        <v>389</v>
      </c>
      <c r="E1310" s="6">
        <v>0.3888888888888889</v>
      </c>
      <c r="F1310" s="6">
        <v>0.7583333333333333</v>
      </c>
      <c r="G1310" s="3" t="s">
        <v>20</v>
      </c>
      <c r="H1310" s="3" t="s">
        <v>27</v>
      </c>
      <c r="I1310" s="3" t="s">
        <v>15</v>
      </c>
    </row>
    <row r="1311" spans="1:9" s="3" customFormat="1" x14ac:dyDescent="0.3">
      <c r="A1311" s="3" t="s">
        <v>338</v>
      </c>
      <c r="B1311" s="3" t="s">
        <v>339</v>
      </c>
      <c r="C1311" s="3" t="s">
        <v>64</v>
      </c>
      <c r="D1311" s="3" t="s">
        <v>311</v>
      </c>
      <c r="E1311" s="6">
        <v>0.3888888888888889</v>
      </c>
      <c r="F1311" s="6">
        <v>0.80833333333333335</v>
      </c>
      <c r="G1311" s="3" t="s">
        <v>26</v>
      </c>
      <c r="H1311" s="3" t="s">
        <v>14</v>
      </c>
      <c r="I1311" s="3" t="s">
        <v>15</v>
      </c>
    </row>
    <row r="1312" spans="1:9" s="3" customFormat="1" x14ac:dyDescent="0.3">
      <c r="A1312" s="3" t="s">
        <v>216</v>
      </c>
      <c r="B1312" s="3" t="s">
        <v>217</v>
      </c>
      <c r="C1312" s="3" t="s">
        <v>18</v>
      </c>
      <c r="D1312" s="3" t="s">
        <v>415</v>
      </c>
      <c r="E1312" s="6">
        <v>0.47708333333333336</v>
      </c>
      <c r="F1312" s="6">
        <v>0.6791666666666667</v>
      </c>
      <c r="G1312" s="3" t="s">
        <v>13</v>
      </c>
      <c r="H1312" s="3" t="s">
        <v>14</v>
      </c>
      <c r="I1312" s="3" t="s">
        <v>15</v>
      </c>
    </row>
    <row r="1313" spans="1:9" s="3" customFormat="1" x14ac:dyDescent="0.3">
      <c r="A1313" s="3" t="s">
        <v>109</v>
      </c>
      <c r="B1313" s="3" t="s">
        <v>110</v>
      </c>
      <c r="C1313" s="3" t="s">
        <v>42</v>
      </c>
      <c r="D1313" s="3" t="s">
        <v>129</v>
      </c>
      <c r="E1313" s="6"/>
      <c r="F1313" s="6"/>
      <c r="G1313" s="3" t="s">
        <v>44</v>
      </c>
      <c r="H1313" s="3" t="s">
        <v>27</v>
      </c>
      <c r="I1313" s="3" t="s">
        <v>21</v>
      </c>
    </row>
    <row r="1314" spans="1:9" s="3" customFormat="1" x14ac:dyDescent="0.3">
      <c r="A1314" s="3" t="s">
        <v>99</v>
      </c>
      <c r="B1314" s="3" t="s">
        <v>100</v>
      </c>
      <c r="C1314" s="3" t="s">
        <v>11</v>
      </c>
      <c r="D1314" s="3" t="s">
        <v>384</v>
      </c>
      <c r="E1314" s="6">
        <v>0.49513888888888891</v>
      </c>
      <c r="F1314" s="6">
        <v>0.70486111111111116</v>
      </c>
      <c r="G1314" s="3" t="s">
        <v>26</v>
      </c>
      <c r="H1314" s="3" t="s">
        <v>14</v>
      </c>
      <c r="I1314" s="3" t="s">
        <v>15</v>
      </c>
    </row>
    <row r="1315" spans="1:9" s="3" customFormat="1" x14ac:dyDescent="0.3">
      <c r="A1315" s="3" t="s">
        <v>69</v>
      </c>
      <c r="B1315" s="3" t="s">
        <v>70</v>
      </c>
      <c r="C1315" s="3" t="s">
        <v>60</v>
      </c>
      <c r="D1315" s="3" t="s">
        <v>257</v>
      </c>
      <c r="E1315" s="6">
        <v>0.48472222222222222</v>
      </c>
      <c r="F1315" s="6">
        <v>0.74930555555555556</v>
      </c>
      <c r="G1315" s="3" t="s">
        <v>13</v>
      </c>
      <c r="H1315" s="3" t="s">
        <v>27</v>
      </c>
      <c r="I1315" s="3" t="s">
        <v>21</v>
      </c>
    </row>
    <row r="1316" spans="1:9" s="3" customFormat="1" x14ac:dyDescent="0.3">
      <c r="A1316" s="3" t="s">
        <v>22</v>
      </c>
      <c r="B1316" s="3" t="s">
        <v>23</v>
      </c>
      <c r="C1316" s="3" t="s">
        <v>60</v>
      </c>
      <c r="D1316" s="3" t="s">
        <v>411</v>
      </c>
      <c r="E1316" s="6">
        <v>0.39027777777777778</v>
      </c>
      <c r="F1316" s="6">
        <v>0.66874999999999996</v>
      </c>
      <c r="G1316" s="3" t="s">
        <v>13</v>
      </c>
      <c r="H1316" s="3" t="s">
        <v>14</v>
      </c>
      <c r="I1316" s="3" t="s">
        <v>15</v>
      </c>
    </row>
    <row r="1317" spans="1:9" s="3" customFormat="1" x14ac:dyDescent="0.3">
      <c r="A1317" s="3" t="s">
        <v>16</v>
      </c>
      <c r="B1317" s="3" t="s">
        <v>17</v>
      </c>
      <c r="C1317" s="3" t="s">
        <v>42</v>
      </c>
      <c r="D1317" s="3" t="s">
        <v>54</v>
      </c>
      <c r="E1317" s="6">
        <v>0.40972222222222221</v>
      </c>
      <c r="F1317" s="6">
        <v>0.83402777777777781</v>
      </c>
      <c r="G1317" s="3" t="s">
        <v>26</v>
      </c>
      <c r="H1317" s="3" t="s">
        <v>27</v>
      </c>
      <c r="I1317" s="3" t="s">
        <v>21</v>
      </c>
    </row>
    <row r="1318" spans="1:9" s="3" customFormat="1" x14ac:dyDescent="0.3">
      <c r="A1318" s="3" t="s">
        <v>96</v>
      </c>
      <c r="B1318" s="3" t="s">
        <v>97</v>
      </c>
      <c r="C1318" s="3" t="s">
        <v>24</v>
      </c>
      <c r="D1318" s="3" t="s">
        <v>183</v>
      </c>
      <c r="E1318" s="6">
        <v>0.49027777777777776</v>
      </c>
      <c r="F1318" s="6">
        <v>0.70277777777777772</v>
      </c>
      <c r="G1318" s="3" t="s">
        <v>26</v>
      </c>
      <c r="H1318" s="3" t="s">
        <v>14</v>
      </c>
      <c r="I1318" s="3" t="s">
        <v>21</v>
      </c>
    </row>
    <row r="1319" spans="1:9" s="3" customFormat="1" x14ac:dyDescent="0.3">
      <c r="A1319" s="3" t="s">
        <v>55</v>
      </c>
      <c r="B1319" s="3" t="s">
        <v>56</v>
      </c>
      <c r="C1319" s="3" t="s">
        <v>18</v>
      </c>
      <c r="D1319" s="3" t="s">
        <v>285</v>
      </c>
      <c r="E1319" s="6">
        <v>0.49027777777777776</v>
      </c>
      <c r="F1319" s="6">
        <v>0.8</v>
      </c>
      <c r="G1319" s="3" t="s">
        <v>26</v>
      </c>
      <c r="H1319" s="3" t="s">
        <v>27</v>
      </c>
      <c r="I1319" s="3" t="s">
        <v>21</v>
      </c>
    </row>
    <row r="1320" spans="1:9" s="3" customFormat="1" x14ac:dyDescent="0.3">
      <c r="A1320" s="3" t="s">
        <v>40</v>
      </c>
      <c r="B1320" s="3" t="s">
        <v>41</v>
      </c>
      <c r="C1320" s="3" t="s">
        <v>18</v>
      </c>
      <c r="D1320" s="3" t="s">
        <v>89</v>
      </c>
      <c r="E1320" s="6">
        <v>0.44583333333333336</v>
      </c>
      <c r="F1320" s="6">
        <v>0.75</v>
      </c>
      <c r="G1320" s="3" t="s">
        <v>274</v>
      </c>
      <c r="H1320" s="3" t="s">
        <v>27</v>
      </c>
      <c r="I1320" s="3" t="s">
        <v>21</v>
      </c>
    </row>
    <row r="1321" spans="1:9" s="3" customFormat="1" x14ac:dyDescent="0.3">
      <c r="A1321" s="3" t="s">
        <v>246</v>
      </c>
      <c r="B1321" s="3" t="s">
        <v>247</v>
      </c>
      <c r="C1321" s="3" t="s">
        <v>42</v>
      </c>
      <c r="D1321" s="3" t="s">
        <v>111</v>
      </c>
      <c r="E1321" s="6">
        <v>0.38472222222222224</v>
      </c>
      <c r="F1321" s="6">
        <v>0.70625000000000004</v>
      </c>
      <c r="G1321" s="3" t="s">
        <v>13</v>
      </c>
      <c r="H1321" s="3" t="s">
        <v>14</v>
      </c>
      <c r="I1321" s="3" t="s">
        <v>15</v>
      </c>
    </row>
    <row r="1322" spans="1:9" s="3" customFormat="1" x14ac:dyDescent="0.3">
      <c r="A1322" s="3" t="s">
        <v>55</v>
      </c>
      <c r="B1322" s="3" t="s">
        <v>56</v>
      </c>
      <c r="C1322" s="3" t="s">
        <v>24</v>
      </c>
      <c r="D1322" s="3" t="s">
        <v>230</v>
      </c>
      <c r="E1322" s="6">
        <v>0.41875000000000001</v>
      </c>
      <c r="F1322" s="6">
        <v>0.71250000000000002</v>
      </c>
      <c r="G1322" s="3" t="s">
        <v>26</v>
      </c>
      <c r="H1322" s="3" t="s">
        <v>27</v>
      </c>
      <c r="I1322" s="3" t="s">
        <v>15</v>
      </c>
    </row>
    <row r="1323" spans="1:9" s="3" customFormat="1" x14ac:dyDescent="0.3">
      <c r="A1323" s="3" t="s">
        <v>37</v>
      </c>
      <c r="B1323" s="3" t="s">
        <v>38</v>
      </c>
      <c r="C1323" s="3" t="s">
        <v>24</v>
      </c>
      <c r="D1323" s="3" t="s">
        <v>330</v>
      </c>
      <c r="E1323" s="6">
        <v>0.43888888888888888</v>
      </c>
      <c r="F1323" s="6">
        <v>0.73819444444444449</v>
      </c>
      <c r="G1323" s="3" t="s">
        <v>170</v>
      </c>
      <c r="H1323" s="3" t="s">
        <v>14</v>
      </c>
      <c r="I1323" s="3" t="s">
        <v>15</v>
      </c>
    </row>
    <row r="1324" spans="1:9" s="3" customFormat="1" x14ac:dyDescent="0.3">
      <c r="A1324" s="3" t="s">
        <v>146</v>
      </c>
      <c r="B1324" s="3" t="s">
        <v>147</v>
      </c>
      <c r="C1324" s="3" t="s">
        <v>64</v>
      </c>
      <c r="D1324" s="3" t="s">
        <v>253</v>
      </c>
      <c r="E1324" s="6">
        <v>0.38263888888888886</v>
      </c>
      <c r="F1324" s="6">
        <v>0.78888888888888886</v>
      </c>
      <c r="G1324" s="3" t="s">
        <v>125</v>
      </c>
      <c r="H1324" s="3" t="s">
        <v>27</v>
      </c>
      <c r="I1324" s="3" t="s">
        <v>15</v>
      </c>
    </row>
    <row r="1325" spans="1:9" s="3" customFormat="1" x14ac:dyDescent="0.3">
      <c r="A1325" s="3" t="s">
        <v>236</v>
      </c>
      <c r="B1325" s="3" t="s">
        <v>237</v>
      </c>
      <c r="C1325" s="3" t="s">
        <v>60</v>
      </c>
      <c r="D1325" s="3" t="s">
        <v>156</v>
      </c>
      <c r="E1325" s="6"/>
      <c r="F1325" s="6"/>
      <c r="G1325" s="3" t="s">
        <v>44</v>
      </c>
      <c r="H1325" s="3" t="s">
        <v>27</v>
      </c>
      <c r="I1325" s="3" t="s">
        <v>21</v>
      </c>
    </row>
    <row r="1326" spans="1:9" s="3" customFormat="1" x14ac:dyDescent="0.3">
      <c r="A1326" s="3" t="s">
        <v>40</v>
      </c>
      <c r="B1326" s="3" t="s">
        <v>41</v>
      </c>
      <c r="C1326" s="3" t="s">
        <v>18</v>
      </c>
      <c r="D1326" s="3" t="s">
        <v>249</v>
      </c>
      <c r="E1326" s="6">
        <v>0.47916666666666669</v>
      </c>
      <c r="F1326" s="6">
        <v>0.83263888888888893</v>
      </c>
      <c r="G1326" s="3" t="s">
        <v>20</v>
      </c>
      <c r="H1326" s="3" t="s">
        <v>14</v>
      </c>
      <c r="I1326" s="3" t="s">
        <v>15</v>
      </c>
    </row>
    <row r="1327" spans="1:9" s="3" customFormat="1" x14ac:dyDescent="0.3">
      <c r="A1327" s="3" t="s">
        <v>213</v>
      </c>
      <c r="B1327" s="3" t="s">
        <v>214</v>
      </c>
      <c r="C1327" s="3" t="s">
        <v>60</v>
      </c>
      <c r="D1327" s="3" t="s">
        <v>361</v>
      </c>
      <c r="E1327" s="6">
        <v>0.47986111111111113</v>
      </c>
      <c r="F1327" s="6">
        <v>0.69236111111111109</v>
      </c>
      <c r="G1327" s="3" t="s">
        <v>20</v>
      </c>
      <c r="H1327" s="3" t="s">
        <v>14</v>
      </c>
      <c r="I1327" s="3" t="s">
        <v>21</v>
      </c>
    </row>
    <row r="1328" spans="1:9" s="3" customFormat="1" x14ac:dyDescent="0.3">
      <c r="A1328" s="3" t="s">
        <v>213</v>
      </c>
      <c r="B1328" s="3" t="s">
        <v>214</v>
      </c>
      <c r="C1328" s="3" t="s">
        <v>18</v>
      </c>
      <c r="D1328" s="3" t="s">
        <v>152</v>
      </c>
      <c r="E1328" s="6">
        <v>0.38958333333333334</v>
      </c>
      <c r="F1328" s="6">
        <v>0.72222222222222221</v>
      </c>
      <c r="G1328" s="3" t="s">
        <v>26</v>
      </c>
      <c r="H1328" s="3" t="s">
        <v>14</v>
      </c>
      <c r="I1328" s="3" t="s">
        <v>21</v>
      </c>
    </row>
    <row r="1329" spans="1:9" s="3" customFormat="1" x14ac:dyDescent="0.3">
      <c r="A1329" s="3" t="s">
        <v>96</v>
      </c>
      <c r="B1329" s="3" t="s">
        <v>97</v>
      </c>
      <c r="C1329" s="3" t="s">
        <v>60</v>
      </c>
      <c r="D1329" s="3" t="s">
        <v>379</v>
      </c>
      <c r="E1329" s="6">
        <v>0.34583333333333333</v>
      </c>
      <c r="F1329" s="6">
        <v>0.71527777777777779</v>
      </c>
      <c r="G1329" s="3" t="s">
        <v>26</v>
      </c>
      <c r="H1329" s="3" t="s">
        <v>14</v>
      </c>
      <c r="I1329" s="3" t="s">
        <v>15</v>
      </c>
    </row>
    <row r="1330" spans="1:9" s="3" customFormat="1" x14ac:dyDescent="0.3">
      <c r="A1330" s="3" t="s">
        <v>75</v>
      </c>
      <c r="B1330" s="3" t="s">
        <v>76</v>
      </c>
      <c r="C1330" s="3" t="s">
        <v>42</v>
      </c>
      <c r="D1330" s="3" t="s">
        <v>128</v>
      </c>
      <c r="E1330" s="6"/>
      <c r="F1330" s="6"/>
      <c r="G1330" s="3" t="s">
        <v>51</v>
      </c>
      <c r="H1330" s="3" t="s">
        <v>14</v>
      </c>
      <c r="I1330" s="3" t="s">
        <v>15</v>
      </c>
    </row>
    <row r="1331" spans="1:9" s="3" customFormat="1" x14ac:dyDescent="0.3">
      <c r="A1331" s="3" t="s">
        <v>187</v>
      </c>
      <c r="B1331" s="3" t="s">
        <v>188</v>
      </c>
      <c r="C1331" s="3" t="s">
        <v>64</v>
      </c>
      <c r="D1331" s="3" t="s">
        <v>329</v>
      </c>
      <c r="E1331" s="6">
        <v>0.44166666666666665</v>
      </c>
      <c r="F1331" s="6">
        <v>0.81180555555555556</v>
      </c>
      <c r="G1331" s="3" t="s">
        <v>26</v>
      </c>
      <c r="H1331" s="3" t="s">
        <v>27</v>
      </c>
      <c r="I1331" s="3" t="s">
        <v>21</v>
      </c>
    </row>
    <row r="1332" spans="1:9" s="3" customFormat="1" x14ac:dyDescent="0.3">
      <c r="A1332" s="3" t="s">
        <v>146</v>
      </c>
      <c r="B1332" s="3" t="s">
        <v>147</v>
      </c>
      <c r="C1332" s="3" t="s">
        <v>24</v>
      </c>
      <c r="D1332" s="3" t="s">
        <v>196</v>
      </c>
      <c r="E1332" s="6"/>
      <c r="F1332" s="6"/>
      <c r="G1332" s="3" t="s">
        <v>44</v>
      </c>
      <c r="H1332" s="3" t="s">
        <v>27</v>
      </c>
      <c r="I1332" s="3" t="s">
        <v>15</v>
      </c>
    </row>
    <row r="1333" spans="1:9" s="3" customFormat="1" x14ac:dyDescent="0.3">
      <c r="A1333" s="3" t="s">
        <v>55</v>
      </c>
      <c r="B1333" s="3" t="s">
        <v>56</v>
      </c>
      <c r="C1333" s="3" t="s">
        <v>24</v>
      </c>
      <c r="D1333" s="3" t="s">
        <v>39</v>
      </c>
      <c r="E1333" s="6"/>
      <c r="F1333" s="6"/>
      <c r="G1333" s="3" t="s">
        <v>44</v>
      </c>
      <c r="H1333" s="3" t="s">
        <v>14</v>
      </c>
      <c r="I1333" s="3" t="s">
        <v>15</v>
      </c>
    </row>
    <row r="1334" spans="1:9" s="3" customFormat="1" x14ac:dyDescent="0.3">
      <c r="A1334" s="3" t="s">
        <v>291</v>
      </c>
      <c r="B1334" s="3" t="s">
        <v>292</v>
      </c>
      <c r="C1334" s="3" t="s">
        <v>42</v>
      </c>
      <c r="D1334" s="3" t="s">
        <v>361</v>
      </c>
      <c r="E1334" s="6"/>
      <c r="F1334" s="6"/>
      <c r="G1334" s="3" t="s">
        <v>44</v>
      </c>
      <c r="H1334" s="3" t="s">
        <v>27</v>
      </c>
      <c r="I1334" s="3" t="s">
        <v>15</v>
      </c>
    </row>
    <row r="1335" spans="1:9" s="3" customFormat="1" x14ac:dyDescent="0.3">
      <c r="A1335" s="3" t="s">
        <v>269</v>
      </c>
      <c r="B1335" s="3" t="s">
        <v>270</v>
      </c>
      <c r="C1335" s="3" t="s">
        <v>24</v>
      </c>
      <c r="D1335" s="3" t="s">
        <v>395</v>
      </c>
      <c r="E1335" s="6">
        <v>0.35416666666666669</v>
      </c>
      <c r="F1335" s="6">
        <v>0.78055555555555556</v>
      </c>
      <c r="G1335" s="3" t="s">
        <v>13</v>
      </c>
      <c r="H1335" s="3" t="s">
        <v>14</v>
      </c>
      <c r="I1335" s="3" t="s">
        <v>15</v>
      </c>
    </row>
    <row r="1336" spans="1:9" s="3" customFormat="1" x14ac:dyDescent="0.3">
      <c r="A1336" s="3" t="s">
        <v>175</v>
      </c>
      <c r="B1336" s="3" t="s">
        <v>176</v>
      </c>
      <c r="C1336" s="3" t="s">
        <v>64</v>
      </c>
      <c r="D1336" s="3" t="s">
        <v>174</v>
      </c>
      <c r="E1336" s="6"/>
      <c r="F1336" s="6"/>
      <c r="G1336" s="3" t="s">
        <v>44</v>
      </c>
      <c r="H1336" s="3" t="s">
        <v>27</v>
      </c>
      <c r="I1336" s="3" t="s">
        <v>15</v>
      </c>
    </row>
    <row r="1337" spans="1:9" s="3" customFormat="1" x14ac:dyDescent="0.3">
      <c r="A1337" s="3" t="s">
        <v>16</v>
      </c>
      <c r="B1337" s="3" t="s">
        <v>17</v>
      </c>
      <c r="C1337" s="3" t="s">
        <v>64</v>
      </c>
      <c r="D1337" s="3" t="s">
        <v>304</v>
      </c>
      <c r="E1337" s="6"/>
      <c r="F1337" s="6"/>
      <c r="G1337" s="3" t="s">
        <v>44</v>
      </c>
      <c r="H1337" s="3" t="s">
        <v>27</v>
      </c>
      <c r="I1337" s="3" t="s">
        <v>21</v>
      </c>
    </row>
    <row r="1338" spans="1:9" s="3" customFormat="1" x14ac:dyDescent="0.3">
      <c r="A1338" s="3" t="s">
        <v>200</v>
      </c>
      <c r="B1338" s="3" t="s">
        <v>201</v>
      </c>
      <c r="C1338" s="3" t="s">
        <v>18</v>
      </c>
      <c r="D1338" s="3" t="s">
        <v>390</v>
      </c>
      <c r="E1338" s="6">
        <v>0.49027777777777776</v>
      </c>
      <c r="F1338" s="6">
        <v>0.67361111111111116</v>
      </c>
      <c r="G1338" s="3" t="s">
        <v>149</v>
      </c>
      <c r="H1338" s="3" t="s">
        <v>27</v>
      </c>
      <c r="I1338" s="3" t="s">
        <v>21</v>
      </c>
    </row>
    <row r="1339" spans="1:9" s="3" customFormat="1" x14ac:dyDescent="0.3">
      <c r="A1339" s="3" t="s">
        <v>22</v>
      </c>
      <c r="B1339" s="3" t="s">
        <v>23</v>
      </c>
      <c r="C1339" s="3" t="s">
        <v>24</v>
      </c>
      <c r="D1339" s="3" t="s">
        <v>332</v>
      </c>
      <c r="E1339" s="6">
        <v>0.34027777777777779</v>
      </c>
      <c r="F1339" s="6">
        <v>0.87083333333333335</v>
      </c>
      <c r="G1339" s="3" t="s">
        <v>13</v>
      </c>
      <c r="H1339" s="3" t="s">
        <v>27</v>
      </c>
      <c r="I1339" s="3" t="s">
        <v>21</v>
      </c>
    </row>
    <row r="1340" spans="1:9" s="3" customFormat="1" x14ac:dyDescent="0.3">
      <c r="A1340" s="3" t="s">
        <v>34</v>
      </c>
      <c r="B1340" s="3" t="s">
        <v>35</v>
      </c>
      <c r="C1340" s="3" t="s">
        <v>24</v>
      </c>
      <c r="D1340" s="3" t="s">
        <v>405</v>
      </c>
      <c r="E1340" s="6">
        <v>0.41041666666666665</v>
      </c>
      <c r="F1340" s="6">
        <v>0.68055555555555558</v>
      </c>
      <c r="G1340" s="3" t="s">
        <v>20</v>
      </c>
      <c r="H1340" s="3" t="s">
        <v>14</v>
      </c>
      <c r="I1340" s="3" t="s">
        <v>21</v>
      </c>
    </row>
    <row r="1341" spans="1:9" s="3" customFormat="1" x14ac:dyDescent="0.3">
      <c r="A1341" s="3" t="s">
        <v>146</v>
      </c>
      <c r="B1341" s="3" t="s">
        <v>147</v>
      </c>
      <c r="C1341" s="3" t="s">
        <v>42</v>
      </c>
      <c r="D1341" s="3" t="s">
        <v>263</v>
      </c>
      <c r="E1341" s="6">
        <v>0.42777777777777776</v>
      </c>
      <c r="F1341" s="6">
        <v>0.72916666666666663</v>
      </c>
      <c r="G1341" s="3" t="s">
        <v>26</v>
      </c>
      <c r="H1341" s="3" t="s">
        <v>14</v>
      </c>
      <c r="I1341" s="3" t="s">
        <v>15</v>
      </c>
    </row>
    <row r="1342" spans="1:9" s="3" customFormat="1" x14ac:dyDescent="0.3">
      <c r="A1342" s="3" t="s">
        <v>62</v>
      </c>
      <c r="B1342" s="3" t="s">
        <v>63</v>
      </c>
      <c r="C1342" s="3" t="s">
        <v>18</v>
      </c>
      <c r="D1342" s="3" t="s">
        <v>381</v>
      </c>
      <c r="E1342" s="6">
        <v>0.36736111111111114</v>
      </c>
      <c r="F1342" s="6">
        <v>0.74513888888888891</v>
      </c>
      <c r="G1342" s="3" t="s">
        <v>20</v>
      </c>
      <c r="H1342" s="3" t="s">
        <v>27</v>
      </c>
      <c r="I1342" s="3" t="s">
        <v>21</v>
      </c>
    </row>
    <row r="1343" spans="1:9" s="3" customFormat="1" x14ac:dyDescent="0.3">
      <c r="A1343" s="3" t="s">
        <v>138</v>
      </c>
      <c r="B1343" s="3" t="s">
        <v>139</v>
      </c>
      <c r="C1343" s="3" t="s">
        <v>18</v>
      </c>
      <c r="D1343" s="3" t="s">
        <v>12</v>
      </c>
      <c r="E1343" s="6"/>
      <c r="F1343" s="6"/>
      <c r="G1343" s="3" t="s">
        <v>44</v>
      </c>
      <c r="H1343" s="3" t="s">
        <v>27</v>
      </c>
      <c r="I1343" s="3" t="s">
        <v>15</v>
      </c>
    </row>
    <row r="1344" spans="1:9" s="3" customFormat="1" x14ac:dyDescent="0.3">
      <c r="A1344" s="3" t="s">
        <v>37</v>
      </c>
      <c r="B1344" s="3" t="s">
        <v>38</v>
      </c>
      <c r="C1344" s="3" t="s">
        <v>24</v>
      </c>
      <c r="D1344" s="3" t="s">
        <v>336</v>
      </c>
      <c r="E1344" s="6">
        <v>0.38958333333333334</v>
      </c>
      <c r="F1344" s="6">
        <v>0.84583333333333333</v>
      </c>
      <c r="G1344" s="3" t="s">
        <v>13</v>
      </c>
      <c r="H1344" s="3" t="s">
        <v>27</v>
      </c>
      <c r="I1344" s="3" t="s">
        <v>21</v>
      </c>
    </row>
    <row r="1345" spans="1:9" s="3" customFormat="1" x14ac:dyDescent="0.3">
      <c r="A1345" s="3" t="s">
        <v>315</v>
      </c>
      <c r="B1345" s="3" t="s">
        <v>316</v>
      </c>
      <c r="C1345" s="3" t="s">
        <v>24</v>
      </c>
      <c r="D1345" s="3" t="s">
        <v>348</v>
      </c>
      <c r="E1345" s="6">
        <v>0.38541666666666669</v>
      </c>
      <c r="F1345" s="6">
        <v>0.76041666666666663</v>
      </c>
      <c r="G1345" s="3" t="s">
        <v>26</v>
      </c>
      <c r="H1345" s="3" t="s">
        <v>27</v>
      </c>
      <c r="I1345" s="3" t="s">
        <v>21</v>
      </c>
    </row>
    <row r="1346" spans="1:9" s="3" customFormat="1" x14ac:dyDescent="0.3">
      <c r="A1346" s="3" t="s">
        <v>93</v>
      </c>
      <c r="B1346" s="3" t="s">
        <v>94</v>
      </c>
      <c r="C1346" s="3" t="s">
        <v>60</v>
      </c>
      <c r="D1346" s="3" t="s">
        <v>222</v>
      </c>
      <c r="E1346" s="6">
        <v>0.47916666666666669</v>
      </c>
      <c r="F1346" s="6">
        <v>0.67847222222222225</v>
      </c>
      <c r="G1346" s="3" t="s">
        <v>13</v>
      </c>
      <c r="H1346" s="3" t="s">
        <v>27</v>
      </c>
      <c r="I1346" s="3" t="s">
        <v>15</v>
      </c>
    </row>
    <row r="1347" spans="1:9" s="3" customFormat="1" x14ac:dyDescent="0.3">
      <c r="A1347" s="3" t="s">
        <v>200</v>
      </c>
      <c r="B1347" s="3" t="s">
        <v>201</v>
      </c>
      <c r="C1347" s="3" t="s">
        <v>18</v>
      </c>
      <c r="D1347" s="3" t="s">
        <v>161</v>
      </c>
      <c r="E1347" s="6">
        <v>0.40972222222222221</v>
      </c>
      <c r="F1347" s="6">
        <v>0.79513888888888884</v>
      </c>
      <c r="G1347" s="3" t="s">
        <v>20</v>
      </c>
      <c r="H1347" s="3" t="s">
        <v>14</v>
      </c>
      <c r="I1347" s="3" t="s">
        <v>15</v>
      </c>
    </row>
    <row r="1348" spans="1:9" s="3" customFormat="1" x14ac:dyDescent="0.3">
      <c r="A1348" s="3" t="s">
        <v>40</v>
      </c>
      <c r="B1348" s="3" t="s">
        <v>41</v>
      </c>
      <c r="C1348" s="3" t="s">
        <v>18</v>
      </c>
      <c r="D1348" s="3" t="s">
        <v>352</v>
      </c>
      <c r="E1348" s="6">
        <v>0.48402777777777778</v>
      </c>
      <c r="F1348" s="6">
        <v>0.80138888888888893</v>
      </c>
      <c r="G1348" s="3" t="s">
        <v>13</v>
      </c>
      <c r="H1348" s="3" t="s">
        <v>27</v>
      </c>
      <c r="I1348" s="3" t="s">
        <v>15</v>
      </c>
    </row>
    <row r="1349" spans="1:9" s="3" customFormat="1" x14ac:dyDescent="0.3">
      <c r="A1349" s="3" t="s">
        <v>197</v>
      </c>
      <c r="B1349" s="3" t="s">
        <v>198</v>
      </c>
      <c r="C1349" s="3" t="s">
        <v>64</v>
      </c>
      <c r="D1349" s="3" t="s">
        <v>219</v>
      </c>
      <c r="E1349" s="6">
        <v>0.40347222222222223</v>
      </c>
      <c r="F1349" s="6">
        <v>0.78125</v>
      </c>
      <c r="G1349" s="3" t="s">
        <v>26</v>
      </c>
      <c r="H1349" s="3" t="s">
        <v>27</v>
      </c>
      <c r="I1349" s="3" t="s">
        <v>15</v>
      </c>
    </row>
    <row r="1350" spans="1:9" s="3" customFormat="1" x14ac:dyDescent="0.3">
      <c r="A1350" s="3" t="s">
        <v>93</v>
      </c>
      <c r="B1350" s="3" t="s">
        <v>94</v>
      </c>
      <c r="C1350" s="3" t="s">
        <v>64</v>
      </c>
      <c r="D1350" s="3" t="s">
        <v>238</v>
      </c>
      <c r="E1350" s="6">
        <v>0.36944444444444446</v>
      </c>
      <c r="F1350" s="6">
        <v>0.84166666666666667</v>
      </c>
      <c r="G1350" s="3" t="s">
        <v>13</v>
      </c>
      <c r="H1350" s="3" t="s">
        <v>27</v>
      </c>
      <c r="I1350" s="3" t="s">
        <v>15</v>
      </c>
    </row>
    <row r="1351" spans="1:9" s="3" customFormat="1" x14ac:dyDescent="0.3">
      <c r="A1351" s="3" t="s">
        <v>22</v>
      </c>
      <c r="B1351" s="3" t="s">
        <v>23</v>
      </c>
      <c r="C1351" s="3" t="s">
        <v>64</v>
      </c>
      <c r="D1351" s="3" t="s">
        <v>262</v>
      </c>
      <c r="E1351" s="6">
        <v>0.35694444444444445</v>
      </c>
      <c r="F1351" s="6">
        <v>0.85416666666666663</v>
      </c>
      <c r="G1351" s="3" t="s">
        <v>26</v>
      </c>
      <c r="H1351" s="3" t="s">
        <v>27</v>
      </c>
      <c r="I1351" s="3" t="s">
        <v>21</v>
      </c>
    </row>
    <row r="1352" spans="1:9" s="3" customFormat="1" x14ac:dyDescent="0.3">
      <c r="A1352" s="3" t="s">
        <v>146</v>
      </c>
      <c r="B1352" s="3" t="s">
        <v>147</v>
      </c>
      <c r="C1352" s="3" t="s">
        <v>60</v>
      </c>
      <c r="D1352" s="3" t="s">
        <v>407</v>
      </c>
      <c r="E1352" s="6"/>
      <c r="F1352" s="6"/>
      <c r="G1352" s="3" t="s">
        <v>44</v>
      </c>
      <c r="H1352" s="3" t="s">
        <v>27</v>
      </c>
      <c r="I1352" s="3" t="s">
        <v>15</v>
      </c>
    </row>
    <row r="1353" spans="1:9" s="3" customFormat="1" x14ac:dyDescent="0.3">
      <c r="A1353" s="3" t="s">
        <v>187</v>
      </c>
      <c r="B1353" s="3" t="s">
        <v>188</v>
      </c>
      <c r="C1353" s="3" t="s">
        <v>60</v>
      </c>
      <c r="D1353" s="3" t="s">
        <v>356</v>
      </c>
      <c r="E1353" s="6"/>
      <c r="F1353" s="6"/>
      <c r="G1353" s="3" t="s">
        <v>44</v>
      </c>
      <c r="H1353" s="3" t="s">
        <v>27</v>
      </c>
      <c r="I1353" s="3" t="s">
        <v>21</v>
      </c>
    </row>
    <row r="1354" spans="1:9" s="3" customFormat="1" x14ac:dyDescent="0.3">
      <c r="A1354" s="3" t="s">
        <v>122</v>
      </c>
      <c r="B1354" s="3" t="s">
        <v>123</v>
      </c>
      <c r="C1354" s="3" t="s">
        <v>127</v>
      </c>
      <c r="D1354" s="3" t="s">
        <v>346</v>
      </c>
      <c r="E1354" s="6">
        <v>0.49930555555555556</v>
      </c>
      <c r="F1354" s="6">
        <v>0.87291666666666667</v>
      </c>
      <c r="G1354" s="3" t="s">
        <v>26</v>
      </c>
      <c r="H1354" s="3" t="s">
        <v>14</v>
      </c>
      <c r="I1354" s="3" t="s">
        <v>15</v>
      </c>
    </row>
    <row r="1355" spans="1:9" s="3" customFormat="1" x14ac:dyDescent="0.3">
      <c r="A1355" s="3" t="s">
        <v>48</v>
      </c>
      <c r="B1355" s="3" t="s">
        <v>49</v>
      </c>
      <c r="C1355" s="3" t="s">
        <v>18</v>
      </c>
      <c r="D1355" s="3" t="s">
        <v>282</v>
      </c>
      <c r="E1355" s="6">
        <v>0.37708333333333333</v>
      </c>
      <c r="F1355" s="6">
        <v>0.76180555555555551</v>
      </c>
      <c r="G1355" s="3" t="s">
        <v>26</v>
      </c>
      <c r="H1355" s="3" t="s">
        <v>27</v>
      </c>
      <c r="I1355" s="3" t="s">
        <v>21</v>
      </c>
    </row>
    <row r="1356" spans="1:9" s="3" customFormat="1" x14ac:dyDescent="0.3">
      <c r="A1356" s="3" t="s">
        <v>157</v>
      </c>
      <c r="B1356" s="3" t="s">
        <v>158</v>
      </c>
      <c r="C1356" s="3" t="s">
        <v>60</v>
      </c>
      <c r="D1356" s="3" t="s">
        <v>380</v>
      </c>
      <c r="E1356" s="6">
        <v>0.46805555555555556</v>
      </c>
      <c r="F1356" s="6">
        <v>0.69236111111111109</v>
      </c>
      <c r="G1356" s="3" t="s">
        <v>170</v>
      </c>
      <c r="H1356" s="3" t="s">
        <v>14</v>
      </c>
      <c r="I1356" s="3" t="s">
        <v>21</v>
      </c>
    </row>
    <row r="1357" spans="1:9" s="3" customFormat="1" x14ac:dyDescent="0.3">
      <c r="A1357" s="3" t="s">
        <v>31</v>
      </c>
      <c r="B1357" s="3" t="s">
        <v>32</v>
      </c>
      <c r="C1357" s="3" t="s">
        <v>24</v>
      </c>
      <c r="D1357" s="3" t="s">
        <v>232</v>
      </c>
      <c r="E1357" s="6">
        <v>0.44374999999999998</v>
      </c>
      <c r="F1357" s="6">
        <v>0.79861111111111116</v>
      </c>
      <c r="G1357" s="3" t="s">
        <v>26</v>
      </c>
      <c r="H1357" s="3" t="s">
        <v>14</v>
      </c>
      <c r="I1357" s="3" t="s">
        <v>21</v>
      </c>
    </row>
    <row r="1358" spans="1:9" s="3" customFormat="1" x14ac:dyDescent="0.3">
      <c r="A1358" s="3" t="s">
        <v>37</v>
      </c>
      <c r="B1358" s="3" t="s">
        <v>38</v>
      </c>
      <c r="C1358" s="3" t="s">
        <v>42</v>
      </c>
      <c r="D1358" s="3" t="s">
        <v>309</v>
      </c>
      <c r="E1358" s="6">
        <v>0.40694444444444444</v>
      </c>
      <c r="F1358" s="6">
        <v>0.75486111111111109</v>
      </c>
      <c r="G1358" s="3" t="s">
        <v>20</v>
      </c>
      <c r="H1358" s="3" t="s">
        <v>27</v>
      </c>
      <c r="I1358" s="3" t="s">
        <v>15</v>
      </c>
    </row>
    <row r="1359" spans="1:9" s="3" customFormat="1" x14ac:dyDescent="0.3">
      <c r="A1359" s="3" t="s">
        <v>58</v>
      </c>
      <c r="B1359" s="3" t="s">
        <v>59</v>
      </c>
      <c r="C1359" s="3" t="s">
        <v>24</v>
      </c>
      <c r="D1359" s="3" t="s">
        <v>278</v>
      </c>
      <c r="E1359" s="6">
        <v>0.38750000000000001</v>
      </c>
      <c r="F1359" s="6">
        <v>0.72013888888888888</v>
      </c>
      <c r="G1359" s="3" t="s">
        <v>13</v>
      </c>
      <c r="H1359" s="3" t="s">
        <v>27</v>
      </c>
      <c r="I1359" s="3" t="s">
        <v>15</v>
      </c>
    </row>
    <row r="1360" spans="1:9" s="3" customFormat="1" x14ac:dyDescent="0.3">
      <c r="A1360" s="3" t="s">
        <v>315</v>
      </c>
      <c r="B1360" s="3" t="s">
        <v>316</v>
      </c>
      <c r="C1360" s="3" t="s">
        <v>42</v>
      </c>
      <c r="D1360" s="3" t="s">
        <v>180</v>
      </c>
      <c r="E1360" s="6"/>
      <c r="F1360" s="6"/>
      <c r="G1360" s="3" t="s">
        <v>44</v>
      </c>
      <c r="H1360" s="3" t="s">
        <v>27</v>
      </c>
      <c r="I1360" s="3" t="s">
        <v>21</v>
      </c>
    </row>
    <row r="1361" spans="1:9" s="3" customFormat="1" x14ac:dyDescent="0.3">
      <c r="A1361" s="3" t="s">
        <v>122</v>
      </c>
      <c r="B1361" s="3" t="s">
        <v>123</v>
      </c>
      <c r="C1361" s="3" t="s">
        <v>127</v>
      </c>
      <c r="D1361" s="3" t="s">
        <v>128</v>
      </c>
      <c r="E1361" s="6">
        <v>0.4465277777777778</v>
      </c>
      <c r="F1361" s="6">
        <v>0.79722222222222228</v>
      </c>
      <c r="G1361" s="3" t="s">
        <v>26</v>
      </c>
      <c r="H1361" s="3" t="s">
        <v>14</v>
      </c>
      <c r="I1361" s="3" t="s">
        <v>15</v>
      </c>
    </row>
    <row r="1362" spans="1:9" s="3" customFormat="1" x14ac:dyDescent="0.3">
      <c r="A1362" s="3" t="s">
        <v>93</v>
      </c>
      <c r="B1362" s="3" t="s">
        <v>94</v>
      </c>
      <c r="C1362" s="3" t="s">
        <v>18</v>
      </c>
      <c r="D1362" s="3" t="s">
        <v>161</v>
      </c>
      <c r="E1362" s="6">
        <v>0.46875</v>
      </c>
      <c r="F1362" s="6">
        <v>0.81736111111111109</v>
      </c>
      <c r="G1362" s="3" t="s">
        <v>26</v>
      </c>
      <c r="H1362" s="3" t="s">
        <v>14</v>
      </c>
      <c r="I1362" s="3" t="s">
        <v>21</v>
      </c>
    </row>
    <row r="1363" spans="1:9" s="3" customFormat="1" x14ac:dyDescent="0.3">
      <c r="A1363" s="3" t="s">
        <v>37</v>
      </c>
      <c r="B1363" s="3" t="s">
        <v>38</v>
      </c>
      <c r="C1363" s="3" t="s">
        <v>24</v>
      </c>
      <c r="D1363" s="3" t="s">
        <v>92</v>
      </c>
      <c r="E1363" s="6"/>
      <c r="F1363" s="6"/>
      <c r="G1363" s="3" t="s">
        <v>44</v>
      </c>
      <c r="H1363" s="3" t="s">
        <v>14</v>
      </c>
      <c r="I1363" s="3" t="s">
        <v>21</v>
      </c>
    </row>
    <row r="1364" spans="1:9" s="3" customFormat="1" x14ac:dyDescent="0.3">
      <c r="A1364" s="3" t="s">
        <v>87</v>
      </c>
      <c r="B1364" s="3" t="s">
        <v>88</v>
      </c>
      <c r="C1364" s="3" t="s">
        <v>64</v>
      </c>
      <c r="D1364" s="3" t="s">
        <v>410</v>
      </c>
      <c r="E1364" s="6"/>
      <c r="F1364" s="6"/>
      <c r="G1364" s="3" t="s">
        <v>51</v>
      </c>
      <c r="H1364" s="3" t="s">
        <v>27</v>
      </c>
      <c r="I1364" s="3" t="s">
        <v>21</v>
      </c>
    </row>
    <row r="1365" spans="1:9" s="3" customFormat="1" x14ac:dyDescent="0.3">
      <c r="A1365" s="3" t="s">
        <v>72</v>
      </c>
      <c r="B1365" s="3" t="s">
        <v>73</v>
      </c>
      <c r="C1365" s="3" t="s">
        <v>24</v>
      </c>
      <c r="D1365" s="3" t="s">
        <v>340</v>
      </c>
      <c r="E1365" s="6">
        <v>0.41388888888888886</v>
      </c>
      <c r="F1365" s="6">
        <v>0.67152777777777772</v>
      </c>
      <c r="G1365" s="3" t="s">
        <v>13</v>
      </c>
      <c r="H1365" s="3" t="s">
        <v>27</v>
      </c>
      <c r="I1365" s="3" t="s">
        <v>15</v>
      </c>
    </row>
    <row r="1366" spans="1:9" s="3" customFormat="1" x14ac:dyDescent="0.3">
      <c r="A1366" s="3" t="s">
        <v>194</v>
      </c>
      <c r="B1366" s="3" t="s">
        <v>195</v>
      </c>
      <c r="C1366" s="3" t="s">
        <v>42</v>
      </c>
      <c r="D1366" s="3" t="s">
        <v>129</v>
      </c>
      <c r="E1366" s="6">
        <v>0.34513888888888888</v>
      </c>
      <c r="F1366" s="6">
        <v>0.71458333333333335</v>
      </c>
      <c r="G1366" s="3" t="s">
        <v>13</v>
      </c>
      <c r="H1366" s="3" t="s">
        <v>27</v>
      </c>
      <c r="I1366" s="3" t="s">
        <v>15</v>
      </c>
    </row>
    <row r="1367" spans="1:9" s="3" customFormat="1" x14ac:dyDescent="0.3">
      <c r="A1367" s="3" t="s">
        <v>122</v>
      </c>
      <c r="B1367" s="3" t="s">
        <v>123</v>
      </c>
      <c r="C1367" s="3" t="s">
        <v>42</v>
      </c>
      <c r="D1367" s="3" t="s">
        <v>285</v>
      </c>
      <c r="E1367" s="6">
        <v>0.3840277777777778</v>
      </c>
      <c r="F1367" s="6">
        <v>0.67361111111111116</v>
      </c>
      <c r="G1367" s="3" t="s">
        <v>13</v>
      </c>
      <c r="H1367" s="3" t="s">
        <v>14</v>
      </c>
      <c r="I1367" s="3" t="s">
        <v>21</v>
      </c>
    </row>
    <row r="1368" spans="1:9" s="3" customFormat="1" x14ac:dyDescent="0.3">
      <c r="A1368" s="3" t="s">
        <v>40</v>
      </c>
      <c r="B1368" s="3" t="s">
        <v>41</v>
      </c>
      <c r="C1368" s="3" t="s">
        <v>60</v>
      </c>
      <c r="D1368" s="3" t="s">
        <v>39</v>
      </c>
      <c r="E1368" s="6">
        <v>0.37361111111111112</v>
      </c>
      <c r="F1368" s="6">
        <v>0.67777777777777781</v>
      </c>
      <c r="G1368" s="3" t="s">
        <v>26</v>
      </c>
      <c r="H1368" s="3" t="s">
        <v>27</v>
      </c>
      <c r="I1368" s="3" t="s">
        <v>15</v>
      </c>
    </row>
    <row r="1369" spans="1:9" s="3" customFormat="1" x14ac:dyDescent="0.3">
      <c r="A1369" s="3" t="s">
        <v>52</v>
      </c>
      <c r="B1369" s="3" t="s">
        <v>53</v>
      </c>
      <c r="C1369" s="3" t="s">
        <v>42</v>
      </c>
      <c r="D1369" s="3" t="s">
        <v>334</v>
      </c>
      <c r="E1369" s="6">
        <v>0.42638888888888887</v>
      </c>
      <c r="F1369" s="6">
        <v>0.70833333333333337</v>
      </c>
      <c r="G1369" s="3" t="s">
        <v>26</v>
      </c>
      <c r="H1369" s="3" t="s">
        <v>14</v>
      </c>
      <c r="I1369" s="3" t="s">
        <v>21</v>
      </c>
    </row>
    <row r="1370" spans="1:9" s="3" customFormat="1" x14ac:dyDescent="0.3">
      <c r="A1370" s="3" t="s">
        <v>154</v>
      </c>
      <c r="B1370" s="3" t="s">
        <v>155</v>
      </c>
      <c r="C1370" s="3" t="s">
        <v>42</v>
      </c>
      <c r="D1370" s="3" t="s">
        <v>220</v>
      </c>
      <c r="E1370" s="6">
        <v>0.38472222222222224</v>
      </c>
      <c r="F1370" s="6">
        <v>0.76458333333333328</v>
      </c>
      <c r="G1370" s="3" t="s">
        <v>26</v>
      </c>
      <c r="H1370" s="3" t="s">
        <v>27</v>
      </c>
      <c r="I1370" s="3" t="s">
        <v>15</v>
      </c>
    </row>
    <row r="1371" spans="1:9" s="3" customFormat="1" x14ac:dyDescent="0.3">
      <c r="A1371" s="3" t="s">
        <v>99</v>
      </c>
      <c r="B1371" s="3" t="s">
        <v>100</v>
      </c>
      <c r="C1371" s="3" t="s">
        <v>42</v>
      </c>
      <c r="D1371" s="3" t="s">
        <v>320</v>
      </c>
      <c r="E1371" s="6">
        <v>0.48749999999999999</v>
      </c>
      <c r="F1371" s="6">
        <v>0.85416666666666663</v>
      </c>
      <c r="G1371" s="3" t="s">
        <v>20</v>
      </c>
      <c r="H1371" s="3" t="s">
        <v>27</v>
      </c>
      <c r="I1371" s="3" t="s">
        <v>15</v>
      </c>
    </row>
    <row r="1372" spans="1:9" s="3" customFormat="1" x14ac:dyDescent="0.3">
      <c r="A1372" s="3" t="s">
        <v>84</v>
      </c>
      <c r="B1372" s="3" t="s">
        <v>85</v>
      </c>
      <c r="C1372" s="3" t="s">
        <v>60</v>
      </c>
      <c r="D1372" s="3" t="s">
        <v>234</v>
      </c>
      <c r="E1372" s="6">
        <v>0.36666666666666664</v>
      </c>
      <c r="F1372" s="6">
        <v>0.82499999999999996</v>
      </c>
      <c r="G1372" s="3" t="s">
        <v>26</v>
      </c>
      <c r="H1372" s="3" t="s">
        <v>14</v>
      </c>
      <c r="I1372" s="3" t="s">
        <v>15</v>
      </c>
    </row>
    <row r="1373" spans="1:9" s="3" customFormat="1" x14ac:dyDescent="0.3">
      <c r="A1373" s="3" t="s">
        <v>52</v>
      </c>
      <c r="B1373" s="3" t="s">
        <v>53</v>
      </c>
      <c r="C1373" s="3" t="s">
        <v>60</v>
      </c>
      <c r="D1373" s="3" t="s">
        <v>358</v>
      </c>
      <c r="E1373" s="6">
        <v>0.40486111111111112</v>
      </c>
      <c r="F1373" s="6">
        <v>0.82986111111111116</v>
      </c>
      <c r="G1373" s="3" t="s">
        <v>26</v>
      </c>
      <c r="H1373" s="3" t="s">
        <v>14</v>
      </c>
      <c r="I1373" s="3" t="s">
        <v>21</v>
      </c>
    </row>
    <row r="1374" spans="1:9" s="3" customFormat="1" x14ac:dyDescent="0.3">
      <c r="A1374" s="3" t="s">
        <v>204</v>
      </c>
      <c r="B1374" s="3" t="s">
        <v>205</v>
      </c>
      <c r="C1374" s="3" t="s">
        <v>60</v>
      </c>
      <c r="D1374" s="3" t="s">
        <v>137</v>
      </c>
      <c r="E1374" s="6">
        <v>0.37847222222222221</v>
      </c>
      <c r="F1374" s="6">
        <v>0.69930555555555551</v>
      </c>
      <c r="G1374" s="3" t="s">
        <v>170</v>
      </c>
      <c r="H1374" s="3" t="s">
        <v>27</v>
      </c>
      <c r="I1374" s="3" t="s">
        <v>21</v>
      </c>
    </row>
    <row r="1375" spans="1:9" s="3" customFormat="1" x14ac:dyDescent="0.3">
      <c r="A1375" s="3" t="s">
        <v>84</v>
      </c>
      <c r="B1375" s="3" t="s">
        <v>85</v>
      </c>
      <c r="C1375" s="3" t="s">
        <v>18</v>
      </c>
      <c r="D1375" s="3" t="s">
        <v>344</v>
      </c>
      <c r="E1375" s="6"/>
      <c r="F1375" s="6"/>
      <c r="G1375" s="3" t="s">
        <v>44</v>
      </c>
      <c r="H1375" s="3" t="s">
        <v>14</v>
      </c>
      <c r="I1375" s="3" t="s">
        <v>21</v>
      </c>
    </row>
    <row r="1376" spans="1:9" s="3" customFormat="1" x14ac:dyDescent="0.3">
      <c r="A1376" s="3" t="s">
        <v>55</v>
      </c>
      <c r="B1376" s="3" t="s">
        <v>56</v>
      </c>
      <c r="C1376" s="3" t="s">
        <v>167</v>
      </c>
      <c r="D1376" s="3" t="s">
        <v>401</v>
      </c>
      <c r="E1376" s="6"/>
      <c r="F1376" s="6"/>
      <c r="G1376" s="3" t="s">
        <v>51</v>
      </c>
      <c r="H1376" s="3" t="s">
        <v>27</v>
      </c>
      <c r="I1376" s="3" t="s">
        <v>21</v>
      </c>
    </row>
    <row r="1377" spans="1:9" s="3" customFormat="1" x14ac:dyDescent="0.3">
      <c r="A1377" s="3" t="s">
        <v>45</v>
      </c>
      <c r="B1377" s="3" t="s">
        <v>46</v>
      </c>
      <c r="C1377" s="3" t="s">
        <v>239</v>
      </c>
      <c r="D1377" s="3" t="s">
        <v>305</v>
      </c>
      <c r="E1377" s="6">
        <v>0.42083333333333334</v>
      </c>
      <c r="F1377" s="6">
        <v>0.71388888888888891</v>
      </c>
      <c r="G1377" s="3" t="s">
        <v>20</v>
      </c>
      <c r="H1377" s="3" t="s">
        <v>14</v>
      </c>
      <c r="I1377" s="3" t="s">
        <v>15</v>
      </c>
    </row>
    <row r="1378" spans="1:9" s="3" customFormat="1" x14ac:dyDescent="0.3">
      <c r="A1378" s="3" t="s">
        <v>90</v>
      </c>
      <c r="B1378" s="3" t="s">
        <v>91</v>
      </c>
      <c r="C1378" s="3" t="s">
        <v>60</v>
      </c>
      <c r="D1378" s="3" t="s">
        <v>419</v>
      </c>
      <c r="E1378" s="6">
        <v>0.37847222222222221</v>
      </c>
      <c r="F1378" s="6">
        <v>0.85277777777777775</v>
      </c>
      <c r="G1378" s="3" t="s">
        <v>26</v>
      </c>
      <c r="H1378" s="3" t="s">
        <v>14</v>
      </c>
      <c r="I1378" s="3" t="s">
        <v>21</v>
      </c>
    </row>
    <row r="1379" spans="1:9" s="3" customFormat="1" x14ac:dyDescent="0.3">
      <c r="A1379" s="3" t="s">
        <v>150</v>
      </c>
      <c r="B1379" s="3" t="s">
        <v>151</v>
      </c>
      <c r="C1379" s="3" t="s">
        <v>42</v>
      </c>
      <c r="D1379" s="3" t="s">
        <v>111</v>
      </c>
      <c r="E1379" s="6">
        <v>0.33611111111111114</v>
      </c>
      <c r="F1379" s="6">
        <v>0.82152777777777775</v>
      </c>
      <c r="G1379" s="3" t="s">
        <v>149</v>
      </c>
      <c r="H1379" s="3" t="s">
        <v>14</v>
      </c>
      <c r="I1379" s="3" t="s">
        <v>21</v>
      </c>
    </row>
    <row r="1380" spans="1:9" s="3" customFormat="1" x14ac:dyDescent="0.3">
      <c r="A1380" s="3" t="s">
        <v>197</v>
      </c>
      <c r="B1380" s="3" t="s">
        <v>198</v>
      </c>
      <c r="C1380" s="3" t="s">
        <v>60</v>
      </c>
      <c r="D1380" s="3" t="s">
        <v>380</v>
      </c>
      <c r="E1380" s="6"/>
      <c r="F1380" s="6"/>
      <c r="G1380" s="3" t="s">
        <v>44</v>
      </c>
      <c r="H1380" s="3" t="s">
        <v>14</v>
      </c>
      <c r="I1380" s="3" t="s">
        <v>21</v>
      </c>
    </row>
    <row r="1381" spans="1:9" s="3" customFormat="1" x14ac:dyDescent="0.3">
      <c r="A1381" s="3" t="s">
        <v>146</v>
      </c>
      <c r="B1381" s="3" t="s">
        <v>147</v>
      </c>
      <c r="C1381" s="3" t="s">
        <v>64</v>
      </c>
      <c r="D1381" s="3" t="s">
        <v>368</v>
      </c>
      <c r="E1381" s="6">
        <v>0.36180555555555555</v>
      </c>
      <c r="F1381" s="6">
        <v>0.78680555555555554</v>
      </c>
      <c r="G1381" s="3" t="s">
        <v>20</v>
      </c>
      <c r="H1381" s="3" t="s">
        <v>14</v>
      </c>
      <c r="I1381" s="3" t="s">
        <v>21</v>
      </c>
    </row>
    <row r="1382" spans="1:9" s="3" customFormat="1" x14ac:dyDescent="0.3">
      <c r="A1382" s="3" t="s">
        <v>315</v>
      </c>
      <c r="B1382" s="3" t="s">
        <v>316</v>
      </c>
      <c r="C1382" s="3" t="s">
        <v>42</v>
      </c>
      <c r="D1382" s="3" t="s">
        <v>415</v>
      </c>
      <c r="E1382" s="6">
        <v>0.38750000000000001</v>
      </c>
      <c r="F1382" s="6">
        <v>0.71388888888888891</v>
      </c>
      <c r="G1382" s="3" t="s">
        <v>20</v>
      </c>
      <c r="H1382" s="3" t="s">
        <v>14</v>
      </c>
      <c r="I1382" s="3" t="s">
        <v>21</v>
      </c>
    </row>
    <row r="1383" spans="1:9" s="3" customFormat="1" x14ac:dyDescent="0.3">
      <c r="A1383" s="3" t="s">
        <v>165</v>
      </c>
      <c r="B1383" s="3" t="s">
        <v>166</v>
      </c>
      <c r="C1383" s="3" t="s">
        <v>24</v>
      </c>
      <c r="D1383" s="3" t="s">
        <v>163</v>
      </c>
      <c r="E1383" s="6">
        <v>0.4777777777777778</v>
      </c>
      <c r="F1383" s="6">
        <v>0.78819444444444442</v>
      </c>
      <c r="G1383" s="3" t="s">
        <v>20</v>
      </c>
      <c r="H1383" s="3" t="s">
        <v>14</v>
      </c>
      <c r="I1383" s="3" t="s">
        <v>21</v>
      </c>
    </row>
    <row r="1384" spans="1:9" s="3" customFormat="1" x14ac:dyDescent="0.3">
      <c r="A1384" s="3" t="s">
        <v>141</v>
      </c>
      <c r="B1384" s="3" t="s">
        <v>142</v>
      </c>
      <c r="C1384" s="3" t="s">
        <v>18</v>
      </c>
      <c r="D1384" s="3" t="s">
        <v>313</v>
      </c>
      <c r="E1384" s="6">
        <v>0.45347222222222222</v>
      </c>
      <c r="F1384" s="6">
        <v>0.67361111111111116</v>
      </c>
      <c r="G1384" s="3" t="s">
        <v>26</v>
      </c>
      <c r="H1384" s="3" t="s">
        <v>27</v>
      </c>
      <c r="I1384" s="3" t="s">
        <v>21</v>
      </c>
    </row>
    <row r="1385" spans="1:9" s="3" customFormat="1" x14ac:dyDescent="0.3">
      <c r="A1385" s="3" t="s">
        <v>291</v>
      </c>
      <c r="B1385" s="3" t="s">
        <v>292</v>
      </c>
      <c r="C1385" s="3" t="s">
        <v>64</v>
      </c>
      <c r="D1385" s="3" t="s">
        <v>393</v>
      </c>
      <c r="E1385" s="6"/>
      <c r="F1385" s="6"/>
      <c r="G1385" s="3" t="s">
        <v>125</v>
      </c>
      <c r="H1385" s="3" t="s">
        <v>27</v>
      </c>
      <c r="I1385" s="3" t="s">
        <v>15</v>
      </c>
    </row>
    <row r="1386" spans="1:9" s="3" customFormat="1" x14ac:dyDescent="0.3">
      <c r="A1386" s="3" t="s">
        <v>69</v>
      </c>
      <c r="B1386" s="3" t="s">
        <v>70</v>
      </c>
      <c r="C1386" s="3" t="s">
        <v>24</v>
      </c>
      <c r="D1386" s="3" t="s">
        <v>280</v>
      </c>
      <c r="E1386" s="6">
        <v>0.3972222222222222</v>
      </c>
      <c r="F1386" s="6">
        <v>0.7680555555555556</v>
      </c>
      <c r="G1386" s="3" t="s">
        <v>20</v>
      </c>
      <c r="H1386" s="3" t="s">
        <v>14</v>
      </c>
      <c r="I1386" s="3" t="s">
        <v>21</v>
      </c>
    </row>
    <row r="1387" spans="1:9" s="3" customFormat="1" x14ac:dyDescent="0.3">
      <c r="A1387" s="3" t="s">
        <v>34</v>
      </c>
      <c r="B1387" s="3" t="s">
        <v>35</v>
      </c>
      <c r="C1387" s="3" t="s">
        <v>24</v>
      </c>
      <c r="D1387" s="3" t="s">
        <v>25</v>
      </c>
      <c r="E1387" s="6"/>
      <c r="F1387" s="6"/>
      <c r="G1387" s="3" t="s">
        <v>44</v>
      </c>
      <c r="H1387" s="3" t="s">
        <v>14</v>
      </c>
      <c r="I1387" s="3" t="s">
        <v>21</v>
      </c>
    </row>
    <row r="1388" spans="1:9" s="3" customFormat="1" x14ac:dyDescent="0.3">
      <c r="A1388" s="3" t="s">
        <v>45</v>
      </c>
      <c r="B1388" s="3" t="s">
        <v>46</v>
      </c>
      <c r="C1388" s="3" t="s">
        <v>42</v>
      </c>
      <c r="D1388" s="3" t="s">
        <v>278</v>
      </c>
      <c r="E1388" s="6"/>
      <c r="F1388" s="6"/>
      <c r="G1388" s="3" t="s">
        <v>44</v>
      </c>
      <c r="H1388" s="3" t="s">
        <v>27</v>
      </c>
      <c r="I1388" s="3" t="s">
        <v>15</v>
      </c>
    </row>
    <row r="1389" spans="1:9" s="3" customFormat="1" x14ac:dyDescent="0.3">
      <c r="A1389" s="3" t="s">
        <v>37</v>
      </c>
      <c r="B1389" s="3" t="s">
        <v>38</v>
      </c>
      <c r="C1389" s="3" t="s">
        <v>18</v>
      </c>
      <c r="D1389" s="3" t="s">
        <v>353</v>
      </c>
      <c r="E1389" s="6">
        <v>0.33611111111111114</v>
      </c>
      <c r="F1389" s="6">
        <v>0.69027777777777777</v>
      </c>
      <c r="G1389" s="3" t="s">
        <v>20</v>
      </c>
      <c r="H1389" s="3" t="s">
        <v>27</v>
      </c>
      <c r="I1389" s="3" t="s">
        <v>15</v>
      </c>
    </row>
    <row r="1390" spans="1:9" s="3" customFormat="1" x14ac:dyDescent="0.3">
      <c r="A1390" s="3" t="s">
        <v>138</v>
      </c>
      <c r="B1390" s="3" t="s">
        <v>139</v>
      </c>
      <c r="C1390" s="3" t="s">
        <v>60</v>
      </c>
      <c r="D1390" s="3" t="s">
        <v>386</v>
      </c>
      <c r="E1390" s="6">
        <v>0.39097222222222222</v>
      </c>
      <c r="F1390" s="6">
        <v>0.78263888888888888</v>
      </c>
      <c r="G1390" s="3" t="s">
        <v>20</v>
      </c>
      <c r="H1390" s="3" t="s">
        <v>27</v>
      </c>
      <c r="I1390" s="3" t="s">
        <v>15</v>
      </c>
    </row>
    <row r="1391" spans="1:9" s="3" customFormat="1" x14ac:dyDescent="0.3">
      <c r="A1391" s="3" t="s">
        <v>175</v>
      </c>
      <c r="B1391" s="3" t="s">
        <v>176</v>
      </c>
      <c r="C1391" s="3" t="s">
        <v>42</v>
      </c>
      <c r="D1391" s="3" t="s">
        <v>383</v>
      </c>
      <c r="E1391" s="6">
        <v>0.47847222222222224</v>
      </c>
      <c r="F1391" s="6">
        <v>0.68333333333333335</v>
      </c>
      <c r="G1391" s="3" t="s">
        <v>13</v>
      </c>
      <c r="H1391" s="3" t="s">
        <v>14</v>
      </c>
      <c r="I1391" s="3" t="s">
        <v>15</v>
      </c>
    </row>
    <row r="1392" spans="1:9" s="3" customFormat="1" x14ac:dyDescent="0.3">
      <c r="A1392" s="3" t="s">
        <v>9</v>
      </c>
      <c r="B1392" s="3" t="s">
        <v>10</v>
      </c>
      <c r="C1392" s="3" t="s">
        <v>60</v>
      </c>
      <c r="D1392" s="3" t="s">
        <v>305</v>
      </c>
      <c r="E1392" s="6">
        <v>0.37222222222222223</v>
      </c>
      <c r="F1392" s="6">
        <v>0.73472222222222228</v>
      </c>
      <c r="G1392" s="3" t="s">
        <v>20</v>
      </c>
      <c r="H1392" s="3" t="s">
        <v>27</v>
      </c>
      <c r="I1392" s="3" t="s">
        <v>21</v>
      </c>
    </row>
    <row r="1393" spans="1:9" s="3" customFormat="1" x14ac:dyDescent="0.3">
      <c r="A1393" s="3" t="s">
        <v>187</v>
      </c>
      <c r="B1393" s="3" t="s">
        <v>188</v>
      </c>
      <c r="C1393" s="3" t="s">
        <v>24</v>
      </c>
      <c r="D1393" s="3" t="s">
        <v>264</v>
      </c>
      <c r="E1393" s="6">
        <v>0.39027777777777778</v>
      </c>
      <c r="F1393" s="6">
        <v>0.81111111111111112</v>
      </c>
      <c r="G1393" s="3" t="s">
        <v>26</v>
      </c>
      <c r="H1393" s="3" t="s">
        <v>14</v>
      </c>
      <c r="I1393" s="3" t="s">
        <v>21</v>
      </c>
    </row>
    <row r="1394" spans="1:9" s="3" customFormat="1" x14ac:dyDescent="0.3">
      <c r="A1394" s="3" t="s">
        <v>58</v>
      </c>
      <c r="B1394" s="3" t="s">
        <v>59</v>
      </c>
      <c r="C1394" s="3" t="s">
        <v>64</v>
      </c>
      <c r="D1394" s="3" t="s">
        <v>354</v>
      </c>
      <c r="E1394" s="6">
        <v>0.40069444444444446</v>
      </c>
      <c r="F1394" s="6">
        <v>0.69861111111111107</v>
      </c>
      <c r="G1394" s="3" t="s">
        <v>26</v>
      </c>
      <c r="H1394" s="3" t="s">
        <v>14</v>
      </c>
      <c r="I1394" s="3" t="s">
        <v>15</v>
      </c>
    </row>
    <row r="1395" spans="1:9" s="3" customFormat="1" x14ac:dyDescent="0.3">
      <c r="A1395" s="3" t="s">
        <v>362</v>
      </c>
      <c r="B1395" s="3" t="s">
        <v>363</v>
      </c>
      <c r="C1395" s="3" t="s">
        <v>24</v>
      </c>
      <c r="D1395" s="3" t="s">
        <v>308</v>
      </c>
      <c r="E1395" s="6">
        <v>0.49861111111111112</v>
      </c>
      <c r="F1395" s="6">
        <v>0.72499999999999998</v>
      </c>
      <c r="G1395" s="3" t="s">
        <v>20</v>
      </c>
      <c r="H1395" s="3" t="s">
        <v>14</v>
      </c>
      <c r="I1395" s="3" t="s">
        <v>21</v>
      </c>
    </row>
    <row r="1396" spans="1:9" s="3" customFormat="1" x14ac:dyDescent="0.3">
      <c r="A1396" s="3" t="s">
        <v>112</v>
      </c>
      <c r="B1396" s="3" t="s">
        <v>113</v>
      </c>
      <c r="C1396" s="3" t="s">
        <v>60</v>
      </c>
      <c r="D1396" s="3" t="s">
        <v>354</v>
      </c>
      <c r="E1396" s="6">
        <v>0.36388888888888887</v>
      </c>
      <c r="F1396" s="6">
        <v>0.68263888888888891</v>
      </c>
      <c r="G1396" s="3" t="s">
        <v>20</v>
      </c>
      <c r="H1396" s="3" t="s">
        <v>27</v>
      </c>
      <c r="I1396" s="3" t="s">
        <v>21</v>
      </c>
    </row>
    <row r="1397" spans="1:9" s="3" customFormat="1" x14ac:dyDescent="0.3">
      <c r="A1397" s="3" t="s">
        <v>315</v>
      </c>
      <c r="B1397" s="3" t="s">
        <v>316</v>
      </c>
      <c r="C1397" s="3" t="s">
        <v>24</v>
      </c>
      <c r="D1397" s="3" t="s">
        <v>351</v>
      </c>
      <c r="E1397" s="6">
        <v>0.43055555555555558</v>
      </c>
      <c r="F1397" s="6">
        <v>0.83402777777777781</v>
      </c>
      <c r="G1397" s="3" t="s">
        <v>20</v>
      </c>
      <c r="H1397" s="3" t="s">
        <v>14</v>
      </c>
      <c r="I1397" s="3" t="s">
        <v>15</v>
      </c>
    </row>
    <row r="1398" spans="1:9" s="3" customFormat="1" x14ac:dyDescent="0.3">
      <c r="A1398" s="3" t="s">
        <v>165</v>
      </c>
      <c r="B1398" s="3" t="s">
        <v>166</v>
      </c>
      <c r="C1398" s="3" t="s">
        <v>64</v>
      </c>
      <c r="D1398" s="3" t="s">
        <v>302</v>
      </c>
      <c r="E1398" s="6">
        <v>0.34513888888888888</v>
      </c>
      <c r="F1398" s="6">
        <v>0.67500000000000004</v>
      </c>
      <c r="G1398" s="3" t="s">
        <v>26</v>
      </c>
      <c r="H1398" s="3" t="s">
        <v>27</v>
      </c>
      <c r="I1398" s="3" t="s">
        <v>21</v>
      </c>
    </row>
    <row r="1399" spans="1:9" s="3" customFormat="1" x14ac:dyDescent="0.3">
      <c r="A1399" s="3" t="s">
        <v>72</v>
      </c>
      <c r="B1399" s="3" t="s">
        <v>73</v>
      </c>
      <c r="C1399" s="3" t="s">
        <v>24</v>
      </c>
      <c r="D1399" s="3" t="s">
        <v>313</v>
      </c>
      <c r="E1399" s="6">
        <v>0.4777777777777778</v>
      </c>
      <c r="F1399" s="6">
        <v>0.84166666666666667</v>
      </c>
      <c r="G1399" s="3" t="s">
        <v>26</v>
      </c>
      <c r="H1399" s="3" t="s">
        <v>27</v>
      </c>
      <c r="I1399" s="3" t="s">
        <v>15</v>
      </c>
    </row>
    <row r="1400" spans="1:9" s="3" customFormat="1" x14ac:dyDescent="0.3">
      <c r="A1400" s="3" t="s">
        <v>197</v>
      </c>
      <c r="B1400" s="3" t="s">
        <v>198</v>
      </c>
      <c r="C1400" s="3" t="s">
        <v>24</v>
      </c>
      <c r="D1400" s="3" t="s">
        <v>343</v>
      </c>
      <c r="E1400" s="6">
        <v>0.46805555555555556</v>
      </c>
      <c r="F1400" s="6">
        <v>0.75347222222222221</v>
      </c>
      <c r="G1400" s="3" t="s">
        <v>20</v>
      </c>
      <c r="H1400" s="3" t="s">
        <v>14</v>
      </c>
      <c r="I1400" s="3" t="s">
        <v>15</v>
      </c>
    </row>
    <row r="1401" spans="1:9" s="3" customFormat="1" x14ac:dyDescent="0.3">
      <c r="A1401" s="3" t="s">
        <v>119</v>
      </c>
      <c r="B1401" s="3" t="s">
        <v>120</v>
      </c>
      <c r="C1401" s="3" t="s">
        <v>64</v>
      </c>
      <c r="D1401" s="3" t="s">
        <v>294</v>
      </c>
      <c r="E1401" s="6">
        <v>0.36875000000000002</v>
      </c>
      <c r="F1401" s="6">
        <v>0.78680555555555554</v>
      </c>
      <c r="G1401" s="3" t="s">
        <v>20</v>
      </c>
      <c r="H1401" s="3" t="s">
        <v>14</v>
      </c>
      <c r="I1401" s="3" t="s">
        <v>21</v>
      </c>
    </row>
    <row r="1402" spans="1:9" s="3" customFormat="1" x14ac:dyDescent="0.3">
      <c r="A1402" s="3" t="s">
        <v>34</v>
      </c>
      <c r="B1402" s="3" t="s">
        <v>35</v>
      </c>
      <c r="C1402" s="3" t="s">
        <v>42</v>
      </c>
      <c r="D1402" s="3" t="s">
        <v>118</v>
      </c>
      <c r="E1402" s="6">
        <v>0.3972222222222222</v>
      </c>
      <c r="F1402" s="6">
        <v>0.86250000000000004</v>
      </c>
      <c r="G1402" s="3" t="s">
        <v>26</v>
      </c>
      <c r="H1402" s="3" t="s">
        <v>14</v>
      </c>
      <c r="I1402" s="3" t="s">
        <v>15</v>
      </c>
    </row>
    <row r="1403" spans="1:9" s="3" customFormat="1" x14ac:dyDescent="0.3">
      <c r="A1403" s="3" t="s">
        <v>175</v>
      </c>
      <c r="B1403" s="3" t="s">
        <v>176</v>
      </c>
      <c r="C1403" s="3" t="s">
        <v>60</v>
      </c>
      <c r="D1403" s="3" t="s">
        <v>159</v>
      </c>
      <c r="E1403" s="6">
        <v>0.49236111111111114</v>
      </c>
      <c r="F1403" s="6">
        <v>0.72291666666666665</v>
      </c>
      <c r="G1403" s="3" t="s">
        <v>26</v>
      </c>
      <c r="H1403" s="3" t="s">
        <v>27</v>
      </c>
      <c r="I1403" s="3" t="s">
        <v>21</v>
      </c>
    </row>
    <row r="1404" spans="1:9" s="3" customFormat="1" x14ac:dyDescent="0.3">
      <c r="A1404" s="3" t="s">
        <v>315</v>
      </c>
      <c r="B1404" s="3" t="s">
        <v>316</v>
      </c>
      <c r="C1404" s="3" t="s">
        <v>18</v>
      </c>
      <c r="D1404" s="3" t="s">
        <v>328</v>
      </c>
      <c r="E1404" s="6">
        <v>0.34513888888888888</v>
      </c>
      <c r="F1404" s="6">
        <v>0.84305555555555556</v>
      </c>
      <c r="G1404" s="3" t="s">
        <v>26</v>
      </c>
      <c r="H1404" s="3" t="s">
        <v>14</v>
      </c>
      <c r="I1404" s="3" t="s">
        <v>21</v>
      </c>
    </row>
    <row r="1405" spans="1:9" s="3" customFormat="1" x14ac:dyDescent="0.3">
      <c r="A1405" s="3" t="s">
        <v>34</v>
      </c>
      <c r="B1405" s="3" t="s">
        <v>35</v>
      </c>
      <c r="C1405" s="3" t="s">
        <v>42</v>
      </c>
      <c r="D1405" s="3" t="s">
        <v>47</v>
      </c>
      <c r="E1405" s="6">
        <v>0.42777777777777776</v>
      </c>
      <c r="F1405" s="6">
        <v>0.69861111111111107</v>
      </c>
      <c r="G1405" s="3" t="s">
        <v>20</v>
      </c>
      <c r="H1405" s="3" t="s">
        <v>27</v>
      </c>
      <c r="I1405" s="3" t="s">
        <v>15</v>
      </c>
    </row>
    <row r="1406" spans="1:9" s="3" customFormat="1" x14ac:dyDescent="0.3">
      <c r="A1406" s="3" t="s">
        <v>52</v>
      </c>
      <c r="B1406" s="3" t="s">
        <v>53</v>
      </c>
      <c r="C1406" s="3" t="s">
        <v>18</v>
      </c>
      <c r="D1406" s="3" t="s">
        <v>325</v>
      </c>
      <c r="E1406" s="6">
        <v>0.34652777777777777</v>
      </c>
      <c r="F1406" s="6">
        <v>0.84583333333333333</v>
      </c>
      <c r="G1406" s="3" t="s">
        <v>26</v>
      </c>
      <c r="H1406" s="3" t="s">
        <v>14</v>
      </c>
      <c r="I1406" s="3" t="s">
        <v>15</v>
      </c>
    </row>
    <row r="1407" spans="1:9" s="3" customFormat="1" x14ac:dyDescent="0.3">
      <c r="A1407" s="3" t="s">
        <v>204</v>
      </c>
      <c r="B1407" s="3" t="s">
        <v>205</v>
      </c>
      <c r="C1407" s="3" t="s">
        <v>18</v>
      </c>
      <c r="D1407" s="3" t="s">
        <v>403</v>
      </c>
      <c r="E1407" s="6"/>
      <c r="F1407" s="6"/>
      <c r="G1407" s="3" t="s">
        <v>44</v>
      </c>
      <c r="H1407" s="3" t="s">
        <v>14</v>
      </c>
      <c r="I1407" s="3" t="s">
        <v>21</v>
      </c>
    </row>
    <row r="1408" spans="1:9" s="3" customFormat="1" x14ac:dyDescent="0.3">
      <c r="A1408" s="3" t="s">
        <v>216</v>
      </c>
      <c r="B1408" s="3" t="s">
        <v>217</v>
      </c>
      <c r="C1408" s="3" t="s">
        <v>42</v>
      </c>
      <c r="D1408" s="3" t="s">
        <v>124</v>
      </c>
      <c r="E1408" s="6">
        <v>0.4548611111111111</v>
      </c>
      <c r="F1408" s="6">
        <v>0.81944444444444442</v>
      </c>
      <c r="G1408" s="3" t="s">
        <v>20</v>
      </c>
      <c r="H1408" s="3" t="s">
        <v>27</v>
      </c>
      <c r="I1408" s="3" t="s">
        <v>21</v>
      </c>
    </row>
    <row r="1409" spans="1:9" s="3" customFormat="1" x14ac:dyDescent="0.3">
      <c r="A1409" s="3" t="s">
        <v>52</v>
      </c>
      <c r="B1409" s="3" t="s">
        <v>53</v>
      </c>
      <c r="C1409" s="3" t="s">
        <v>42</v>
      </c>
      <c r="D1409" s="3" t="s">
        <v>255</v>
      </c>
      <c r="E1409" s="6">
        <v>0.42638888888888887</v>
      </c>
      <c r="F1409" s="6">
        <v>0.68680555555555556</v>
      </c>
      <c r="G1409" s="3" t="s">
        <v>26</v>
      </c>
      <c r="H1409" s="3" t="s">
        <v>14</v>
      </c>
      <c r="I1409" s="3" t="s">
        <v>15</v>
      </c>
    </row>
    <row r="1410" spans="1:9" s="3" customFormat="1" x14ac:dyDescent="0.3">
      <c r="A1410" s="3" t="s">
        <v>99</v>
      </c>
      <c r="B1410" s="3" t="s">
        <v>100</v>
      </c>
      <c r="C1410" s="3" t="s">
        <v>60</v>
      </c>
      <c r="D1410" s="3" t="s">
        <v>367</v>
      </c>
      <c r="E1410" s="6">
        <v>0.44305555555555554</v>
      </c>
      <c r="F1410" s="6">
        <v>0.69027777777777777</v>
      </c>
      <c r="G1410" s="3" t="s">
        <v>13</v>
      </c>
      <c r="H1410" s="3" t="s">
        <v>27</v>
      </c>
      <c r="I1410" s="3" t="s">
        <v>21</v>
      </c>
    </row>
    <row r="1411" spans="1:9" s="3" customFormat="1" x14ac:dyDescent="0.3">
      <c r="A1411" s="3" t="s">
        <v>22</v>
      </c>
      <c r="B1411" s="3" t="s">
        <v>23</v>
      </c>
      <c r="C1411" s="3" t="s">
        <v>239</v>
      </c>
      <c r="D1411" s="3" t="s">
        <v>33</v>
      </c>
      <c r="E1411" s="6">
        <v>0.39374999999999999</v>
      </c>
      <c r="F1411" s="6">
        <v>0.7583333333333333</v>
      </c>
      <c r="G1411" s="3" t="s">
        <v>13</v>
      </c>
      <c r="H1411" s="3" t="s">
        <v>14</v>
      </c>
      <c r="I1411" s="3" t="s">
        <v>15</v>
      </c>
    </row>
    <row r="1412" spans="1:9" s="3" customFormat="1" x14ac:dyDescent="0.3">
      <c r="A1412" s="3" t="s">
        <v>72</v>
      </c>
      <c r="B1412" s="3" t="s">
        <v>73</v>
      </c>
      <c r="C1412" s="3" t="s">
        <v>42</v>
      </c>
      <c r="D1412" s="3" t="s">
        <v>304</v>
      </c>
      <c r="E1412" s="6">
        <v>0.41319444444444442</v>
      </c>
      <c r="F1412" s="6">
        <v>0.67569444444444449</v>
      </c>
      <c r="G1412" s="3" t="s">
        <v>20</v>
      </c>
      <c r="H1412" s="3" t="s">
        <v>14</v>
      </c>
      <c r="I1412" s="3" t="s">
        <v>21</v>
      </c>
    </row>
    <row r="1413" spans="1:9" s="3" customFormat="1" x14ac:dyDescent="0.3">
      <c r="A1413" s="3" t="s">
        <v>55</v>
      </c>
      <c r="B1413" s="3" t="s">
        <v>56</v>
      </c>
      <c r="C1413" s="3" t="s">
        <v>24</v>
      </c>
      <c r="D1413" s="3" t="s">
        <v>275</v>
      </c>
      <c r="E1413" s="6">
        <v>0.4597222222222222</v>
      </c>
      <c r="F1413" s="6">
        <v>0.80763888888888891</v>
      </c>
      <c r="G1413" s="3" t="s">
        <v>20</v>
      </c>
      <c r="H1413" s="3" t="s">
        <v>27</v>
      </c>
      <c r="I1413" s="3" t="s">
        <v>15</v>
      </c>
    </row>
    <row r="1414" spans="1:9" s="3" customFormat="1" x14ac:dyDescent="0.3">
      <c r="A1414" s="3" t="s">
        <v>99</v>
      </c>
      <c r="B1414" s="3" t="s">
        <v>100</v>
      </c>
      <c r="C1414" s="3" t="s">
        <v>60</v>
      </c>
      <c r="D1414" s="3" t="s">
        <v>337</v>
      </c>
      <c r="E1414" s="6">
        <v>0.3972222222222222</v>
      </c>
      <c r="F1414" s="6">
        <v>0.7680555555555556</v>
      </c>
      <c r="G1414" s="3" t="s">
        <v>26</v>
      </c>
      <c r="H1414" s="3" t="s">
        <v>27</v>
      </c>
      <c r="I1414" s="3" t="s">
        <v>21</v>
      </c>
    </row>
    <row r="1415" spans="1:9" s="3" customFormat="1" x14ac:dyDescent="0.3">
      <c r="A1415" s="3" t="s">
        <v>31</v>
      </c>
      <c r="B1415" s="3" t="s">
        <v>32</v>
      </c>
      <c r="C1415" s="3" t="s">
        <v>64</v>
      </c>
      <c r="D1415" s="3" t="s">
        <v>132</v>
      </c>
      <c r="E1415" s="6">
        <v>0.37986111111111109</v>
      </c>
      <c r="F1415" s="6">
        <v>0.71180555555555558</v>
      </c>
      <c r="G1415" s="3" t="s">
        <v>20</v>
      </c>
      <c r="H1415" s="3" t="s">
        <v>27</v>
      </c>
      <c r="I1415" s="3" t="s">
        <v>21</v>
      </c>
    </row>
    <row r="1416" spans="1:9" s="3" customFormat="1" x14ac:dyDescent="0.3">
      <c r="A1416" s="3" t="s">
        <v>72</v>
      </c>
      <c r="B1416" s="3" t="s">
        <v>73</v>
      </c>
      <c r="C1416" s="3" t="s">
        <v>64</v>
      </c>
      <c r="D1416" s="3" t="s">
        <v>282</v>
      </c>
      <c r="E1416" s="6">
        <v>0.35902777777777778</v>
      </c>
      <c r="F1416" s="6">
        <v>0.83888888888888891</v>
      </c>
      <c r="G1416" s="3" t="s">
        <v>20</v>
      </c>
      <c r="H1416" s="3" t="s">
        <v>27</v>
      </c>
      <c r="I1416" s="3" t="s">
        <v>15</v>
      </c>
    </row>
    <row r="1417" spans="1:9" s="3" customFormat="1" x14ac:dyDescent="0.3">
      <c r="A1417" s="3" t="s">
        <v>362</v>
      </c>
      <c r="B1417" s="3" t="s">
        <v>363</v>
      </c>
      <c r="C1417" s="3" t="s">
        <v>18</v>
      </c>
      <c r="D1417" s="3" t="s">
        <v>145</v>
      </c>
      <c r="E1417" s="6"/>
      <c r="F1417" s="6"/>
      <c r="G1417" s="3" t="s">
        <v>44</v>
      </c>
      <c r="H1417" s="3" t="s">
        <v>14</v>
      </c>
      <c r="I1417" s="3" t="s">
        <v>15</v>
      </c>
    </row>
    <row r="1418" spans="1:9" s="3" customFormat="1" x14ac:dyDescent="0.3">
      <c r="A1418" s="3" t="s">
        <v>236</v>
      </c>
      <c r="B1418" s="3" t="s">
        <v>237</v>
      </c>
      <c r="C1418" s="3" t="s">
        <v>64</v>
      </c>
      <c r="D1418" s="3" t="s">
        <v>367</v>
      </c>
      <c r="E1418" s="6">
        <v>0.4284722222222222</v>
      </c>
      <c r="F1418" s="6">
        <v>0.83402777777777781</v>
      </c>
      <c r="G1418" s="3" t="s">
        <v>20</v>
      </c>
      <c r="H1418" s="3" t="s">
        <v>14</v>
      </c>
      <c r="I1418" s="3" t="s">
        <v>15</v>
      </c>
    </row>
    <row r="1419" spans="1:9" s="3" customFormat="1" x14ac:dyDescent="0.3">
      <c r="A1419" s="3" t="s">
        <v>58</v>
      </c>
      <c r="B1419" s="3" t="s">
        <v>59</v>
      </c>
      <c r="C1419" s="3" t="s">
        <v>18</v>
      </c>
      <c r="D1419" s="3" t="s">
        <v>370</v>
      </c>
      <c r="E1419" s="6">
        <v>0.44722222222222224</v>
      </c>
      <c r="F1419" s="6">
        <v>0.84097222222222223</v>
      </c>
      <c r="G1419" s="3" t="s">
        <v>13</v>
      </c>
      <c r="H1419" s="3" t="s">
        <v>27</v>
      </c>
      <c r="I1419" s="3" t="s">
        <v>21</v>
      </c>
    </row>
    <row r="1420" spans="1:9" s="3" customFormat="1" x14ac:dyDescent="0.3">
      <c r="A1420" s="3" t="s">
        <v>150</v>
      </c>
      <c r="B1420" s="3" t="s">
        <v>151</v>
      </c>
      <c r="C1420" s="3" t="s">
        <v>42</v>
      </c>
      <c r="D1420" s="3" t="s">
        <v>356</v>
      </c>
      <c r="E1420" s="6">
        <v>0.4284722222222222</v>
      </c>
      <c r="F1420" s="6">
        <v>0.72361111111111109</v>
      </c>
      <c r="G1420" s="3" t="s">
        <v>125</v>
      </c>
      <c r="H1420" s="3" t="s">
        <v>14</v>
      </c>
      <c r="I1420" s="3" t="s">
        <v>15</v>
      </c>
    </row>
    <row r="1421" spans="1:9" s="3" customFormat="1" x14ac:dyDescent="0.3">
      <c r="A1421" s="3" t="s">
        <v>48</v>
      </c>
      <c r="B1421" s="3" t="s">
        <v>49</v>
      </c>
      <c r="C1421" s="3" t="s">
        <v>42</v>
      </c>
      <c r="D1421" s="3" t="s">
        <v>412</v>
      </c>
      <c r="E1421" s="6">
        <v>0.43819444444444444</v>
      </c>
      <c r="F1421" s="6">
        <v>0.83263888888888893</v>
      </c>
      <c r="G1421" s="3" t="s">
        <v>13</v>
      </c>
      <c r="H1421" s="3" t="s">
        <v>14</v>
      </c>
      <c r="I1421" s="3" t="s">
        <v>21</v>
      </c>
    </row>
    <row r="1422" spans="1:9" s="3" customFormat="1" x14ac:dyDescent="0.3">
      <c r="A1422" s="3" t="s">
        <v>40</v>
      </c>
      <c r="B1422" s="3" t="s">
        <v>41</v>
      </c>
      <c r="C1422" s="3" t="s">
        <v>64</v>
      </c>
      <c r="D1422" s="3" t="s">
        <v>310</v>
      </c>
      <c r="E1422" s="6"/>
      <c r="F1422" s="6"/>
      <c r="G1422" s="3" t="s">
        <v>44</v>
      </c>
      <c r="H1422" s="3" t="s">
        <v>27</v>
      </c>
      <c r="I1422" s="3" t="s">
        <v>21</v>
      </c>
    </row>
    <row r="1423" spans="1:9" s="3" customFormat="1" x14ac:dyDescent="0.3">
      <c r="A1423" s="3" t="s">
        <v>81</v>
      </c>
      <c r="B1423" s="3" t="s">
        <v>82</v>
      </c>
      <c r="C1423" s="3" t="s">
        <v>24</v>
      </c>
      <c r="D1423" s="3" t="s">
        <v>92</v>
      </c>
      <c r="E1423" s="6">
        <v>0.33750000000000002</v>
      </c>
      <c r="F1423" s="6">
        <v>0.67777777777777781</v>
      </c>
      <c r="G1423" s="3" t="s">
        <v>20</v>
      </c>
      <c r="H1423" s="3" t="s">
        <v>14</v>
      </c>
      <c r="I1423" s="3" t="s">
        <v>15</v>
      </c>
    </row>
    <row r="1424" spans="1:9" s="3" customFormat="1" x14ac:dyDescent="0.3">
      <c r="A1424" s="3" t="s">
        <v>90</v>
      </c>
      <c r="B1424" s="3" t="s">
        <v>91</v>
      </c>
      <c r="C1424" s="3" t="s">
        <v>64</v>
      </c>
      <c r="D1424" s="3" t="s">
        <v>105</v>
      </c>
      <c r="E1424" s="6">
        <v>0.39652777777777776</v>
      </c>
      <c r="F1424" s="6">
        <v>0.82986111111111116</v>
      </c>
      <c r="G1424" s="3" t="s">
        <v>26</v>
      </c>
      <c r="H1424" s="3" t="s">
        <v>14</v>
      </c>
      <c r="I1424" s="3" t="s">
        <v>21</v>
      </c>
    </row>
    <row r="1425" spans="1:9" s="3" customFormat="1" x14ac:dyDescent="0.3">
      <c r="A1425" s="3" t="s">
        <v>138</v>
      </c>
      <c r="B1425" s="3" t="s">
        <v>139</v>
      </c>
      <c r="C1425" s="3" t="s">
        <v>64</v>
      </c>
      <c r="D1425" s="3" t="s">
        <v>298</v>
      </c>
      <c r="E1425" s="6"/>
      <c r="F1425" s="6"/>
      <c r="G1425" s="3" t="s">
        <v>44</v>
      </c>
      <c r="H1425" s="3" t="s">
        <v>27</v>
      </c>
      <c r="I1425" s="3" t="s">
        <v>21</v>
      </c>
    </row>
    <row r="1426" spans="1:9" s="3" customFormat="1" x14ac:dyDescent="0.3">
      <c r="A1426" s="3" t="s">
        <v>115</v>
      </c>
      <c r="B1426" s="3" t="s">
        <v>116</v>
      </c>
      <c r="C1426" s="3" t="s">
        <v>42</v>
      </c>
      <c r="D1426" s="3" t="s">
        <v>12</v>
      </c>
      <c r="E1426" s="6">
        <v>0.4548611111111111</v>
      </c>
      <c r="F1426" s="6">
        <v>0.76041666666666663</v>
      </c>
      <c r="G1426" s="3" t="s">
        <v>13</v>
      </c>
      <c r="H1426" s="3" t="s">
        <v>27</v>
      </c>
      <c r="I1426" s="3" t="s">
        <v>15</v>
      </c>
    </row>
    <row r="1427" spans="1:9" s="3" customFormat="1" x14ac:dyDescent="0.3">
      <c r="A1427" s="3" t="s">
        <v>191</v>
      </c>
      <c r="B1427" s="3" t="s">
        <v>192</v>
      </c>
      <c r="C1427" s="3" t="s">
        <v>18</v>
      </c>
      <c r="D1427" s="3" t="s">
        <v>182</v>
      </c>
      <c r="E1427" s="6">
        <v>0.36249999999999999</v>
      </c>
      <c r="F1427" s="6">
        <v>0.72361111111111109</v>
      </c>
      <c r="G1427" s="3" t="s">
        <v>20</v>
      </c>
      <c r="H1427" s="3" t="s">
        <v>14</v>
      </c>
      <c r="I1427" s="3" t="s">
        <v>15</v>
      </c>
    </row>
    <row r="1428" spans="1:9" s="3" customFormat="1" x14ac:dyDescent="0.3">
      <c r="A1428" s="3" t="s">
        <v>28</v>
      </c>
      <c r="B1428" s="3" t="s">
        <v>29</v>
      </c>
      <c r="C1428" s="3" t="s">
        <v>64</v>
      </c>
      <c r="D1428" s="3" t="s">
        <v>206</v>
      </c>
      <c r="E1428" s="6">
        <v>0.45694444444444443</v>
      </c>
      <c r="F1428" s="6">
        <v>0.8520833333333333</v>
      </c>
      <c r="G1428" s="3" t="s">
        <v>26</v>
      </c>
      <c r="H1428" s="3" t="s">
        <v>14</v>
      </c>
      <c r="I1428" s="3" t="s">
        <v>15</v>
      </c>
    </row>
    <row r="1429" spans="1:9" s="3" customFormat="1" x14ac:dyDescent="0.3">
      <c r="A1429" s="3" t="s">
        <v>90</v>
      </c>
      <c r="B1429" s="3" t="s">
        <v>91</v>
      </c>
      <c r="C1429" s="3" t="s">
        <v>42</v>
      </c>
      <c r="D1429" s="3" t="s">
        <v>118</v>
      </c>
      <c r="E1429" s="6">
        <v>0.3923611111111111</v>
      </c>
      <c r="F1429" s="6">
        <v>0.82152777777777775</v>
      </c>
      <c r="G1429" s="3" t="s">
        <v>13</v>
      </c>
      <c r="H1429" s="3" t="s">
        <v>14</v>
      </c>
      <c r="I1429" s="3" t="s">
        <v>21</v>
      </c>
    </row>
    <row r="1430" spans="1:9" s="3" customFormat="1" x14ac:dyDescent="0.3">
      <c r="A1430" s="3" t="s">
        <v>171</v>
      </c>
      <c r="B1430" s="3" t="s">
        <v>172</v>
      </c>
      <c r="C1430" s="3" t="s">
        <v>60</v>
      </c>
      <c r="D1430" s="3" t="s">
        <v>265</v>
      </c>
      <c r="E1430" s="6">
        <v>0.49166666666666664</v>
      </c>
      <c r="F1430" s="6">
        <v>0.78055555555555556</v>
      </c>
      <c r="G1430" s="3" t="s">
        <v>26</v>
      </c>
      <c r="H1430" s="3" t="s">
        <v>27</v>
      </c>
      <c r="I1430" s="3" t="s">
        <v>15</v>
      </c>
    </row>
    <row r="1431" spans="1:9" s="3" customFormat="1" x14ac:dyDescent="0.3">
      <c r="A1431" s="3" t="s">
        <v>291</v>
      </c>
      <c r="B1431" s="3" t="s">
        <v>292</v>
      </c>
      <c r="C1431" s="3" t="s">
        <v>60</v>
      </c>
      <c r="D1431" s="3" t="s">
        <v>386</v>
      </c>
      <c r="E1431" s="6">
        <v>0.39166666666666666</v>
      </c>
      <c r="F1431" s="6">
        <v>0.76736111111111116</v>
      </c>
      <c r="G1431" s="3" t="s">
        <v>13</v>
      </c>
      <c r="H1431" s="3" t="s">
        <v>27</v>
      </c>
      <c r="I1431" s="3" t="s">
        <v>15</v>
      </c>
    </row>
    <row r="1432" spans="1:9" s="3" customFormat="1" x14ac:dyDescent="0.3">
      <c r="A1432" s="3" t="s">
        <v>122</v>
      </c>
      <c r="B1432" s="3" t="s">
        <v>123</v>
      </c>
      <c r="C1432" s="3" t="s">
        <v>64</v>
      </c>
      <c r="D1432" s="3" t="s">
        <v>268</v>
      </c>
      <c r="E1432" s="6">
        <v>0.34513888888888888</v>
      </c>
      <c r="F1432" s="6">
        <v>0.67152777777777772</v>
      </c>
      <c r="G1432" s="3" t="s">
        <v>13</v>
      </c>
      <c r="H1432" s="3" t="s">
        <v>14</v>
      </c>
      <c r="I1432" s="3" t="s">
        <v>21</v>
      </c>
    </row>
    <row r="1433" spans="1:9" s="3" customFormat="1" x14ac:dyDescent="0.3">
      <c r="A1433" s="3" t="s">
        <v>119</v>
      </c>
      <c r="B1433" s="3" t="s">
        <v>120</v>
      </c>
      <c r="C1433" s="3" t="s">
        <v>64</v>
      </c>
      <c r="D1433" s="3" t="s">
        <v>68</v>
      </c>
      <c r="E1433" s="6"/>
      <c r="F1433" s="6"/>
      <c r="G1433" s="3" t="s">
        <v>44</v>
      </c>
      <c r="H1433" s="3" t="s">
        <v>14</v>
      </c>
      <c r="I1433" s="3" t="s">
        <v>15</v>
      </c>
    </row>
    <row r="1434" spans="1:9" s="3" customFormat="1" x14ac:dyDescent="0.3">
      <c r="A1434" s="3" t="s">
        <v>246</v>
      </c>
      <c r="B1434" s="3" t="s">
        <v>247</v>
      </c>
      <c r="C1434" s="3" t="s">
        <v>42</v>
      </c>
      <c r="D1434" s="3" t="s">
        <v>272</v>
      </c>
      <c r="E1434" s="6"/>
      <c r="F1434" s="6"/>
      <c r="G1434" s="3" t="s">
        <v>44</v>
      </c>
      <c r="H1434" s="3" t="s">
        <v>14</v>
      </c>
      <c r="I1434" s="3" t="s">
        <v>15</v>
      </c>
    </row>
    <row r="1435" spans="1:9" s="3" customFormat="1" x14ac:dyDescent="0.3">
      <c r="A1435" s="3" t="s">
        <v>250</v>
      </c>
      <c r="B1435" s="3" t="s">
        <v>251</v>
      </c>
      <c r="C1435" s="3" t="s">
        <v>64</v>
      </c>
      <c r="D1435" s="3" t="s">
        <v>308</v>
      </c>
      <c r="E1435" s="6">
        <v>0.47013888888888888</v>
      </c>
      <c r="F1435" s="6">
        <v>0.75416666666666665</v>
      </c>
      <c r="G1435" s="3" t="s">
        <v>13</v>
      </c>
      <c r="H1435" s="3" t="s">
        <v>14</v>
      </c>
      <c r="I1435" s="3" t="s">
        <v>15</v>
      </c>
    </row>
    <row r="1436" spans="1:9" s="3" customFormat="1" x14ac:dyDescent="0.3">
      <c r="A1436" s="3" t="s">
        <v>96</v>
      </c>
      <c r="B1436" s="3" t="s">
        <v>97</v>
      </c>
      <c r="C1436" s="3" t="s">
        <v>18</v>
      </c>
      <c r="D1436" s="3" t="s">
        <v>182</v>
      </c>
      <c r="E1436" s="6">
        <v>0.35347222222222224</v>
      </c>
      <c r="F1436" s="6">
        <v>0.69722222222222219</v>
      </c>
      <c r="G1436" s="3" t="s">
        <v>170</v>
      </c>
      <c r="H1436" s="3" t="s">
        <v>27</v>
      </c>
      <c r="I1436" s="3" t="s">
        <v>21</v>
      </c>
    </row>
    <row r="1437" spans="1:9" s="3" customFormat="1" x14ac:dyDescent="0.3">
      <c r="A1437" s="3" t="s">
        <v>165</v>
      </c>
      <c r="B1437" s="3" t="s">
        <v>166</v>
      </c>
      <c r="C1437" s="3" t="s">
        <v>60</v>
      </c>
      <c r="D1437" s="3" t="s">
        <v>262</v>
      </c>
      <c r="E1437" s="6">
        <v>0.4375</v>
      </c>
      <c r="F1437" s="6">
        <v>0.84583333333333333</v>
      </c>
      <c r="G1437" s="3" t="s">
        <v>26</v>
      </c>
      <c r="H1437" s="3" t="s">
        <v>14</v>
      </c>
      <c r="I1437" s="3" t="s">
        <v>15</v>
      </c>
    </row>
    <row r="1438" spans="1:9" s="3" customFormat="1" x14ac:dyDescent="0.3">
      <c r="A1438" s="3" t="s">
        <v>102</v>
      </c>
      <c r="B1438" s="3" t="s">
        <v>103</v>
      </c>
      <c r="C1438" s="3" t="s">
        <v>60</v>
      </c>
      <c r="D1438" s="3" t="s">
        <v>420</v>
      </c>
      <c r="E1438" s="6"/>
      <c r="F1438" s="6"/>
      <c r="G1438" s="3" t="s">
        <v>44</v>
      </c>
      <c r="H1438" s="3" t="s">
        <v>27</v>
      </c>
      <c r="I1438" s="3" t="s">
        <v>21</v>
      </c>
    </row>
    <row r="1439" spans="1:9" s="3" customFormat="1" x14ac:dyDescent="0.3">
      <c r="A1439" s="3" t="s">
        <v>96</v>
      </c>
      <c r="B1439" s="3" t="s">
        <v>97</v>
      </c>
      <c r="C1439" s="3" t="s">
        <v>64</v>
      </c>
      <c r="D1439" s="3" t="s">
        <v>356</v>
      </c>
      <c r="E1439" s="6">
        <v>0.40833333333333333</v>
      </c>
      <c r="F1439" s="6">
        <v>0.78541666666666665</v>
      </c>
      <c r="G1439" s="3" t="s">
        <v>26</v>
      </c>
      <c r="H1439" s="3" t="s">
        <v>14</v>
      </c>
      <c r="I1439" s="3" t="s">
        <v>15</v>
      </c>
    </row>
    <row r="1440" spans="1:9" s="3" customFormat="1" x14ac:dyDescent="0.3">
      <c r="A1440" s="3" t="s">
        <v>40</v>
      </c>
      <c r="B1440" s="3" t="s">
        <v>41</v>
      </c>
      <c r="C1440" s="3" t="s">
        <v>18</v>
      </c>
      <c r="D1440" s="3" t="s">
        <v>290</v>
      </c>
      <c r="E1440" s="6">
        <v>0.35833333333333334</v>
      </c>
      <c r="F1440" s="6">
        <v>0.8041666666666667</v>
      </c>
      <c r="G1440" s="3" t="s">
        <v>26</v>
      </c>
      <c r="H1440" s="3" t="s">
        <v>14</v>
      </c>
      <c r="I1440" s="3" t="s">
        <v>21</v>
      </c>
    </row>
    <row r="1441" spans="1:9" s="3" customFormat="1" x14ac:dyDescent="0.3">
      <c r="A1441" s="3" t="s">
        <v>75</v>
      </c>
      <c r="B1441" s="3" t="s">
        <v>76</v>
      </c>
      <c r="C1441" s="3" t="s">
        <v>60</v>
      </c>
      <c r="D1441" s="3" t="s">
        <v>412</v>
      </c>
      <c r="E1441" s="6"/>
      <c r="F1441" s="6"/>
      <c r="G1441" s="3" t="s">
        <v>44</v>
      </c>
      <c r="H1441" s="3" t="s">
        <v>14</v>
      </c>
      <c r="I1441" s="3" t="s">
        <v>15</v>
      </c>
    </row>
    <row r="1442" spans="1:9" s="3" customFormat="1" x14ac:dyDescent="0.3">
      <c r="A1442" s="3" t="s">
        <v>58</v>
      </c>
      <c r="B1442" s="3" t="s">
        <v>59</v>
      </c>
      <c r="C1442" s="3" t="s">
        <v>42</v>
      </c>
      <c r="D1442" s="3" t="s">
        <v>329</v>
      </c>
      <c r="E1442" s="6">
        <v>0.38124999999999998</v>
      </c>
      <c r="F1442" s="6">
        <v>0.68541666666666667</v>
      </c>
      <c r="G1442" s="3" t="s">
        <v>20</v>
      </c>
      <c r="H1442" s="3" t="s">
        <v>27</v>
      </c>
      <c r="I1442" s="3" t="s">
        <v>15</v>
      </c>
    </row>
    <row r="1443" spans="1:9" s="3" customFormat="1" x14ac:dyDescent="0.3">
      <c r="A1443" s="3" t="s">
        <v>191</v>
      </c>
      <c r="B1443" s="3" t="s">
        <v>192</v>
      </c>
      <c r="C1443" s="3" t="s">
        <v>60</v>
      </c>
      <c r="D1443" s="3" t="s">
        <v>114</v>
      </c>
      <c r="E1443" s="6">
        <v>0.43194444444444446</v>
      </c>
      <c r="F1443" s="6">
        <v>0.70694444444444449</v>
      </c>
      <c r="G1443" s="3" t="s">
        <v>20</v>
      </c>
      <c r="H1443" s="3" t="s">
        <v>14</v>
      </c>
      <c r="I1443" s="3" t="s">
        <v>15</v>
      </c>
    </row>
    <row r="1444" spans="1:9" s="3" customFormat="1" x14ac:dyDescent="0.3">
      <c r="A1444" s="3" t="s">
        <v>269</v>
      </c>
      <c r="B1444" s="3" t="s">
        <v>270</v>
      </c>
      <c r="C1444" s="3" t="s">
        <v>239</v>
      </c>
      <c r="D1444" s="3" t="s">
        <v>61</v>
      </c>
      <c r="E1444" s="6">
        <v>0.41041666666666665</v>
      </c>
      <c r="F1444" s="6">
        <v>0.67708333333333337</v>
      </c>
      <c r="G1444" s="3" t="s">
        <v>20</v>
      </c>
      <c r="H1444" s="3" t="s">
        <v>14</v>
      </c>
      <c r="I1444" s="3" t="s">
        <v>21</v>
      </c>
    </row>
    <row r="1445" spans="1:9" s="3" customFormat="1" x14ac:dyDescent="0.3">
      <c r="A1445" s="3" t="s">
        <v>291</v>
      </c>
      <c r="B1445" s="3" t="s">
        <v>292</v>
      </c>
      <c r="C1445" s="3" t="s">
        <v>42</v>
      </c>
      <c r="D1445" s="3" t="s">
        <v>271</v>
      </c>
      <c r="E1445" s="6">
        <v>0.34791666666666665</v>
      </c>
      <c r="F1445" s="6">
        <v>0.7416666666666667</v>
      </c>
      <c r="G1445" s="3" t="s">
        <v>20</v>
      </c>
      <c r="H1445" s="3" t="s">
        <v>14</v>
      </c>
      <c r="I1445" s="3" t="s">
        <v>21</v>
      </c>
    </row>
    <row r="1446" spans="1:9" s="3" customFormat="1" x14ac:dyDescent="0.3">
      <c r="A1446" s="3" t="s">
        <v>134</v>
      </c>
      <c r="B1446" s="3" t="s">
        <v>135</v>
      </c>
      <c r="C1446" s="3" t="s">
        <v>64</v>
      </c>
      <c r="D1446" s="3" t="s">
        <v>386</v>
      </c>
      <c r="E1446" s="6">
        <v>0.40277777777777779</v>
      </c>
      <c r="F1446" s="6">
        <v>0.71736111111111112</v>
      </c>
      <c r="G1446" s="3" t="s">
        <v>13</v>
      </c>
      <c r="H1446" s="3" t="s">
        <v>14</v>
      </c>
      <c r="I1446" s="3" t="s">
        <v>15</v>
      </c>
    </row>
    <row r="1447" spans="1:9" s="3" customFormat="1" x14ac:dyDescent="0.3">
      <c r="A1447" s="3" t="s">
        <v>165</v>
      </c>
      <c r="B1447" s="3" t="s">
        <v>166</v>
      </c>
      <c r="C1447" s="3" t="s">
        <v>42</v>
      </c>
      <c r="D1447" s="3" t="s">
        <v>289</v>
      </c>
      <c r="E1447" s="6">
        <v>0.35208333333333336</v>
      </c>
      <c r="F1447" s="6">
        <v>0.6694444444444444</v>
      </c>
      <c r="G1447" s="3" t="s">
        <v>26</v>
      </c>
      <c r="H1447" s="3" t="s">
        <v>27</v>
      </c>
      <c r="I1447" s="3" t="s">
        <v>15</v>
      </c>
    </row>
    <row r="1448" spans="1:9" s="3" customFormat="1" x14ac:dyDescent="0.3">
      <c r="A1448" s="3" t="s">
        <v>69</v>
      </c>
      <c r="B1448" s="3" t="s">
        <v>70</v>
      </c>
      <c r="C1448" s="3" t="s">
        <v>18</v>
      </c>
      <c r="D1448" s="3" t="s">
        <v>293</v>
      </c>
      <c r="E1448" s="6"/>
      <c r="F1448" s="6"/>
      <c r="G1448" s="3" t="s">
        <v>125</v>
      </c>
      <c r="H1448" s="3" t="s">
        <v>27</v>
      </c>
      <c r="I1448" s="3" t="s">
        <v>15</v>
      </c>
    </row>
    <row r="1449" spans="1:9" s="3" customFormat="1" x14ac:dyDescent="0.3">
      <c r="A1449" s="3" t="s">
        <v>62</v>
      </c>
      <c r="B1449" s="3" t="s">
        <v>63</v>
      </c>
      <c r="C1449" s="3" t="s">
        <v>60</v>
      </c>
      <c r="D1449" s="3" t="s">
        <v>98</v>
      </c>
      <c r="E1449" s="6"/>
      <c r="F1449" s="6"/>
      <c r="G1449" s="3" t="s">
        <v>44</v>
      </c>
      <c r="H1449" s="3" t="s">
        <v>14</v>
      </c>
      <c r="I1449" s="3" t="s">
        <v>15</v>
      </c>
    </row>
    <row r="1450" spans="1:9" s="3" customFormat="1" x14ac:dyDescent="0.3">
      <c r="A1450" s="3" t="s">
        <v>200</v>
      </c>
      <c r="B1450" s="3" t="s">
        <v>201</v>
      </c>
      <c r="C1450" s="3" t="s">
        <v>18</v>
      </c>
      <c r="D1450" s="3" t="s">
        <v>295</v>
      </c>
      <c r="E1450" s="6">
        <v>0.3527777777777778</v>
      </c>
      <c r="F1450" s="6">
        <v>0.82430555555555551</v>
      </c>
      <c r="G1450" s="3" t="s">
        <v>13</v>
      </c>
      <c r="H1450" s="3" t="s">
        <v>27</v>
      </c>
      <c r="I1450" s="3" t="s">
        <v>15</v>
      </c>
    </row>
    <row r="1451" spans="1:9" s="3" customFormat="1" x14ac:dyDescent="0.3">
      <c r="A1451" s="3" t="s">
        <v>269</v>
      </c>
      <c r="B1451" s="3" t="s">
        <v>270</v>
      </c>
      <c r="C1451" s="3" t="s">
        <v>60</v>
      </c>
      <c r="D1451" s="3" t="s">
        <v>280</v>
      </c>
      <c r="E1451" s="6">
        <v>0.4465277777777778</v>
      </c>
      <c r="F1451" s="6">
        <v>0.77430555555555558</v>
      </c>
      <c r="G1451" s="3" t="s">
        <v>26</v>
      </c>
      <c r="H1451" s="3" t="s">
        <v>27</v>
      </c>
      <c r="I1451" s="3" t="s">
        <v>15</v>
      </c>
    </row>
    <row r="1452" spans="1:9" s="3" customFormat="1" x14ac:dyDescent="0.3">
      <c r="A1452" s="3" t="s">
        <v>72</v>
      </c>
      <c r="B1452" s="3" t="s">
        <v>73</v>
      </c>
      <c r="C1452" s="3" t="s">
        <v>60</v>
      </c>
      <c r="D1452" s="3" t="s">
        <v>279</v>
      </c>
      <c r="E1452" s="6"/>
      <c r="F1452" s="6"/>
      <c r="G1452" s="3" t="s">
        <v>44</v>
      </c>
      <c r="H1452" s="3" t="s">
        <v>27</v>
      </c>
      <c r="I1452" s="3" t="s">
        <v>21</v>
      </c>
    </row>
    <row r="1453" spans="1:9" s="3" customFormat="1" x14ac:dyDescent="0.3">
      <c r="A1453" s="3" t="s">
        <v>197</v>
      </c>
      <c r="B1453" s="3" t="s">
        <v>198</v>
      </c>
      <c r="C1453" s="3" t="s">
        <v>64</v>
      </c>
      <c r="D1453" s="3" t="s">
        <v>182</v>
      </c>
      <c r="E1453" s="6">
        <v>0.41666666666666669</v>
      </c>
      <c r="F1453" s="6">
        <v>0.69097222222222221</v>
      </c>
      <c r="G1453" s="3" t="s">
        <v>13</v>
      </c>
      <c r="H1453" s="3" t="s">
        <v>14</v>
      </c>
      <c r="I1453" s="3" t="s">
        <v>21</v>
      </c>
    </row>
    <row r="1454" spans="1:9" s="3" customFormat="1" x14ac:dyDescent="0.3">
      <c r="A1454" s="3" t="s">
        <v>200</v>
      </c>
      <c r="B1454" s="3" t="s">
        <v>201</v>
      </c>
      <c r="C1454" s="3" t="s">
        <v>60</v>
      </c>
      <c r="D1454" s="3" t="s">
        <v>221</v>
      </c>
      <c r="E1454" s="6">
        <v>0.49513888888888891</v>
      </c>
      <c r="F1454" s="6">
        <v>0.67847222222222225</v>
      </c>
      <c r="G1454" s="3" t="s">
        <v>20</v>
      </c>
      <c r="H1454" s="3" t="s">
        <v>27</v>
      </c>
      <c r="I1454" s="3" t="s">
        <v>15</v>
      </c>
    </row>
    <row r="1455" spans="1:9" s="3" customFormat="1" x14ac:dyDescent="0.3">
      <c r="A1455" s="3" t="s">
        <v>315</v>
      </c>
      <c r="B1455" s="3" t="s">
        <v>316</v>
      </c>
      <c r="C1455" s="3" t="s">
        <v>42</v>
      </c>
      <c r="D1455" s="3" t="s">
        <v>406</v>
      </c>
      <c r="E1455" s="6">
        <v>0.3611111111111111</v>
      </c>
      <c r="F1455" s="6">
        <v>0.73819444444444449</v>
      </c>
      <c r="G1455" s="3" t="s">
        <v>13</v>
      </c>
      <c r="H1455" s="3" t="s">
        <v>14</v>
      </c>
      <c r="I1455" s="3" t="s">
        <v>21</v>
      </c>
    </row>
    <row r="1456" spans="1:9" s="3" customFormat="1" x14ac:dyDescent="0.3">
      <c r="A1456" s="3" t="s">
        <v>175</v>
      </c>
      <c r="B1456" s="3" t="s">
        <v>176</v>
      </c>
      <c r="C1456" s="3" t="s">
        <v>42</v>
      </c>
      <c r="D1456" s="3" t="s">
        <v>92</v>
      </c>
      <c r="E1456" s="6">
        <v>0.43055555555555558</v>
      </c>
      <c r="F1456" s="6">
        <v>0.82430555555555551</v>
      </c>
      <c r="G1456" s="3" t="s">
        <v>20</v>
      </c>
      <c r="H1456" s="3" t="s">
        <v>14</v>
      </c>
      <c r="I1456" s="3" t="s">
        <v>15</v>
      </c>
    </row>
    <row r="1457" spans="1:9" s="3" customFormat="1" x14ac:dyDescent="0.3">
      <c r="A1457" s="3" t="s">
        <v>122</v>
      </c>
      <c r="B1457" s="3" t="s">
        <v>123</v>
      </c>
      <c r="C1457" s="3" t="s">
        <v>64</v>
      </c>
      <c r="D1457" s="3" t="s">
        <v>272</v>
      </c>
      <c r="E1457" s="6">
        <v>0.41041666666666665</v>
      </c>
      <c r="F1457" s="6">
        <v>0.70972222222222225</v>
      </c>
      <c r="G1457" s="3" t="s">
        <v>26</v>
      </c>
      <c r="H1457" s="3" t="s">
        <v>27</v>
      </c>
      <c r="I1457" s="3" t="s">
        <v>21</v>
      </c>
    </row>
    <row r="1458" spans="1:9" s="3" customFormat="1" x14ac:dyDescent="0.3">
      <c r="A1458" s="3" t="s">
        <v>78</v>
      </c>
      <c r="B1458" s="3" t="s">
        <v>79</v>
      </c>
      <c r="C1458" s="3" t="s">
        <v>143</v>
      </c>
      <c r="D1458" s="3" t="s">
        <v>235</v>
      </c>
      <c r="E1458" s="6">
        <v>0.38472222222222224</v>
      </c>
      <c r="F1458" s="6">
        <v>0.8125</v>
      </c>
      <c r="G1458" s="3" t="s">
        <v>26</v>
      </c>
      <c r="H1458" s="3" t="s">
        <v>14</v>
      </c>
      <c r="I1458" s="3" t="s">
        <v>15</v>
      </c>
    </row>
    <row r="1459" spans="1:9" s="3" customFormat="1" x14ac:dyDescent="0.3">
      <c r="A1459" s="3" t="s">
        <v>291</v>
      </c>
      <c r="B1459" s="3" t="s">
        <v>292</v>
      </c>
      <c r="C1459" s="3" t="s">
        <v>24</v>
      </c>
      <c r="D1459" s="3" t="s">
        <v>418</v>
      </c>
      <c r="E1459" s="6"/>
      <c r="F1459" s="6"/>
      <c r="G1459" s="3" t="s">
        <v>44</v>
      </c>
      <c r="H1459" s="3" t="s">
        <v>14</v>
      </c>
      <c r="I1459" s="3" t="s">
        <v>15</v>
      </c>
    </row>
    <row r="1460" spans="1:9" s="3" customFormat="1" x14ac:dyDescent="0.3">
      <c r="A1460" s="3" t="s">
        <v>197</v>
      </c>
      <c r="B1460" s="3" t="s">
        <v>198</v>
      </c>
      <c r="C1460" s="3" t="s">
        <v>24</v>
      </c>
      <c r="D1460" s="3" t="s">
        <v>104</v>
      </c>
      <c r="E1460" s="6">
        <v>0.39791666666666664</v>
      </c>
      <c r="F1460" s="6">
        <v>0.75902777777777775</v>
      </c>
      <c r="G1460" s="3" t="s">
        <v>26</v>
      </c>
      <c r="H1460" s="3" t="s">
        <v>27</v>
      </c>
      <c r="I1460" s="3" t="s">
        <v>21</v>
      </c>
    </row>
    <row r="1461" spans="1:9" s="3" customFormat="1" x14ac:dyDescent="0.3">
      <c r="A1461" s="3" t="s">
        <v>165</v>
      </c>
      <c r="B1461" s="3" t="s">
        <v>166</v>
      </c>
      <c r="C1461" s="3" t="s">
        <v>42</v>
      </c>
      <c r="D1461" s="3" t="s">
        <v>261</v>
      </c>
      <c r="E1461" s="6">
        <v>0.44305555555555554</v>
      </c>
      <c r="F1461" s="6">
        <v>0.71527777777777779</v>
      </c>
      <c r="G1461" s="3" t="s">
        <v>170</v>
      </c>
      <c r="H1461" s="3" t="s">
        <v>27</v>
      </c>
      <c r="I1461" s="3" t="s">
        <v>21</v>
      </c>
    </row>
    <row r="1462" spans="1:9" s="3" customFormat="1" x14ac:dyDescent="0.3">
      <c r="A1462" s="3" t="s">
        <v>197</v>
      </c>
      <c r="B1462" s="3" t="s">
        <v>198</v>
      </c>
      <c r="C1462" s="3" t="s">
        <v>18</v>
      </c>
      <c r="D1462" s="3" t="s">
        <v>266</v>
      </c>
      <c r="E1462" s="6"/>
      <c r="F1462" s="6"/>
      <c r="G1462" s="3" t="s">
        <v>44</v>
      </c>
      <c r="H1462" s="3" t="s">
        <v>27</v>
      </c>
      <c r="I1462" s="3" t="s">
        <v>15</v>
      </c>
    </row>
    <row r="1463" spans="1:9" s="3" customFormat="1" x14ac:dyDescent="0.3">
      <c r="A1463" s="3" t="s">
        <v>154</v>
      </c>
      <c r="B1463" s="3" t="s">
        <v>155</v>
      </c>
      <c r="C1463" s="3" t="s">
        <v>64</v>
      </c>
      <c r="D1463" s="3" t="s">
        <v>261</v>
      </c>
      <c r="E1463" s="6">
        <v>0.35416666666666669</v>
      </c>
      <c r="F1463" s="6">
        <v>0.75208333333333333</v>
      </c>
      <c r="G1463" s="3" t="s">
        <v>13</v>
      </c>
      <c r="H1463" s="3" t="s">
        <v>14</v>
      </c>
      <c r="I1463" s="3" t="s">
        <v>21</v>
      </c>
    </row>
    <row r="1464" spans="1:9" s="3" customFormat="1" x14ac:dyDescent="0.3">
      <c r="A1464" s="3" t="s">
        <v>55</v>
      </c>
      <c r="B1464" s="3" t="s">
        <v>56</v>
      </c>
      <c r="C1464" s="3" t="s">
        <v>60</v>
      </c>
      <c r="D1464" s="3" t="s">
        <v>117</v>
      </c>
      <c r="E1464" s="6">
        <v>0.3611111111111111</v>
      </c>
      <c r="F1464" s="6">
        <v>0.67569444444444449</v>
      </c>
      <c r="G1464" s="3" t="s">
        <v>13</v>
      </c>
      <c r="H1464" s="3" t="s">
        <v>27</v>
      </c>
      <c r="I1464" s="3" t="s">
        <v>21</v>
      </c>
    </row>
    <row r="1465" spans="1:9" s="3" customFormat="1" x14ac:dyDescent="0.3">
      <c r="A1465" s="3" t="s">
        <v>157</v>
      </c>
      <c r="B1465" s="3" t="s">
        <v>158</v>
      </c>
      <c r="C1465" s="3" t="s">
        <v>18</v>
      </c>
      <c r="D1465" s="3" t="s">
        <v>278</v>
      </c>
      <c r="E1465" s="6">
        <v>0.47569444444444442</v>
      </c>
      <c r="F1465" s="6">
        <v>0.67152777777777772</v>
      </c>
      <c r="G1465" s="3" t="s">
        <v>26</v>
      </c>
      <c r="H1465" s="3" t="s">
        <v>27</v>
      </c>
      <c r="I1465" s="3" t="s">
        <v>15</v>
      </c>
    </row>
    <row r="1466" spans="1:9" s="3" customFormat="1" x14ac:dyDescent="0.3">
      <c r="A1466" s="3" t="s">
        <v>246</v>
      </c>
      <c r="B1466" s="3" t="s">
        <v>247</v>
      </c>
      <c r="C1466" s="3" t="s">
        <v>64</v>
      </c>
      <c r="D1466" s="3" t="s">
        <v>89</v>
      </c>
      <c r="E1466" s="6">
        <v>0.34861111111111109</v>
      </c>
      <c r="F1466" s="6">
        <v>0.75347222222222221</v>
      </c>
      <c r="G1466" s="3" t="s">
        <v>13</v>
      </c>
      <c r="H1466" s="3" t="s">
        <v>14</v>
      </c>
      <c r="I1466" s="3" t="s">
        <v>15</v>
      </c>
    </row>
    <row r="1467" spans="1:9" s="3" customFormat="1" x14ac:dyDescent="0.3">
      <c r="A1467" s="3" t="s">
        <v>75</v>
      </c>
      <c r="B1467" s="3" t="s">
        <v>76</v>
      </c>
      <c r="C1467" s="3" t="s">
        <v>42</v>
      </c>
      <c r="D1467" s="3" t="s">
        <v>365</v>
      </c>
      <c r="E1467" s="6">
        <v>0.38541666666666669</v>
      </c>
      <c r="F1467" s="6">
        <v>0.68680555555555556</v>
      </c>
      <c r="G1467" s="3" t="s">
        <v>13</v>
      </c>
      <c r="H1467" s="3" t="s">
        <v>27</v>
      </c>
      <c r="I1467" s="3" t="s">
        <v>15</v>
      </c>
    </row>
    <row r="1468" spans="1:9" s="3" customFormat="1" x14ac:dyDescent="0.3">
      <c r="A1468" s="3" t="s">
        <v>48</v>
      </c>
      <c r="B1468" s="3" t="s">
        <v>49</v>
      </c>
      <c r="C1468" s="3" t="s">
        <v>18</v>
      </c>
      <c r="D1468" s="3" t="s">
        <v>294</v>
      </c>
      <c r="E1468" s="6">
        <v>0.37638888888888888</v>
      </c>
      <c r="F1468" s="6">
        <v>0.76111111111111107</v>
      </c>
      <c r="G1468" s="3" t="s">
        <v>26</v>
      </c>
      <c r="H1468" s="3" t="s">
        <v>27</v>
      </c>
      <c r="I1468" s="3" t="s">
        <v>21</v>
      </c>
    </row>
    <row r="1469" spans="1:9" s="3" customFormat="1" x14ac:dyDescent="0.3">
      <c r="A1469" s="3" t="s">
        <v>134</v>
      </c>
      <c r="B1469" s="3" t="s">
        <v>135</v>
      </c>
      <c r="C1469" s="3" t="s">
        <v>60</v>
      </c>
      <c r="D1469" s="3" t="s">
        <v>228</v>
      </c>
      <c r="E1469" s="6">
        <v>0.37013888888888891</v>
      </c>
      <c r="F1469" s="6">
        <v>0.81180555555555556</v>
      </c>
      <c r="G1469" s="3" t="s">
        <v>13</v>
      </c>
      <c r="H1469" s="3" t="s">
        <v>27</v>
      </c>
      <c r="I1469" s="3" t="s">
        <v>21</v>
      </c>
    </row>
    <row r="1470" spans="1:9" s="3" customFormat="1" x14ac:dyDescent="0.3">
      <c r="A1470" s="3" t="s">
        <v>291</v>
      </c>
      <c r="B1470" s="3" t="s">
        <v>292</v>
      </c>
      <c r="C1470" s="3" t="s">
        <v>64</v>
      </c>
      <c r="D1470" s="3" t="s">
        <v>369</v>
      </c>
      <c r="E1470" s="6">
        <v>0.4</v>
      </c>
      <c r="F1470" s="6">
        <v>0.80069444444444449</v>
      </c>
      <c r="G1470" s="3" t="s">
        <v>13</v>
      </c>
      <c r="H1470" s="3" t="s">
        <v>14</v>
      </c>
      <c r="I1470" s="3" t="s">
        <v>15</v>
      </c>
    </row>
    <row r="1471" spans="1:9" s="3" customFormat="1" x14ac:dyDescent="0.3">
      <c r="A1471" s="3" t="s">
        <v>84</v>
      </c>
      <c r="B1471" s="3" t="s">
        <v>85</v>
      </c>
      <c r="C1471" s="3" t="s">
        <v>64</v>
      </c>
      <c r="D1471" s="3" t="s">
        <v>117</v>
      </c>
      <c r="E1471" s="6">
        <v>0.45208333333333334</v>
      </c>
      <c r="F1471" s="6">
        <v>0.70416666666666672</v>
      </c>
      <c r="G1471" s="3" t="s">
        <v>26</v>
      </c>
      <c r="H1471" s="3" t="s">
        <v>27</v>
      </c>
      <c r="I1471" s="3" t="s">
        <v>15</v>
      </c>
    </row>
    <row r="1472" spans="1:9" s="3" customFormat="1" x14ac:dyDescent="0.3">
      <c r="A1472" s="3" t="s">
        <v>197</v>
      </c>
      <c r="B1472" s="3" t="s">
        <v>198</v>
      </c>
      <c r="C1472" s="3" t="s">
        <v>42</v>
      </c>
      <c r="D1472" s="3" t="s">
        <v>385</v>
      </c>
      <c r="E1472" s="6">
        <v>0.37222222222222223</v>
      </c>
      <c r="F1472" s="6">
        <v>0.73055555555555551</v>
      </c>
      <c r="G1472" s="3" t="s">
        <v>13</v>
      </c>
      <c r="H1472" s="3" t="s">
        <v>14</v>
      </c>
      <c r="I1472" s="3" t="s">
        <v>21</v>
      </c>
    </row>
    <row r="1473" spans="1:9" s="3" customFormat="1" x14ac:dyDescent="0.3">
      <c r="A1473" s="3" t="s">
        <v>216</v>
      </c>
      <c r="B1473" s="3" t="s">
        <v>217</v>
      </c>
      <c r="C1473" s="3" t="s">
        <v>42</v>
      </c>
      <c r="D1473" s="3" t="s">
        <v>159</v>
      </c>
      <c r="E1473" s="6">
        <v>0.37708333333333333</v>
      </c>
      <c r="F1473" s="6">
        <v>0.77152777777777781</v>
      </c>
      <c r="G1473" s="3" t="s">
        <v>26</v>
      </c>
      <c r="H1473" s="3" t="s">
        <v>27</v>
      </c>
      <c r="I1473" s="3" t="s">
        <v>21</v>
      </c>
    </row>
    <row r="1474" spans="1:9" s="3" customFormat="1" x14ac:dyDescent="0.3">
      <c r="A1474" s="3" t="s">
        <v>315</v>
      </c>
      <c r="B1474" s="3" t="s">
        <v>316</v>
      </c>
      <c r="C1474" s="3" t="s">
        <v>24</v>
      </c>
      <c r="D1474" s="3" t="s">
        <v>275</v>
      </c>
      <c r="E1474" s="6">
        <v>0.4513888888888889</v>
      </c>
      <c r="F1474" s="6">
        <v>0.74444444444444446</v>
      </c>
      <c r="G1474" s="3" t="s">
        <v>13</v>
      </c>
      <c r="H1474" s="3" t="s">
        <v>14</v>
      </c>
      <c r="I1474" s="3" t="s">
        <v>21</v>
      </c>
    </row>
    <row r="1475" spans="1:9" s="3" customFormat="1" x14ac:dyDescent="0.3">
      <c r="A1475" s="3" t="s">
        <v>84</v>
      </c>
      <c r="B1475" s="3" t="s">
        <v>85</v>
      </c>
      <c r="C1475" s="3" t="s">
        <v>24</v>
      </c>
      <c r="D1475" s="3" t="s">
        <v>140</v>
      </c>
      <c r="E1475" s="6">
        <v>0.39791666666666664</v>
      </c>
      <c r="F1475" s="6">
        <v>0.67777777777777781</v>
      </c>
      <c r="G1475" s="3" t="s">
        <v>13</v>
      </c>
      <c r="H1475" s="3" t="s">
        <v>27</v>
      </c>
      <c r="I1475" s="3" t="s">
        <v>21</v>
      </c>
    </row>
    <row r="1476" spans="1:9" s="3" customFormat="1" x14ac:dyDescent="0.3">
      <c r="A1476" s="3" t="s">
        <v>75</v>
      </c>
      <c r="B1476" s="3" t="s">
        <v>76</v>
      </c>
      <c r="C1476" s="3" t="s">
        <v>24</v>
      </c>
      <c r="D1476" s="3" t="s">
        <v>364</v>
      </c>
      <c r="E1476" s="6"/>
      <c r="F1476" s="6"/>
      <c r="G1476" s="3" t="s">
        <v>44</v>
      </c>
      <c r="H1476" s="3" t="s">
        <v>14</v>
      </c>
      <c r="I1476" s="3" t="s">
        <v>15</v>
      </c>
    </row>
    <row r="1477" spans="1:9" s="3" customFormat="1" x14ac:dyDescent="0.3">
      <c r="A1477" s="3" t="s">
        <v>112</v>
      </c>
      <c r="B1477" s="3" t="s">
        <v>113</v>
      </c>
      <c r="C1477" s="3" t="s">
        <v>18</v>
      </c>
      <c r="D1477" s="3" t="s">
        <v>328</v>
      </c>
      <c r="E1477" s="6">
        <v>0.46388888888888891</v>
      </c>
      <c r="F1477" s="6">
        <v>0.85555555555555551</v>
      </c>
      <c r="G1477" s="3" t="s">
        <v>20</v>
      </c>
      <c r="H1477" s="3" t="s">
        <v>27</v>
      </c>
      <c r="I1477" s="3" t="s">
        <v>15</v>
      </c>
    </row>
    <row r="1478" spans="1:9" s="3" customFormat="1" x14ac:dyDescent="0.3">
      <c r="A1478" s="3" t="s">
        <v>99</v>
      </c>
      <c r="B1478" s="3" t="s">
        <v>100</v>
      </c>
      <c r="C1478" s="3" t="s">
        <v>18</v>
      </c>
      <c r="D1478" s="3" t="s">
        <v>133</v>
      </c>
      <c r="E1478" s="6">
        <v>0.45208333333333334</v>
      </c>
      <c r="F1478" s="6">
        <v>0.75</v>
      </c>
      <c r="G1478" s="3" t="s">
        <v>26</v>
      </c>
      <c r="H1478" s="3" t="s">
        <v>14</v>
      </c>
      <c r="I1478" s="3" t="s">
        <v>15</v>
      </c>
    </row>
    <row r="1479" spans="1:9" s="3" customFormat="1" x14ac:dyDescent="0.3">
      <c r="A1479" s="3" t="s">
        <v>55</v>
      </c>
      <c r="B1479" s="3" t="s">
        <v>56</v>
      </c>
      <c r="C1479" s="3" t="s">
        <v>24</v>
      </c>
      <c r="D1479" s="3" t="s">
        <v>220</v>
      </c>
      <c r="E1479" s="6">
        <v>0.46250000000000002</v>
      </c>
      <c r="F1479" s="6">
        <v>0.70972222222222225</v>
      </c>
      <c r="G1479" s="3" t="s">
        <v>26</v>
      </c>
      <c r="H1479" s="3" t="s">
        <v>14</v>
      </c>
      <c r="I1479" s="3" t="s">
        <v>21</v>
      </c>
    </row>
    <row r="1480" spans="1:9" s="3" customFormat="1" x14ac:dyDescent="0.3">
      <c r="A1480" s="3" t="s">
        <v>130</v>
      </c>
      <c r="B1480" s="3" t="s">
        <v>131</v>
      </c>
      <c r="C1480" s="3" t="s">
        <v>24</v>
      </c>
      <c r="D1480" s="3" t="s">
        <v>161</v>
      </c>
      <c r="E1480" s="6"/>
      <c r="F1480" s="6"/>
      <c r="G1480" s="3" t="s">
        <v>44</v>
      </c>
      <c r="H1480" s="3" t="s">
        <v>14</v>
      </c>
      <c r="I1480" s="3" t="s">
        <v>21</v>
      </c>
    </row>
    <row r="1481" spans="1:9" s="3" customFormat="1" x14ac:dyDescent="0.3">
      <c r="A1481" s="3" t="s">
        <v>87</v>
      </c>
      <c r="B1481" s="3" t="s">
        <v>88</v>
      </c>
      <c r="C1481" s="3" t="s">
        <v>24</v>
      </c>
      <c r="D1481" s="3" t="s">
        <v>207</v>
      </c>
      <c r="E1481" s="6">
        <v>0.40694444444444444</v>
      </c>
      <c r="F1481" s="6">
        <v>0.71944444444444444</v>
      </c>
      <c r="G1481" s="3" t="s">
        <v>20</v>
      </c>
      <c r="H1481" s="3" t="s">
        <v>27</v>
      </c>
      <c r="I1481" s="3" t="s">
        <v>15</v>
      </c>
    </row>
    <row r="1482" spans="1:9" s="3" customFormat="1" x14ac:dyDescent="0.3">
      <c r="A1482" s="3" t="s">
        <v>338</v>
      </c>
      <c r="B1482" s="3" t="s">
        <v>339</v>
      </c>
      <c r="C1482" s="3" t="s">
        <v>60</v>
      </c>
      <c r="D1482" s="3" t="s">
        <v>318</v>
      </c>
      <c r="E1482" s="6">
        <v>0.46805555555555556</v>
      </c>
      <c r="F1482" s="6">
        <v>0.80694444444444446</v>
      </c>
      <c r="G1482" s="3" t="s">
        <v>26</v>
      </c>
      <c r="H1482" s="3" t="s">
        <v>14</v>
      </c>
      <c r="I1482" s="3" t="s">
        <v>15</v>
      </c>
    </row>
    <row r="1483" spans="1:9" s="3" customFormat="1" x14ac:dyDescent="0.3">
      <c r="A1483" s="3" t="s">
        <v>81</v>
      </c>
      <c r="B1483" s="3" t="s">
        <v>82</v>
      </c>
      <c r="C1483" s="3" t="s">
        <v>64</v>
      </c>
      <c r="D1483" s="3" t="s">
        <v>181</v>
      </c>
      <c r="E1483" s="6">
        <v>0.43194444444444446</v>
      </c>
      <c r="F1483" s="6">
        <v>0.79027777777777775</v>
      </c>
      <c r="G1483" s="3" t="s">
        <v>20</v>
      </c>
      <c r="H1483" s="3" t="s">
        <v>14</v>
      </c>
      <c r="I1483" s="3" t="s">
        <v>21</v>
      </c>
    </row>
    <row r="1484" spans="1:9" s="3" customFormat="1" x14ac:dyDescent="0.3">
      <c r="A1484" s="3" t="s">
        <v>224</v>
      </c>
      <c r="B1484" s="3" t="s">
        <v>225</v>
      </c>
      <c r="C1484" s="3" t="s">
        <v>64</v>
      </c>
      <c r="D1484" s="3" t="s">
        <v>336</v>
      </c>
      <c r="E1484" s="6"/>
      <c r="F1484" s="6"/>
      <c r="G1484" s="3" t="s">
        <v>44</v>
      </c>
      <c r="H1484" s="3" t="s">
        <v>14</v>
      </c>
      <c r="I1484" s="3" t="s">
        <v>21</v>
      </c>
    </row>
    <row r="1485" spans="1:9" s="3" customFormat="1" x14ac:dyDescent="0.3">
      <c r="A1485" s="3" t="s">
        <v>269</v>
      </c>
      <c r="B1485" s="3" t="s">
        <v>270</v>
      </c>
      <c r="C1485" s="3" t="s">
        <v>64</v>
      </c>
      <c r="D1485" s="3" t="s">
        <v>114</v>
      </c>
      <c r="E1485" s="6"/>
      <c r="F1485" s="6"/>
      <c r="G1485" s="3" t="s">
        <v>44</v>
      </c>
      <c r="H1485" s="3" t="s">
        <v>27</v>
      </c>
      <c r="I1485" s="3" t="s">
        <v>21</v>
      </c>
    </row>
    <row r="1486" spans="1:9" s="3" customFormat="1" x14ac:dyDescent="0.3">
      <c r="A1486" s="3" t="s">
        <v>48</v>
      </c>
      <c r="B1486" s="3" t="s">
        <v>49</v>
      </c>
      <c r="C1486" s="3" t="s">
        <v>60</v>
      </c>
      <c r="D1486" s="3" t="s">
        <v>289</v>
      </c>
      <c r="E1486" s="6">
        <v>0.47916666666666669</v>
      </c>
      <c r="F1486" s="6">
        <v>0.79166666666666663</v>
      </c>
      <c r="G1486" s="3" t="s">
        <v>20</v>
      </c>
      <c r="H1486" s="3" t="s">
        <v>14</v>
      </c>
      <c r="I1486" s="3" t="s">
        <v>21</v>
      </c>
    </row>
    <row r="1487" spans="1:9" s="3" customFormat="1" x14ac:dyDescent="0.3">
      <c r="A1487" s="3" t="s">
        <v>99</v>
      </c>
      <c r="B1487" s="3" t="s">
        <v>100</v>
      </c>
      <c r="C1487" s="3" t="s">
        <v>64</v>
      </c>
      <c r="D1487" s="3" t="s">
        <v>223</v>
      </c>
      <c r="E1487" s="6">
        <v>0.43888888888888888</v>
      </c>
      <c r="F1487" s="6">
        <v>0.80069444444444449</v>
      </c>
      <c r="G1487" s="3" t="s">
        <v>26</v>
      </c>
      <c r="H1487" s="3" t="s">
        <v>14</v>
      </c>
      <c r="I1487" s="3" t="s">
        <v>21</v>
      </c>
    </row>
    <row r="1488" spans="1:9" s="3" customFormat="1" x14ac:dyDescent="0.3">
      <c r="A1488" s="3" t="s">
        <v>362</v>
      </c>
      <c r="B1488" s="3" t="s">
        <v>363</v>
      </c>
      <c r="C1488" s="3" t="s">
        <v>42</v>
      </c>
      <c r="D1488" s="3" t="s">
        <v>152</v>
      </c>
      <c r="E1488" s="6">
        <v>0.43055555555555558</v>
      </c>
      <c r="F1488" s="6">
        <v>0.85624999999999996</v>
      </c>
      <c r="G1488" s="3" t="s">
        <v>20</v>
      </c>
      <c r="H1488" s="3" t="s">
        <v>14</v>
      </c>
      <c r="I1488" s="3" t="s">
        <v>15</v>
      </c>
    </row>
    <row r="1489" spans="1:9" s="3" customFormat="1" x14ac:dyDescent="0.3">
      <c r="A1489" s="3" t="s">
        <v>115</v>
      </c>
      <c r="B1489" s="3" t="s">
        <v>116</v>
      </c>
      <c r="C1489" s="3" t="s">
        <v>18</v>
      </c>
      <c r="D1489" s="3" t="s">
        <v>272</v>
      </c>
      <c r="E1489" s="6">
        <v>0.44166666666666665</v>
      </c>
      <c r="F1489" s="6">
        <v>0.82291666666666663</v>
      </c>
      <c r="G1489" s="3" t="s">
        <v>13</v>
      </c>
      <c r="H1489" s="3" t="s">
        <v>14</v>
      </c>
      <c r="I1489" s="3" t="s">
        <v>15</v>
      </c>
    </row>
    <row r="1490" spans="1:9" s="3" customFormat="1" x14ac:dyDescent="0.3">
      <c r="A1490" s="3" t="s">
        <v>72</v>
      </c>
      <c r="B1490" s="3" t="s">
        <v>73</v>
      </c>
      <c r="C1490" s="3" t="s">
        <v>60</v>
      </c>
      <c r="D1490" s="3" t="s">
        <v>174</v>
      </c>
      <c r="E1490" s="6">
        <v>0.49375000000000002</v>
      </c>
      <c r="F1490" s="6">
        <v>0.7006944444444444</v>
      </c>
      <c r="G1490" s="3" t="s">
        <v>13</v>
      </c>
      <c r="H1490" s="3" t="s">
        <v>27</v>
      </c>
      <c r="I1490" s="3" t="s">
        <v>21</v>
      </c>
    </row>
    <row r="1491" spans="1:9" s="3" customFormat="1" x14ac:dyDescent="0.3">
      <c r="A1491" s="3" t="s">
        <v>52</v>
      </c>
      <c r="B1491" s="3" t="s">
        <v>53</v>
      </c>
      <c r="C1491" s="3" t="s">
        <v>42</v>
      </c>
      <c r="D1491" s="3" t="s">
        <v>302</v>
      </c>
      <c r="E1491" s="6">
        <v>0.36805555555555558</v>
      </c>
      <c r="F1491" s="6">
        <v>0.67500000000000004</v>
      </c>
      <c r="G1491" s="3" t="s">
        <v>13</v>
      </c>
      <c r="H1491" s="3" t="s">
        <v>27</v>
      </c>
      <c r="I1491" s="3" t="s">
        <v>15</v>
      </c>
    </row>
    <row r="1492" spans="1:9" s="3" customFormat="1" x14ac:dyDescent="0.3">
      <c r="A1492" s="3" t="s">
        <v>28</v>
      </c>
      <c r="B1492" s="3" t="s">
        <v>29</v>
      </c>
      <c r="C1492" s="3" t="s">
        <v>42</v>
      </c>
      <c r="D1492" s="3" t="s">
        <v>297</v>
      </c>
      <c r="E1492" s="6"/>
      <c r="F1492" s="6"/>
      <c r="G1492" s="3" t="s">
        <v>44</v>
      </c>
      <c r="H1492" s="3" t="s">
        <v>14</v>
      </c>
      <c r="I1492" s="3" t="s">
        <v>15</v>
      </c>
    </row>
    <row r="1493" spans="1:9" s="3" customFormat="1" x14ac:dyDescent="0.3">
      <c r="A1493" s="3" t="s">
        <v>62</v>
      </c>
      <c r="B1493" s="3" t="s">
        <v>63</v>
      </c>
      <c r="C1493" s="3" t="s">
        <v>24</v>
      </c>
      <c r="D1493" s="3" t="s">
        <v>308</v>
      </c>
      <c r="E1493" s="6">
        <v>0.49652777777777779</v>
      </c>
      <c r="F1493" s="6">
        <v>0.84583333333333333</v>
      </c>
      <c r="G1493" s="3" t="s">
        <v>170</v>
      </c>
      <c r="H1493" s="3" t="s">
        <v>14</v>
      </c>
      <c r="I1493" s="3" t="s">
        <v>15</v>
      </c>
    </row>
    <row r="1494" spans="1:9" s="3" customFormat="1" x14ac:dyDescent="0.3">
      <c r="A1494" s="3" t="s">
        <v>246</v>
      </c>
      <c r="B1494" s="3" t="s">
        <v>247</v>
      </c>
      <c r="C1494" s="3" t="s">
        <v>42</v>
      </c>
      <c r="D1494" s="3" t="s">
        <v>296</v>
      </c>
      <c r="E1494" s="6">
        <v>0.34236111111111112</v>
      </c>
      <c r="F1494" s="6">
        <v>0.68541666666666667</v>
      </c>
      <c r="G1494" s="3" t="s">
        <v>13</v>
      </c>
      <c r="H1494" s="3" t="s">
        <v>14</v>
      </c>
      <c r="I1494" s="3" t="s">
        <v>21</v>
      </c>
    </row>
    <row r="1495" spans="1:9" s="3" customFormat="1" x14ac:dyDescent="0.3">
      <c r="A1495" s="3" t="s">
        <v>69</v>
      </c>
      <c r="B1495" s="3" t="s">
        <v>70</v>
      </c>
      <c r="C1495" s="3" t="s">
        <v>42</v>
      </c>
      <c r="D1495" s="3" t="s">
        <v>365</v>
      </c>
      <c r="E1495" s="6">
        <v>0.3576388888888889</v>
      </c>
      <c r="F1495" s="6">
        <v>0.70347222222222228</v>
      </c>
      <c r="G1495" s="3" t="s">
        <v>170</v>
      </c>
      <c r="H1495" s="3" t="s">
        <v>14</v>
      </c>
      <c r="I1495" s="3" t="s">
        <v>21</v>
      </c>
    </row>
    <row r="1496" spans="1:9" s="3" customFormat="1" x14ac:dyDescent="0.3">
      <c r="A1496" s="3" t="s">
        <v>204</v>
      </c>
      <c r="B1496" s="3" t="s">
        <v>205</v>
      </c>
      <c r="C1496" s="3" t="s">
        <v>18</v>
      </c>
      <c r="D1496" s="3" t="s">
        <v>377</v>
      </c>
      <c r="E1496" s="6">
        <v>0.48125000000000001</v>
      </c>
      <c r="F1496" s="6">
        <v>0.77083333333333337</v>
      </c>
      <c r="G1496" s="3" t="s">
        <v>125</v>
      </c>
      <c r="H1496" s="3" t="s">
        <v>14</v>
      </c>
      <c r="I1496" s="3" t="s">
        <v>15</v>
      </c>
    </row>
    <row r="1497" spans="1:9" s="3" customFormat="1" x14ac:dyDescent="0.3">
      <c r="A1497" s="3" t="s">
        <v>187</v>
      </c>
      <c r="B1497" s="3" t="s">
        <v>188</v>
      </c>
      <c r="C1497" s="3" t="s">
        <v>42</v>
      </c>
      <c r="D1497" s="3" t="s">
        <v>160</v>
      </c>
      <c r="E1497" s="6"/>
      <c r="F1497" s="6"/>
      <c r="G1497" s="3" t="s">
        <v>44</v>
      </c>
      <c r="H1497" s="3" t="s">
        <v>14</v>
      </c>
      <c r="I1497" s="3" t="s">
        <v>21</v>
      </c>
    </row>
    <row r="1498" spans="1:9" s="3" customFormat="1" x14ac:dyDescent="0.3">
      <c r="A1498" s="3" t="s">
        <v>84</v>
      </c>
      <c r="B1498" s="3" t="s">
        <v>85</v>
      </c>
      <c r="C1498" s="3" t="s">
        <v>64</v>
      </c>
      <c r="D1498" s="3" t="s">
        <v>77</v>
      </c>
      <c r="E1498" s="6">
        <v>0.35069444444444442</v>
      </c>
      <c r="F1498" s="6">
        <v>0.6791666666666667</v>
      </c>
      <c r="G1498" s="3" t="s">
        <v>13</v>
      </c>
      <c r="H1498" s="3" t="s">
        <v>27</v>
      </c>
      <c r="I1498" s="3" t="s">
        <v>21</v>
      </c>
    </row>
    <row r="1499" spans="1:9" s="3" customFormat="1" x14ac:dyDescent="0.3">
      <c r="A1499" s="3" t="s">
        <v>165</v>
      </c>
      <c r="B1499" s="3" t="s">
        <v>166</v>
      </c>
      <c r="C1499" s="3" t="s">
        <v>60</v>
      </c>
      <c r="D1499" s="3" t="s">
        <v>306</v>
      </c>
      <c r="E1499" s="6">
        <v>0.37986111111111109</v>
      </c>
      <c r="F1499" s="6">
        <v>0.8666666666666667</v>
      </c>
      <c r="G1499" s="3" t="s">
        <v>170</v>
      </c>
      <c r="H1499" s="3" t="s">
        <v>27</v>
      </c>
      <c r="I1499" s="3" t="s">
        <v>21</v>
      </c>
    </row>
    <row r="1500" spans="1:9" s="3" customFormat="1" x14ac:dyDescent="0.3">
      <c r="A1500" s="3" t="s">
        <v>138</v>
      </c>
      <c r="B1500" s="3" t="s">
        <v>139</v>
      </c>
      <c r="C1500" s="3" t="s">
        <v>60</v>
      </c>
      <c r="D1500" s="3" t="s">
        <v>271</v>
      </c>
      <c r="E1500" s="6"/>
      <c r="F1500" s="6"/>
      <c r="G1500" s="3" t="s">
        <v>44</v>
      </c>
      <c r="H1500" s="3" t="s">
        <v>27</v>
      </c>
      <c r="I1500" s="3" t="s">
        <v>15</v>
      </c>
    </row>
    <row r="1501" spans="1:9" s="3" customFormat="1" x14ac:dyDescent="0.3">
      <c r="A1501" s="3" t="s">
        <v>37</v>
      </c>
      <c r="B1501" s="3" t="s">
        <v>38</v>
      </c>
      <c r="C1501" s="3" t="s">
        <v>60</v>
      </c>
      <c r="D1501" s="3" t="s">
        <v>271</v>
      </c>
      <c r="E1501" s="6">
        <v>0.45277777777777778</v>
      </c>
      <c r="F1501" s="6">
        <v>0.77430555555555558</v>
      </c>
      <c r="G1501" s="3" t="s">
        <v>26</v>
      </c>
      <c r="H1501" s="3" t="s">
        <v>14</v>
      </c>
      <c r="I1501" s="3" t="s">
        <v>21</v>
      </c>
    </row>
    <row r="1502" spans="1:9" s="3" customFormat="1" x14ac:dyDescent="0.3">
      <c r="A1502" s="3" t="s">
        <v>236</v>
      </c>
      <c r="B1502" s="3" t="s">
        <v>237</v>
      </c>
      <c r="C1502" s="3" t="s">
        <v>42</v>
      </c>
      <c r="D1502" s="3" t="s">
        <v>161</v>
      </c>
      <c r="E1502" s="6">
        <v>0.39097222222222222</v>
      </c>
      <c r="F1502" s="6">
        <v>0.85555555555555551</v>
      </c>
      <c r="G1502" s="3" t="s">
        <v>20</v>
      </c>
      <c r="H1502" s="3" t="s">
        <v>14</v>
      </c>
      <c r="I1502" s="3" t="s">
        <v>21</v>
      </c>
    </row>
    <row r="1503" spans="1:9" s="3" customFormat="1" x14ac:dyDescent="0.3">
      <c r="A1503" s="3" t="s">
        <v>37</v>
      </c>
      <c r="B1503" s="3" t="s">
        <v>38</v>
      </c>
      <c r="C1503" s="3" t="s">
        <v>18</v>
      </c>
      <c r="D1503" s="3" t="s">
        <v>223</v>
      </c>
      <c r="E1503" s="6">
        <v>0.40069444444444446</v>
      </c>
      <c r="F1503" s="6">
        <v>0.75347222222222221</v>
      </c>
      <c r="G1503" s="3" t="s">
        <v>13</v>
      </c>
      <c r="H1503" s="3" t="s">
        <v>14</v>
      </c>
      <c r="I1503" s="3" t="s">
        <v>21</v>
      </c>
    </row>
    <row r="1504" spans="1:9" s="3" customFormat="1" x14ac:dyDescent="0.3">
      <c r="A1504" s="3" t="s">
        <v>119</v>
      </c>
      <c r="B1504" s="3" t="s">
        <v>120</v>
      </c>
      <c r="C1504" s="3" t="s">
        <v>11</v>
      </c>
      <c r="D1504" s="3" t="s">
        <v>360</v>
      </c>
      <c r="E1504" s="6">
        <v>0.36388888888888887</v>
      </c>
      <c r="F1504" s="6">
        <v>0.73333333333333328</v>
      </c>
      <c r="G1504" s="3" t="s">
        <v>26</v>
      </c>
      <c r="H1504" s="3" t="s">
        <v>27</v>
      </c>
      <c r="I1504" s="3" t="s">
        <v>21</v>
      </c>
    </row>
    <row r="1505" spans="1:9" s="3" customFormat="1" x14ac:dyDescent="0.3">
      <c r="A1505" s="3" t="s">
        <v>165</v>
      </c>
      <c r="B1505" s="3" t="s">
        <v>166</v>
      </c>
      <c r="C1505" s="3" t="s">
        <v>18</v>
      </c>
      <c r="D1505" s="3" t="s">
        <v>259</v>
      </c>
      <c r="E1505" s="6"/>
      <c r="F1505" s="6"/>
      <c r="G1505" s="3" t="s">
        <v>44</v>
      </c>
      <c r="H1505" s="3" t="s">
        <v>14</v>
      </c>
      <c r="I1505" s="3" t="s">
        <v>15</v>
      </c>
    </row>
    <row r="1506" spans="1:9" s="3" customFormat="1" x14ac:dyDescent="0.3">
      <c r="A1506" s="3" t="s">
        <v>191</v>
      </c>
      <c r="B1506" s="3" t="s">
        <v>192</v>
      </c>
      <c r="C1506" s="3" t="s">
        <v>64</v>
      </c>
      <c r="D1506" s="3" t="s">
        <v>253</v>
      </c>
      <c r="E1506" s="6">
        <v>0.4777777777777778</v>
      </c>
      <c r="F1506" s="6">
        <v>0.77222222222222225</v>
      </c>
      <c r="G1506" s="3" t="s">
        <v>20</v>
      </c>
      <c r="H1506" s="3" t="s">
        <v>14</v>
      </c>
      <c r="I1506" s="3" t="s">
        <v>15</v>
      </c>
    </row>
    <row r="1507" spans="1:9" s="3" customFormat="1" x14ac:dyDescent="0.3">
      <c r="A1507" s="3" t="s">
        <v>134</v>
      </c>
      <c r="B1507" s="3" t="s">
        <v>135</v>
      </c>
      <c r="C1507" s="3" t="s">
        <v>60</v>
      </c>
      <c r="D1507" s="3" t="s">
        <v>414</v>
      </c>
      <c r="E1507" s="6">
        <v>0.44513888888888886</v>
      </c>
      <c r="F1507" s="6">
        <v>0.7006944444444444</v>
      </c>
      <c r="G1507" s="3" t="s">
        <v>125</v>
      </c>
      <c r="H1507" s="3" t="s">
        <v>14</v>
      </c>
      <c r="I1507" s="3" t="s">
        <v>15</v>
      </c>
    </row>
    <row r="1508" spans="1:9" s="3" customFormat="1" x14ac:dyDescent="0.3">
      <c r="A1508" s="3" t="s">
        <v>315</v>
      </c>
      <c r="B1508" s="3" t="s">
        <v>316</v>
      </c>
      <c r="C1508" s="3" t="s">
        <v>42</v>
      </c>
      <c r="D1508" s="3" t="s">
        <v>260</v>
      </c>
      <c r="E1508" s="6">
        <v>0.38055555555555554</v>
      </c>
      <c r="F1508" s="6">
        <v>0.80555555555555558</v>
      </c>
      <c r="G1508" s="3" t="s">
        <v>26</v>
      </c>
      <c r="H1508" s="3" t="s">
        <v>27</v>
      </c>
      <c r="I1508" s="3" t="s">
        <v>21</v>
      </c>
    </row>
    <row r="1509" spans="1:9" s="3" customFormat="1" x14ac:dyDescent="0.3">
      <c r="A1509" s="3" t="s">
        <v>96</v>
      </c>
      <c r="B1509" s="3" t="s">
        <v>97</v>
      </c>
      <c r="C1509" s="3" t="s">
        <v>64</v>
      </c>
      <c r="D1509" s="3" t="s">
        <v>317</v>
      </c>
      <c r="E1509" s="6"/>
      <c r="F1509" s="6"/>
      <c r="G1509" s="3" t="s">
        <v>44</v>
      </c>
      <c r="H1509" s="3" t="s">
        <v>27</v>
      </c>
      <c r="I1509" s="3" t="s">
        <v>21</v>
      </c>
    </row>
    <row r="1510" spans="1:9" s="3" customFormat="1" x14ac:dyDescent="0.3">
      <c r="A1510" s="3" t="s">
        <v>213</v>
      </c>
      <c r="B1510" s="3" t="s">
        <v>214</v>
      </c>
      <c r="C1510" s="3" t="s">
        <v>42</v>
      </c>
      <c r="D1510" s="3" t="s">
        <v>12</v>
      </c>
      <c r="E1510" s="6">
        <v>0.46805555555555556</v>
      </c>
      <c r="F1510" s="6">
        <v>0.75902777777777775</v>
      </c>
      <c r="G1510" s="3" t="s">
        <v>26</v>
      </c>
      <c r="H1510" s="3" t="s">
        <v>27</v>
      </c>
      <c r="I1510" s="3" t="s">
        <v>15</v>
      </c>
    </row>
    <row r="1511" spans="1:9" s="3" customFormat="1" x14ac:dyDescent="0.3">
      <c r="A1511" s="3" t="s">
        <v>213</v>
      </c>
      <c r="B1511" s="3" t="s">
        <v>214</v>
      </c>
      <c r="C1511" s="3" t="s">
        <v>18</v>
      </c>
      <c r="D1511" s="3" t="s">
        <v>54</v>
      </c>
      <c r="E1511" s="6">
        <v>0.48680555555555555</v>
      </c>
      <c r="F1511" s="6">
        <v>0.77500000000000002</v>
      </c>
      <c r="G1511" s="3" t="s">
        <v>20</v>
      </c>
      <c r="H1511" s="3" t="s">
        <v>27</v>
      </c>
      <c r="I1511" s="3" t="s">
        <v>15</v>
      </c>
    </row>
    <row r="1512" spans="1:9" s="3" customFormat="1" x14ac:dyDescent="0.3">
      <c r="A1512" s="3" t="s">
        <v>141</v>
      </c>
      <c r="B1512" s="3" t="s">
        <v>142</v>
      </c>
      <c r="C1512" s="3" t="s">
        <v>42</v>
      </c>
      <c r="D1512" s="3" t="s">
        <v>365</v>
      </c>
      <c r="E1512" s="6">
        <v>0.35138888888888886</v>
      </c>
      <c r="F1512" s="6">
        <v>0.7583333333333333</v>
      </c>
      <c r="G1512" s="3" t="s">
        <v>20</v>
      </c>
      <c r="H1512" s="3" t="s">
        <v>27</v>
      </c>
      <c r="I1512" s="3" t="s">
        <v>21</v>
      </c>
    </row>
    <row r="1513" spans="1:9" s="3" customFormat="1" x14ac:dyDescent="0.3">
      <c r="A1513" s="3" t="s">
        <v>291</v>
      </c>
      <c r="B1513" s="3" t="s">
        <v>292</v>
      </c>
      <c r="C1513" s="3" t="s">
        <v>60</v>
      </c>
      <c r="D1513" s="3" t="s">
        <v>257</v>
      </c>
      <c r="E1513" s="6">
        <v>0.48055555555555557</v>
      </c>
      <c r="F1513" s="6">
        <v>0.86597222222222225</v>
      </c>
      <c r="G1513" s="3" t="s">
        <v>20</v>
      </c>
      <c r="H1513" s="3" t="s">
        <v>14</v>
      </c>
      <c r="I1513" s="3" t="s">
        <v>21</v>
      </c>
    </row>
    <row r="1514" spans="1:9" s="3" customFormat="1" x14ac:dyDescent="0.3">
      <c r="A1514" s="3" t="s">
        <v>40</v>
      </c>
      <c r="B1514" s="3" t="s">
        <v>41</v>
      </c>
      <c r="C1514" s="3" t="s">
        <v>60</v>
      </c>
      <c r="D1514" s="3" t="s">
        <v>221</v>
      </c>
      <c r="E1514" s="6">
        <v>0.375</v>
      </c>
      <c r="F1514" s="6">
        <v>0.82499999999999996</v>
      </c>
      <c r="G1514" s="3" t="s">
        <v>13</v>
      </c>
      <c r="H1514" s="3" t="s">
        <v>27</v>
      </c>
      <c r="I1514" s="3" t="s">
        <v>15</v>
      </c>
    </row>
    <row r="1515" spans="1:9" s="3" customFormat="1" x14ac:dyDescent="0.3">
      <c r="A1515" s="3" t="s">
        <v>200</v>
      </c>
      <c r="B1515" s="3" t="s">
        <v>201</v>
      </c>
      <c r="C1515" s="3" t="s">
        <v>18</v>
      </c>
      <c r="D1515" s="3" t="s">
        <v>294</v>
      </c>
      <c r="E1515" s="6"/>
      <c r="F1515" s="6"/>
      <c r="G1515" s="3" t="s">
        <v>44</v>
      </c>
      <c r="H1515" s="3" t="s">
        <v>14</v>
      </c>
      <c r="I1515" s="3" t="s">
        <v>15</v>
      </c>
    </row>
    <row r="1516" spans="1:9" s="3" customFormat="1" x14ac:dyDescent="0.3">
      <c r="A1516" s="3" t="s">
        <v>216</v>
      </c>
      <c r="B1516" s="3" t="s">
        <v>217</v>
      </c>
      <c r="C1516" s="3" t="s">
        <v>60</v>
      </c>
      <c r="D1516" s="3" t="s">
        <v>140</v>
      </c>
      <c r="E1516" s="6">
        <v>0.48402777777777778</v>
      </c>
      <c r="F1516" s="6">
        <v>0.71805555555555556</v>
      </c>
      <c r="G1516" s="3" t="s">
        <v>20</v>
      </c>
      <c r="H1516" s="3" t="s">
        <v>27</v>
      </c>
      <c r="I1516" s="3" t="s">
        <v>21</v>
      </c>
    </row>
    <row r="1517" spans="1:9" s="3" customFormat="1" x14ac:dyDescent="0.3">
      <c r="A1517" s="3" t="s">
        <v>34</v>
      </c>
      <c r="B1517" s="3" t="s">
        <v>35</v>
      </c>
      <c r="C1517" s="3" t="s">
        <v>60</v>
      </c>
      <c r="D1517" s="3" t="s">
        <v>133</v>
      </c>
      <c r="E1517" s="6">
        <v>0.37430555555555556</v>
      </c>
      <c r="F1517" s="6">
        <v>0.85972222222222228</v>
      </c>
      <c r="G1517" s="3" t="s">
        <v>13</v>
      </c>
      <c r="H1517" s="3" t="s">
        <v>27</v>
      </c>
      <c r="I1517" s="3" t="s">
        <v>21</v>
      </c>
    </row>
    <row r="1518" spans="1:9" s="3" customFormat="1" x14ac:dyDescent="0.3">
      <c r="A1518" s="3" t="s">
        <v>362</v>
      </c>
      <c r="B1518" s="3" t="s">
        <v>363</v>
      </c>
      <c r="C1518" s="3" t="s">
        <v>24</v>
      </c>
      <c r="D1518" s="3" t="s">
        <v>258</v>
      </c>
      <c r="E1518" s="6">
        <v>0.47291666666666665</v>
      </c>
      <c r="F1518" s="6">
        <v>0.87013888888888891</v>
      </c>
      <c r="G1518" s="3" t="s">
        <v>13</v>
      </c>
      <c r="H1518" s="3" t="s">
        <v>14</v>
      </c>
      <c r="I1518" s="3" t="s">
        <v>15</v>
      </c>
    </row>
    <row r="1519" spans="1:9" s="3" customFormat="1" x14ac:dyDescent="0.3">
      <c r="A1519" s="3" t="s">
        <v>236</v>
      </c>
      <c r="B1519" s="3" t="s">
        <v>237</v>
      </c>
      <c r="C1519" s="3" t="s">
        <v>64</v>
      </c>
      <c r="D1519" s="3" t="s">
        <v>402</v>
      </c>
      <c r="E1519" s="6"/>
      <c r="F1519" s="6"/>
      <c r="G1519" s="3" t="s">
        <v>44</v>
      </c>
      <c r="H1519" s="3" t="s">
        <v>27</v>
      </c>
      <c r="I1519" s="3" t="s">
        <v>15</v>
      </c>
    </row>
    <row r="1520" spans="1:9" s="3" customFormat="1" x14ac:dyDescent="0.3">
      <c r="A1520" s="3" t="s">
        <v>58</v>
      </c>
      <c r="B1520" s="3" t="s">
        <v>59</v>
      </c>
      <c r="C1520" s="3" t="s">
        <v>60</v>
      </c>
      <c r="D1520" s="3" t="s">
        <v>305</v>
      </c>
      <c r="E1520" s="6">
        <v>0.4513888888888889</v>
      </c>
      <c r="F1520" s="6">
        <v>0.7583333333333333</v>
      </c>
      <c r="G1520" s="3" t="s">
        <v>26</v>
      </c>
      <c r="H1520" s="3" t="s">
        <v>14</v>
      </c>
      <c r="I1520" s="3" t="s">
        <v>15</v>
      </c>
    </row>
    <row r="1521" spans="1:9" s="3" customFormat="1" x14ac:dyDescent="0.3">
      <c r="A1521" s="3" t="s">
        <v>175</v>
      </c>
      <c r="B1521" s="3" t="s">
        <v>176</v>
      </c>
      <c r="C1521" s="3" t="s">
        <v>64</v>
      </c>
      <c r="D1521" s="3" t="s">
        <v>413</v>
      </c>
      <c r="E1521" s="6"/>
      <c r="F1521" s="6"/>
      <c r="G1521" s="3" t="s">
        <v>44</v>
      </c>
      <c r="H1521" s="3" t="s">
        <v>14</v>
      </c>
      <c r="I1521" s="3" t="s">
        <v>21</v>
      </c>
    </row>
    <row r="1522" spans="1:9" s="3" customFormat="1" x14ac:dyDescent="0.3">
      <c r="A1522" s="3" t="s">
        <v>84</v>
      </c>
      <c r="B1522" s="3" t="s">
        <v>85</v>
      </c>
      <c r="C1522" s="3" t="s">
        <v>60</v>
      </c>
      <c r="D1522" s="3" t="s">
        <v>285</v>
      </c>
      <c r="E1522" s="6">
        <v>0.34027777777777779</v>
      </c>
      <c r="F1522" s="6">
        <v>0.82708333333333328</v>
      </c>
      <c r="G1522" s="3" t="s">
        <v>26</v>
      </c>
      <c r="H1522" s="3" t="s">
        <v>27</v>
      </c>
      <c r="I1522" s="3" t="s">
        <v>15</v>
      </c>
    </row>
    <row r="1523" spans="1:9" s="3" customFormat="1" x14ac:dyDescent="0.3">
      <c r="A1523" s="3" t="s">
        <v>119</v>
      </c>
      <c r="B1523" s="3" t="s">
        <v>120</v>
      </c>
      <c r="C1523" s="3" t="s">
        <v>64</v>
      </c>
      <c r="D1523" s="3" t="s">
        <v>419</v>
      </c>
      <c r="E1523" s="6">
        <v>0.39444444444444443</v>
      </c>
      <c r="F1523" s="6">
        <v>0.77361111111111114</v>
      </c>
      <c r="G1523" s="3" t="s">
        <v>26</v>
      </c>
      <c r="H1523" s="3" t="s">
        <v>14</v>
      </c>
      <c r="I1523" s="3" t="s">
        <v>21</v>
      </c>
    </row>
    <row r="1524" spans="1:9" s="3" customFormat="1" x14ac:dyDescent="0.3">
      <c r="A1524" s="3" t="s">
        <v>112</v>
      </c>
      <c r="B1524" s="3" t="s">
        <v>113</v>
      </c>
      <c r="C1524" s="3" t="s">
        <v>18</v>
      </c>
      <c r="D1524" s="3" t="s">
        <v>228</v>
      </c>
      <c r="E1524" s="6">
        <v>0.49166666666666664</v>
      </c>
      <c r="F1524" s="6">
        <v>0.69236111111111109</v>
      </c>
      <c r="G1524" s="3" t="s">
        <v>26</v>
      </c>
      <c r="H1524" s="3" t="s">
        <v>14</v>
      </c>
      <c r="I1524" s="3" t="s">
        <v>15</v>
      </c>
    </row>
    <row r="1525" spans="1:9" s="3" customFormat="1" x14ac:dyDescent="0.3">
      <c r="A1525" s="3" t="s">
        <v>52</v>
      </c>
      <c r="B1525" s="3" t="s">
        <v>53</v>
      </c>
      <c r="C1525" s="3" t="s">
        <v>60</v>
      </c>
      <c r="D1525" s="3" t="s">
        <v>351</v>
      </c>
      <c r="E1525" s="6"/>
      <c r="F1525" s="6"/>
      <c r="G1525" s="3" t="s">
        <v>44</v>
      </c>
      <c r="H1525" s="3" t="s">
        <v>14</v>
      </c>
      <c r="I1525" s="3" t="s">
        <v>15</v>
      </c>
    </row>
    <row r="1526" spans="1:9" s="3" customFormat="1" x14ac:dyDescent="0.3">
      <c r="A1526" s="3" t="s">
        <v>134</v>
      </c>
      <c r="B1526" s="3" t="s">
        <v>135</v>
      </c>
      <c r="C1526" s="3" t="s">
        <v>60</v>
      </c>
      <c r="D1526" s="3" t="s">
        <v>108</v>
      </c>
      <c r="E1526" s="6"/>
      <c r="F1526" s="6"/>
      <c r="G1526" s="3" t="s">
        <v>44</v>
      </c>
      <c r="H1526" s="3" t="s">
        <v>14</v>
      </c>
      <c r="I1526" s="3" t="s">
        <v>21</v>
      </c>
    </row>
    <row r="1527" spans="1:9" s="3" customFormat="1" x14ac:dyDescent="0.3">
      <c r="A1527" s="3" t="s">
        <v>204</v>
      </c>
      <c r="B1527" s="3" t="s">
        <v>205</v>
      </c>
      <c r="C1527" s="3" t="s">
        <v>60</v>
      </c>
      <c r="D1527" s="3" t="s">
        <v>136</v>
      </c>
      <c r="E1527" s="6"/>
      <c r="F1527" s="6"/>
      <c r="G1527" s="3" t="s">
        <v>44</v>
      </c>
      <c r="H1527" s="3" t="s">
        <v>27</v>
      </c>
      <c r="I1527" s="3" t="s">
        <v>15</v>
      </c>
    </row>
    <row r="1528" spans="1:9" s="3" customFormat="1" x14ac:dyDescent="0.3">
      <c r="A1528" s="3" t="s">
        <v>122</v>
      </c>
      <c r="B1528" s="3" t="s">
        <v>123</v>
      </c>
      <c r="C1528" s="3" t="s">
        <v>18</v>
      </c>
      <c r="D1528" s="3" t="s">
        <v>61</v>
      </c>
      <c r="E1528" s="6">
        <v>0.46250000000000002</v>
      </c>
      <c r="F1528" s="6">
        <v>0.84305555555555556</v>
      </c>
      <c r="G1528" s="3" t="s">
        <v>13</v>
      </c>
      <c r="H1528" s="3" t="s">
        <v>14</v>
      </c>
      <c r="I1528" s="3" t="s">
        <v>21</v>
      </c>
    </row>
    <row r="1529" spans="1:9" s="3" customFormat="1" x14ac:dyDescent="0.3">
      <c r="A1529" s="3" t="s">
        <v>22</v>
      </c>
      <c r="B1529" s="3" t="s">
        <v>23</v>
      </c>
      <c r="C1529" s="3" t="s">
        <v>64</v>
      </c>
      <c r="D1529" s="3" t="s">
        <v>305</v>
      </c>
      <c r="E1529" s="6">
        <v>0.38055555555555554</v>
      </c>
      <c r="F1529" s="6">
        <v>0.85277777777777775</v>
      </c>
      <c r="G1529" s="3" t="s">
        <v>13</v>
      </c>
      <c r="H1529" s="3" t="s">
        <v>27</v>
      </c>
      <c r="I1529" s="3" t="s">
        <v>15</v>
      </c>
    </row>
    <row r="1530" spans="1:9" s="3" customFormat="1" x14ac:dyDescent="0.3">
      <c r="A1530" s="3" t="s">
        <v>216</v>
      </c>
      <c r="B1530" s="3" t="s">
        <v>217</v>
      </c>
      <c r="C1530" s="3" t="s">
        <v>60</v>
      </c>
      <c r="D1530" s="3" t="s">
        <v>189</v>
      </c>
      <c r="E1530" s="6">
        <v>0.47638888888888886</v>
      </c>
      <c r="F1530" s="6">
        <v>0.7006944444444444</v>
      </c>
      <c r="G1530" s="3" t="s">
        <v>26</v>
      </c>
      <c r="H1530" s="3" t="s">
        <v>27</v>
      </c>
      <c r="I1530" s="3" t="s">
        <v>15</v>
      </c>
    </row>
    <row r="1531" spans="1:9" s="3" customFormat="1" x14ac:dyDescent="0.3">
      <c r="A1531" s="3" t="s">
        <v>119</v>
      </c>
      <c r="B1531" s="3" t="s">
        <v>120</v>
      </c>
      <c r="C1531" s="3" t="s">
        <v>167</v>
      </c>
      <c r="D1531" s="3" t="s">
        <v>245</v>
      </c>
      <c r="E1531" s="6"/>
      <c r="F1531" s="6"/>
      <c r="G1531" s="3" t="s">
        <v>44</v>
      </c>
      <c r="H1531" s="3" t="s">
        <v>14</v>
      </c>
      <c r="I1531" s="3" t="s">
        <v>21</v>
      </c>
    </row>
    <row r="1532" spans="1:9" s="3" customFormat="1" x14ac:dyDescent="0.3">
      <c r="A1532" s="3" t="s">
        <v>69</v>
      </c>
      <c r="B1532" s="3" t="s">
        <v>70</v>
      </c>
      <c r="C1532" s="3" t="s">
        <v>18</v>
      </c>
      <c r="D1532" s="3" t="s">
        <v>409</v>
      </c>
      <c r="E1532" s="6">
        <v>0.46458333333333335</v>
      </c>
      <c r="F1532" s="6">
        <v>0.75763888888888886</v>
      </c>
      <c r="G1532" s="3" t="s">
        <v>26</v>
      </c>
      <c r="H1532" s="3" t="s">
        <v>14</v>
      </c>
      <c r="I1532" s="3" t="s">
        <v>21</v>
      </c>
    </row>
    <row r="1533" spans="1:9" s="3" customFormat="1" x14ac:dyDescent="0.3">
      <c r="A1533" s="3" t="s">
        <v>58</v>
      </c>
      <c r="B1533" s="3" t="s">
        <v>59</v>
      </c>
      <c r="C1533" s="3" t="s">
        <v>18</v>
      </c>
      <c r="D1533" s="3" t="s">
        <v>268</v>
      </c>
      <c r="E1533" s="6">
        <v>0.40277777777777779</v>
      </c>
      <c r="F1533" s="6">
        <v>0.87361111111111112</v>
      </c>
      <c r="G1533" s="3" t="s">
        <v>20</v>
      </c>
      <c r="H1533" s="3" t="s">
        <v>14</v>
      </c>
      <c r="I1533" s="3" t="s">
        <v>15</v>
      </c>
    </row>
    <row r="1534" spans="1:9" s="3" customFormat="1" x14ac:dyDescent="0.3">
      <c r="A1534" s="3" t="s">
        <v>269</v>
      </c>
      <c r="B1534" s="3" t="s">
        <v>270</v>
      </c>
      <c r="C1534" s="3" t="s">
        <v>18</v>
      </c>
      <c r="D1534" s="3" t="s">
        <v>144</v>
      </c>
      <c r="E1534" s="6">
        <v>0.41597222222222224</v>
      </c>
      <c r="F1534" s="6">
        <v>0.85833333333333328</v>
      </c>
      <c r="G1534" s="3" t="s">
        <v>26</v>
      </c>
      <c r="H1534" s="3" t="s">
        <v>27</v>
      </c>
      <c r="I1534" s="3" t="s">
        <v>15</v>
      </c>
    </row>
    <row r="1535" spans="1:9" s="3" customFormat="1" x14ac:dyDescent="0.3">
      <c r="A1535" s="3" t="s">
        <v>291</v>
      </c>
      <c r="B1535" s="3" t="s">
        <v>292</v>
      </c>
      <c r="C1535" s="3" t="s">
        <v>64</v>
      </c>
      <c r="D1535" s="3" t="s">
        <v>366</v>
      </c>
      <c r="E1535" s="6"/>
      <c r="F1535" s="6"/>
      <c r="G1535" s="3" t="s">
        <v>44</v>
      </c>
      <c r="H1535" s="3" t="s">
        <v>14</v>
      </c>
      <c r="I1535" s="3" t="s">
        <v>15</v>
      </c>
    </row>
    <row r="1536" spans="1:9" s="3" customFormat="1" x14ac:dyDescent="0.3">
      <c r="A1536" s="3" t="s">
        <v>31</v>
      </c>
      <c r="B1536" s="3" t="s">
        <v>32</v>
      </c>
      <c r="C1536" s="3" t="s">
        <v>64</v>
      </c>
      <c r="D1536" s="3" t="s">
        <v>36</v>
      </c>
      <c r="E1536" s="6">
        <v>0.45902777777777776</v>
      </c>
      <c r="F1536" s="6">
        <v>0.69444444444444442</v>
      </c>
      <c r="G1536" s="3" t="s">
        <v>149</v>
      </c>
      <c r="H1536" s="3" t="s">
        <v>14</v>
      </c>
      <c r="I1536" s="3" t="s">
        <v>15</v>
      </c>
    </row>
    <row r="1537" spans="1:9" s="3" customFormat="1" x14ac:dyDescent="0.3">
      <c r="A1537" s="3" t="s">
        <v>134</v>
      </c>
      <c r="B1537" s="3" t="s">
        <v>135</v>
      </c>
      <c r="C1537" s="3" t="s">
        <v>60</v>
      </c>
      <c r="D1537" s="3" t="s">
        <v>333</v>
      </c>
      <c r="E1537" s="6"/>
      <c r="F1537" s="6"/>
      <c r="G1537" s="3" t="s">
        <v>44</v>
      </c>
      <c r="H1537" s="3" t="s">
        <v>14</v>
      </c>
      <c r="I1537" s="3" t="s">
        <v>15</v>
      </c>
    </row>
    <row r="1538" spans="1:9" s="3" customFormat="1" x14ac:dyDescent="0.3">
      <c r="A1538" s="3" t="s">
        <v>122</v>
      </c>
      <c r="B1538" s="3" t="s">
        <v>123</v>
      </c>
      <c r="C1538" s="3" t="s">
        <v>42</v>
      </c>
      <c r="D1538" s="3" t="s">
        <v>304</v>
      </c>
      <c r="E1538" s="6">
        <v>0.375</v>
      </c>
      <c r="F1538" s="6">
        <v>0.71319444444444446</v>
      </c>
      <c r="G1538" s="3" t="s">
        <v>26</v>
      </c>
      <c r="H1538" s="3" t="s">
        <v>27</v>
      </c>
      <c r="I1538" s="3" t="s">
        <v>21</v>
      </c>
    </row>
    <row r="1539" spans="1:9" s="3" customFormat="1" x14ac:dyDescent="0.3">
      <c r="A1539" s="3" t="s">
        <v>28</v>
      </c>
      <c r="B1539" s="3" t="s">
        <v>29</v>
      </c>
      <c r="C1539" s="3" t="s">
        <v>42</v>
      </c>
      <c r="D1539" s="3" t="s">
        <v>80</v>
      </c>
      <c r="E1539" s="6">
        <v>0.39027777777777778</v>
      </c>
      <c r="F1539" s="6">
        <v>0.6743055555555556</v>
      </c>
      <c r="G1539" s="3" t="s">
        <v>125</v>
      </c>
      <c r="H1539" s="3" t="s">
        <v>14</v>
      </c>
      <c r="I1539" s="3" t="s">
        <v>21</v>
      </c>
    </row>
    <row r="1540" spans="1:9" s="3" customFormat="1" x14ac:dyDescent="0.3">
      <c r="A1540" s="3" t="s">
        <v>194</v>
      </c>
      <c r="B1540" s="3" t="s">
        <v>195</v>
      </c>
      <c r="C1540" s="3" t="s">
        <v>127</v>
      </c>
      <c r="D1540" s="3" t="s">
        <v>276</v>
      </c>
      <c r="E1540" s="6">
        <v>0.33402777777777776</v>
      </c>
      <c r="F1540" s="6">
        <v>0.82847222222222228</v>
      </c>
      <c r="G1540" s="3" t="s">
        <v>26</v>
      </c>
      <c r="H1540" s="3" t="s">
        <v>14</v>
      </c>
      <c r="I1540" s="3" t="s">
        <v>15</v>
      </c>
    </row>
    <row r="1541" spans="1:9" s="3" customFormat="1" x14ac:dyDescent="0.3">
      <c r="A1541" s="3" t="s">
        <v>194</v>
      </c>
      <c r="B1541" s="3" t="s">
        <v>195</v>
      </c>
      <c r="C1541" s="3" t="s">
        <v>64</v>
      </c>
      <c r="D1541" s="3" t="s">
        <v>61</v>
      </c>
      <c r="E1541" s="6">
        <v>0.43402777777777779</v>
      </c>
      <c r="F1541" s="6">
        <v>0.68611111111111112</v>
      </c>
      <c r="G1541" s="3" t="s">
        <v>26</v>
      </c>
      <c r="H1541" s="3" t="s">
        <v>14</v>
      </c>
      <c r="I1541" s="3" t="s">
        <v>15</v>
      </c>
    </row>
    <row r="1542" spans="1:9" s="3" customFormat="1" x14ac:dyDescent="0.3">
      <c r="A1542" s="3" t="s">
        <v>93</v>
      </c>
      <c r="B1542" s="3" t="s">
        <v>94</v>
      </c>
      <c r="C1542" s="3" t="s">
        <v>24</v>
      </c>
      <c r="D1542" s="3" t="s">
        <v>153</v>
      </c>
      <c r="E1542" s="6">
        <v>0.40138888888888891</v>
      </c>
      <c r="F1542" s="6">
        <v>0.79097222222222219</v>
      </c>
      <c r="G1542" s="3" t="s">
        <v>26</v>
      </c>
      <c r="H1542" s="3" t="s">
        <v>27</v>
      </c>
      <c r="I1542" s="3" t="s">
        <v>15</v>
      </c>
    </row>
    <row r="1543" spans="1:9" s="3" customFormat="1" x14ac:dyDescent="0.3">
      <c r="A1543" s="3" t="s">
        <v>165</v>
      </c>
      <c r="B1543" s="3" t="s">
        <v>166</v>
      </c>
      <c r="C1543" s="3" t="s">
        <v>24</v>
      </c>
      <c r="D1543" s="3" t="s">
        <v>196</v>
      </c>
      <c r="E1543" s="6"/>
      <c r="F1543" s="6"/>
      <c r="G1543" s="3" t="s">
        <v>44</v>
      </c>
      <c r="H1543" s="3" t="s">
        <v>14</v>
      </c>
      <c r="I1543" s="3" t="s">
        <v>15</v>
      </c>
    </row>
    <row r="1544" spans="1:9" s="3" customFormat="1" x14ac:dyDescent="0.3">
      <c r="A1544" s="3" t="s">
        <v>122</v>
      </c>
      <c r="B1544" s="3" t="s">
        <v>123</v>
      </c>
      <c r="C1544" s="3" t="s">
        <v>18</v>
      </c>
      <c r="D1544" s="3" t="s">
        <v>350</v>
      </c>
      <c r="E1544" s="6">
        <v>0.46805555555555556</v>
      </c>
      <c r="F1544" s="6">
        <v>0.72986111111111107</v>
      </c>
      <c r="G1544" s="3" t="s">
        <v>125</v>
      </c>
      <c r="H1544" s="3" t="s">
        <v>27</v>
      </c>
      <c r="I1544" s="3" t="s">
        <v>21</v>
      </c>
    </row>
    <row r="1545" spans="1:9" s="3" customFormat="1" x14ac:dyDescent="0.3">
      <c r="A1545" s="3" t="s">
        <v>58</v>
      </c>
      <c r="B1545" s="3" t="s">
        <v>59</v>
      </c>
      <c r="C1545" s="3" t="s">
        <v>18</v>
      </c>
      <c r="D1545" s="3" t="s">
        <v>369</v>
      </c>
      <c r="E1545" s="6"/>
      <c r="F1545" s="6"/>
      <c r="G1545" s="3" t="s">
        <v>44</v>
      </c>
      <c r="H1545" s="3" t="s">
        <v>14</v>
      </c>
      <c r="I1545" s="3" t="s">
        <v>15</v>
      </c>
    </row>
    <row r="1546" spans="1:9" s="3" customFormat="1" x14ac:dyDescent="0.3">
      <c r="A1546" s="3" t="s">
        <v>93</v>
      </c>
      <c r="B1546" s="3" t="s">
        <v>94</v>
      </c>
      <c r="C1546" s="3" t="s">
        <v>42</v>
      </c>
      <c r="D1546" s="3" t="s">
        <v>220</v>
      </c>
      <c r="E1546" s="6">
        <v>0.49305555555555558</v>
      </c>
      <c r="F1546" s="6">
        <v>0.81111111111111112</v>
      </c>
      <c r="G1546" s="3" t="s">
        <v>26</v>
      </c>
      <c r="H1546" s="3" t="s">
        <v>14</v>
      </c>
      <c r="I1546" s="3" t="s">
        <v>15</v>
      </c>
    </row>
    <row r="1547" spans="1:9" s="3" customFormat="1" x14ac:dyDescent="0.3">
      <c r="A1547" s="3" t="s">
        <v>45</v>
      </c>
      <c r="B1547" s="3" t="s">
        <v>46</v>
      </c>
      <c r="C1547" s="3" t="s">
        <v>42</v>
      </c>
      <c r="D1547" s="3" t="s">
        <v>163</v>
      </c>
      <c r="E1547" s="6">
        <v>0.46944444444444444</v>
      </c>
      <c r="F1547" s="6">
        <v>0.72499999999999998</v>
      </c>
      <c r="G1547" s="3" t="s">
        <v>13</v>
      </c>
      <c r="H1547" s="3" t="s">
        <v>27</v>
      </c>
      <c r="I1547" s="3" t="s">
        <v>15</v>
      </c>
    </row>
    <row r="1548" spans="1:9" s="3" customFormat="1" x14ac:dyDescent="0.3">
      <c r="A1548" s="3" t="s">
        <v>146</v>
      </c>
      <c r="B1548" s="3" t="s">
        <v>147</v>
      </c>
      <c r="C1548" s="3" t="s">
        <v>143</v>
      </c>
      <c r="D1548" s="3" t="s">
        <v>404</v>
      </c>
      <c r="E1548" s="6">
        <v>0.41319444444444442</v>
      </c>
      <c r="F1548" s="6">
        <v>0.85416666666666663</v>
      </c>
      <c r="G1548" s="3" t="s">
        <v>13</v>
      </c>
      <c r="H1548" s="3" t="s">
        <v>27</v>
      </c>
      <c r="I1548" s="3" t="s">
        <v>15</v>
      </c>
    </row>
    <row r="1549" spans="1:9" s="3" customFormat="1" x14ac:dyDescent="0.3">
      <c r="A1549" s="3" t="s">
        <v>37</v>
      </c>
      <c r="B1549" s="3" t="s">
        <v>38</v>
      </c>
      <c r="C1549" s="3" t="s">
        <v>24</v>
      </c>
      <c r="D1549" s="3" t="s">
        <v>25</v>
      </c>
      <c r="E1549" s="6"/>
      <c r="F1549" s="6"/>
      <c r="G1549" s="3" t="s">
        <v>44</v>
      </c>
      <c r="H1549" s="3" t="s">
        <v>27</v>
      </c>
      <c r="I1549" s="3" t="s">
        <v>21</v>
      </c>
    </row>
    <row r="1550" spans="1:9" s="3" customFormat="1" x14ac:dyDescent="0.3">
      <c r="A1550" s="3" t="s">
        <v>52</v>
      </c>
      <c r="B1550" s="3" t="s">
        <v>53</v>
      </c>
      <c r="C1550" s="3" t="s">
        <v>18</v>
      </c>
      <c r="D1550" s="3" t="s">
        <v>321</v>
      </c>
      <c r="E1550" s="6">
        <v>0.48125000000000001</v>
      </c>
      <c r="F1550" s="6">
        <v>0.73124999999999996</v>
      </c>
      <c r="G1550" s="3" t="s">
        <v>26</v>
      </c>
      <c r="H1550" s="3" t="s">
        <v>14</v>
      </c>
      <c r="I1550" s="3" t="s">
        <v>15</v>
      </c>
    </row>
    <row r="1551" spans="1:9" s="3" customFormat="1" x14ac:dyDescent="0.3">
      <c r="A1551" s="3" t="s">
        <v>141</v>
      </c>
      <c r="B1551" s="3" t="s">
        <v>142</v>
      </c>
      <c r="C1551" s="3" t="s">
        <v>60</v>
      </c>
      <c r="D1551" s="3" t="s">
        <v>320</v>
      </c>
      <c r="E1551" s="6">
        <v>0.33680555555555558</v>
      </c>
      <c r="F1551" s="6">
        <v>0.70694444444444449</v>
      </c>
      <c r="G1551" s="3" t="s">
        <v>26</v>
      </c>
      <c r="H1551" s="3" t="s">
        <v>14</v>
      </c>
      <c r="I1551" s="3" t="s">
        <v>15</v>
      </c>
    </row>
    <row r="1552" spans="1:9" s="3" customFormat="1" x14ac:dyDescent="0.3">
      <c r="A1552" s="3" t="s">
        <v>22</v>
      </c>
      <c r="B1552" s="3" t="s">
        <v>23</v>
      </c>
      <c r="C1552" s="3" t="s">
        <v>24</v>
      </c>
      <c r="D1552" s="3" t="s">
        <v>398</v>
      </c>
      <c r="E1552" s="6">
        <v>0.45277777777777778</v>
      </c>
      <c r="F1552" s="6">
        <v>0.72499999999999998</v>
      </c>
      <c r="G1552" s="3" t="s">
        <v>26</v>
      </c>
      <c r="H1552" s="3" t="s">
        <v>14</v>
      </c>
      <c r="I1552" s="3" t="s">
        <v>21</v>
      </c>
    </row>
    <row r="1553" spans="1:9" s="3" customFormat="1" x14ac:dyDescent="0.3">
      <c r="A1553" s="3" t="s">
        <v>269</v>
      </c>
      <c r="B1553" s="3" t="s">
        <v>270</v>
      </c>
      <c r="C1553" s="3" t="s">
        <v>24</v>
      </c>
      <c r="D1553" s="3" t="s">
        <v>342</v>
      </c>
      <c r="E1553" s="6">
        <v>0.44305555555555554</v>
      </c>
      <c r="F1553" s="6">
        <v>0.77430555555555558</v>
      </c>
      <c r="G1553" s="3" t="s">
        <v>20</v>
      </c>
      <c r="H1553" s="3" t="s">
        <v>14</v>
      </c>
      <c r="I1553" s="3" t="s">
        <v>15</v>
      </c>
    </row>
    <row r="1554" spans="1:9" s="3" customFormat="1" x14ac:dyDescent="0.3">
      <c r="A1554" s="3" t="s">
        <v>204</v>
      </c>
      <c r="B1554" s="3" t="s">
        <v>205</v>
      </c>
      <c r="C1554" s="3" t="s">
        <v>64</v>
      </c>
      <c r="D1554" s="3" t="s">
        <v>263</v>
      </c>
      <c r="E1554" s="6">
        <v>0.45208333333333334</v>
      </c>
      <c r="F1554" s="6">
        <v>0.71736111111111112</v>
      </c>
      <c r="G1554" s="3" t="s">
        <v>274</v>
      </c>
      <c r="H1554" s="3" t="s">
        <v>14</v>
      </c>
      <c r="I1554" s="3" t="s">
        <v>15</v>
      </c>
    </row>
    <row r="1555" spans="1:9" s="3" customFormat="1" x14ac:dyDescent="0.3">
      <c r="A1555" s="3" t="s">
        <v>66</v>
      </c>
      <c r="B1555" s="3" t="s">
        <v>67</v>
      </c>
      <c r="C1555" s="3" t="s">
        <v>60</v>
      </c>
      <c r="D1555" s="3" t="s">
        <v>196</v>
      </c>
      <c r="E1555" s="6">
        <v>0.49513888888888891</v>
      </c>
      <c r="F1555" s="6">
        <v>0.67291666666666672</v>
      </c>
      <c r="G1555" s="3" t="s">
        <v>20</v>
      </c>
      <c r="H1555" s="3" t="s">
        <v>14</v>
      </c>
      <c r="I1555" s="3" t="s">
        <v>21</v>
      </c>
    </row>
    <row r="1556" spans="1:9" s="3" customFormat="1" x14ac:dyDescent="0.3">
      <c r="A1556" s="3" t="s">
        <v>22</v>
      </c>
      <c r="B1556" s="3" t="s">
        <v>23</v>
      </c>
      <c r="C1556" s="3" t="s">
        <v>18</v>
      </c>
      <c r="D1556" s="3" t="s">
        <v>196</v>
      </c>
      <c r="E1556" s="6"/>
      <c r="F1556" s="6"/>
      <c r="G1556" s="3" t="s">
        <v>44</v>
      </c>
      <c r="H1556" s="3" t="s">
        <v>14</v>
      </c>
      <c r="I1556" s="3" t="s">
        <v>15</v>
      </c>
    </row>
    <row r="1557" spans="1:9" s="3" customFormat="1" x14ac:dyDescent="0.3">
      <c r="A1557" s="3" t="s">
        <v>45</v>
      </c>
      <c r="B1557" s="3" t="s">
        <v>46</v>
      </c>
      <c r="C1557" s="3" t="s">
        <v>60</v>
      </c>
      <c r="D1557" s="3" t="s">
        <v>71</v>
      </c>
      <c r="E1557" s="6">
        <v>0.36805555555555558</v>
      </c>
      <c r="F1557" s="6">
        <v>0.81874999999999998</v>
      </c>
      <c r="G1557" s="3" t="s">
        <v>26</v>
      </c>
      <c r="H1557" s="3" t="s">
        <v>14</v>
      </c>
      <c r="I1557" s="3" t="s">
        <v>21</v>
      </c>
    </row>
    <row r="1558" spans="1:9" s="3" customFormat="1" x14ac:dyDescent="0.3">
      <c r="A1558" s="3" t="s">
        <v>96</v>
      </c>
      <c r="B1558" s="3" t="s">
        <v>97</v>
      </c>
      <c r="C1558" s="3" t="s">
        <v>18</v>
      </c>
      <c r="D1558" s="3" t="s">
        <v>228</v>
      </c>
      <c r="E1558" s="6">
        <v>0.35902777777777778</v>
      </c>
      <c r="F1558" s="6">
        <v>0.84166666666666667</v>
      </c>
      <c r="G1558" s="3" t="s">
        <v>26</v>
      </c>
      <c r="H1558" s="3" t="s">
        <v>14</v>
      </c>
      <c r="I1558" s="3" t="s">
        <v>21</v>
      </c>
    </row>
    <row r="1559" spans="1:9" s="3" customFormat="1" x14ac:dyDescent="0.3">
      <c r="A1559" s="3" t="s">
        <v>362</v>
      </c>
      <c r="B1559" s="3" t="s">
        <v>363</v>
      </c>
      <c r="C1559" s="3" t="s">
        <v>42</v>
      </c>
      <c r="D1559" s="3" t="s">
        <v>380</v>
      </c>
      <c r="E1559" s="6">
        <v>0.37430555555555556</v>
      </c>
      <c r="F1559" s="6">
        <v>0.84166666666666667</v>
      </c>
      <c r="G1559" s="3" t="s">
        <v>26</v>
      </c>
      <c r="H1559" s="3" t="s">
        <v>14</v>
      </c>
      <c r="I1559" s="3" t="s">
        <v>21</v>
      </c>
    </row>
    <row r="1560" spans="1:9" s="3" customFormat="1" x14ac:dyDescent="0.3">
      <c r="A1560" s="3" t="s">
        <v>45</v>
      </c>
      <c r="B1560" s="3" t="s">
        <v>46</v>
      </c>
      <c r="C1560" s="3" t="s">
        <v>42</v>
      </c>
      <c r="D1560" s="3" t="s">
        <v>144</v>
      </c>
      <c r="E1560" s="6">
        <v>0.35486111111111113</v>
      </c>
      <c r="F1560" s="6">
        <v>0.85833333333333328</v>
      </c>
      <c r="G1560" s="3" t="s">
        <v>13</v>
      </c>
      <c r="H1560" s="3" t="s">
        <v>14</v>
      </c>
      <c r="I1560" s="3" t="s">
        <v>21</v>
      </c>
    </row>
    <row r="1561" spans="1:9" s="3" customFormat="1" x14ac:dyDescent="0.3">
      <c r="A1561" s="3" t="s">
        <v>45</v>
      </c>
      <c r="B1561" s="3" t="s">
        <v>46</v>
      </c>
      <c r="C1561" s="3" t="s">
        <v>18</v>
      </c>
      <c r="D1561" s="3" t="s">
        <v>268</v>
      </c>
      <c r="E1561" s="6"/>
      <c r="F1561" s="6"/>
      <c r="G1561" s="3" t="s">
        <v>44</v>
      </c>
      <c r="H1561" s="3" t="s">
        <v>27</v>
      </c>
      <c r="I1561" s="3" t="s">
        <v>21</v>
      </c>
    </row>
    <row r="1562" spans="1:9" s="3" customFormat="1" x14ac:dyDescent="0.3">
      <c r="A1562" s="3" t="s">
        <v>236</v>
      </c>
      <c r="B1562" s="3" t="s">
        <v>237</v>
      </c>
      <c r="C1562" s="3" t="s">
        <v>64</v>
      </c>
      <c r="D1562" s="3" t="s">
        <v>266</v>
      </c>
      <c r="E1562" s="6">
        <v>0.46736111111111112</v>
      </c>
      <c r="F1562" s="6">
        <v>0.73472222222222228</v>
      </c>
      <c r="G1562" s="3" t="s">
        <v>20</v>
      </c>
      <c r="H1562" s="3" t="s">
        <v>27</v>
      </c>
      <c r="I1562" s="3" t="s">
        <v>15</v>
      </c>
    </row>
    <row r="1563" spans="1:9" s="3" customFormat="1" x14ac:dyDescent="0.3">
      <c r="A1563" s="3" t="s">
        <v>213</v>
      </c>
      <c r="B1563" s="3" t="s">
        <v>214</v>
      </c>
      <c r="C1563" s="3" t="s">
        <v>42</v>
      </c>
      <c r="D1563" s="3" t="s">
        <v>19</v>
      </c>
      <c r="E1563" s="6">
        <v>0.46736111111111112</v>
      </c>
      <c r="F1563" s="6">
        <v>0.75763888888888886</v>
      </c>
      <c r="G1563" s="3" t="s">
        <v>13</v>
      </c>
      <c r="H1563" s="3" t="s">
        <v>27</v>
      </c>
      <c r="I1563" s="3" t="s">
        <v>21</v>
      </c>
    </row>
    <row r="1564" spans="1:9" s="3" customFormat="1" x14ac:dyDescent="0.3">
      <c r="A1564" s="3" t="s">
        <v>62</v>
      </c>
      <c r="B1564" s="3" t="s">
        <v>63</v>
      </c>
      <c r="C1564" s="3" t="s">
        <v>64</v>
      </c>
      <c r="D1564" s="3" t="s">
        <v>389</v>
      </c>
      <c r="E1564" s="6"/>
      <c r="F1564" s="6"/>
      <c r="G1564" s="3" t="s">
        <v>44</v>
      </c>
      <c r="H1564" s="3" t="s">
        <v>27</v>
      </c>
      <c r="I1564" s="3" t="s">
        <v>21</v>
      </c>
    </row>
    <row r="1565" spans="1:9" s="3" customFormat="1" x14ac:dyDescent="0.3">
      <c r="A1565" s="3" t="s">
        <v>55</v>
      </c>
      <c r="B1565" s="3" t="s">
        <v>56</v>
      </c>
      <c r="C1565" s="3" t="s">
        <v>60</v>
      </c>
      <c r="D1565" s="3" t="s">
        <v>259</v>
      </c>
      <c r="E1565" s="6">
        <v>0.34027777777777779</v>
      </c>
      <c r="F1565" s="6">
        <v>0.67500000000000004</v>
      </c>
      <c r="G1565" s="3" t="s">
        <v>125</v>
      </c>
      <c r="H1565" s="3" t="s">
        <v>14</v>
      </c>
      <c r="I1565" s="3" t="s">
        <v>21</v>
      </c>
    </row>
    <row r="1566" spans="1:9" s="3" customFormat="1" x14ac:dyDescent="0.3">
      <c r="A1566" s="3" t="s">
        <v>96</v>
      </c>
      <c r="B1566" s="3" t="s">
        <v>97</v>
      </c>
      <c r="C1566" s="3" t="s">
        <v>60</v>
      </c>
      <c r="D1566" s="3" t="s">
        <v>388</v>
      </c>
      <c r="E1566" s="6">
        <v>0.3527777777777778</v>
      </c>
      <c r="F1566" s="6">
        <v>0.83333333333333337</v>
      </c>
      <c r="G1566" s="3" t="s">
        <v>20</v>
      </c>
      <c r="H1566" s="3" t="s">
        <v>27</v>
      </c>
      <c r="I1566" s="3" t="s">
        <v>21</v>
      </c>
    </row>
    <row r="1567" spans="1:9" s="3" customFormat="1" x14ac:dyDescent="0.3">
      <c r="A1567" s="3" t="s">
        <v>31</v>
      </c>
      <c r="B1567" s="3" t="s">
        <v>32</v>
      </c>
      <c r="C1567" s="3" t="s">
        <v>64</v>
      </c>
      <c r="D1567" s="3" t="s">
        <v>331</v>
      </c>
      <c r="E1567" s="6"/>
      <c r="F1567" s="6"/>
      <c r="G1567" s="3" t="s">
        <v>44</v>
      </c>
      <c r="H1567" s="3" t="s">
        <v>14</v>
      </c>
      <c r="I1567" s="3" t="s">
        <v>21</v>
      </c>
    </row>
    <row r="1568" spans="1:9" s="3" customFormat="1" x14ac:dyDescent="0.3">
      <c r="A1568" s="3" t="s">
        <v>72</v>
      </c>
      <c r="B1568" s="3" t="s">
        <v>73</v>
      </c>
      <c r="C1568" s="3" t="s">
        <v>64</v>
      </c>
      <c r="D1568" s="3" t="s">
        <v>311</v>
      </c>
      <c r="E1568" s="6">
        <v>0.36805555555555558</v>
      </c>
      <c r="F1568" s="6">
        <v>0.73888888888888893</v>
      </c>
      <c r="G1568" s="3" t="s">
        <v>13</v>
      </c>
      <c r="H1568" s="3" t="s">
        <v>14</v>
      </c>
      <c r="I1568" s="3" t="s">
        <v>21</v>
      </c>
    </row>
    <row r="1569" spans="1:9" s="3" customFormat="1" x14ac:dyDescent="0.3">
      <c r="A1569" s="3" t="s">
        <v>75</v>
      </c>
      <c r="B1569" s="3" t="s">
        <v>76</v>
      </c>
      <c r="C1569" s="3" t="s">
        <v>18</v>
      </c>
      <c r="D1569" s="3" t="s">
        <v>186</v>
      </c>
      <c r="E1569" s="6">
        <v>0.44166666666666665</v>
      </c>
      <c r="F1569" s="6">
        <v>0.79236111111111107</v>
      </c>
      <c r="G1569" s="3" t="s">
        <v>13</v>
      </c>
      <c r="H1569" s="3" t="s">
        <v>14</v>
      </c>
      <c r="I1569" s="3" t="s">
        <v>15</v>
      </c>
    </row>
    <row r="1570" spans="1:9" s="3" customFormat="1" x14ac:dyDescent="0.3">
      <c r="A1570" s="3" t="s">
        <v>55</v>
      </c>
      <c r="B1570" s="3" t="s">
        <v>56</v>
      </c>
      <c r="C1570" s="3" t="s">
        <v>18</v>
      </c>
      <c r="D1570" s="3" t="s">
        <v>401</v>
      </c>
      <c r="E1570" s="6">
        <v>0.40486111111111112</v>
      </c>
      <c r="F1570" s="6">
        <v>0.79305555555555551</v>
      </c>
      <c r="G1570" s="3" t="s">
        <v>13</v>
      </c>
      <c r="H1570" s="3" t="s">
        <v>27</v>
      </c>
      <c r="I1570" s="3" t="s">
        <v>15</v>
      </c>
    </row>
    <row r="1571" spans="1:9" s="3" customFormat="1" x14ac:dyDescent="0.3">
      <c r="A1571" s="3" t="s">
        <v>250</v>
      </c>
      <c r="B1571" s="3" t="s">
        <v>251</v>
      </c>
      <c r="C1571" s="3" t="s">
        <v>18</v>
      </c>
      <c r="D1571" s="3" t="s">
        <v>262</v>
      </c>
      <c r="E1571" s="6">
        <v>0.38124999999999998</v>
      </c>
      <c r="F1571" s="6">
        <v>0.81458333333333333</v>
      </c>
      <c r="G1571" s="3" t="s">
        <v>13</v>
      </c>
      <c r="H1571" s="3" t="s">
        <v>27</v>
      </c>
      <c r="I1571" s="3" t="s">
        <v>21</v>
      </c>
    </row>
    <row r="1572" spans="1:9" s="3" customFormat="1" x14ac:dyDescent="0.3">
      <c r="A1572" s="3" t="s">
        <v>146</v>
      </c>
      <c r="B1572" s="3" t="s">
        <v>147</v>
      </c>
      <c r="C1572" s="3" t="s">
        <v>24</v>
      </c>
      <c r="D1572" s="3" t="s">
        <v>260</v>
      </c>
      <c r="E1572" s="6">
        <v>0.40277777777777779</v>
      </c>
      <c r="F1572" s="6">
        <v>0.71388888888888891</v>
      </c>
      <c r="G1572" s="3" t="s">
        <v>26</v>
      </c>
      <c r="H1572" s="3" t="s">
        <v>27</v>
      </c>
      <c r="I1572" s="3" t="s">
        <v>15</v>
      </c>
    </row>
    <row r="1573" spans="1:9" s="3" customFormat="1" x14ac:dyDescent="0.3">
      <c r="A1573" s="3" t="s">
        <v>115</v>
      </c>
      <c r="B1573" s="3" t="s">
        <v>116</v>
      </c>
      <c r="C1573" s="3" t="s">
        <v>18</v>
      </c>
      <c r="D1573" s="3" t="s">
        <v>379</v>
      </c>
      <c r="E1573" s="6"/>
      <c r="F1573" s="6"/>
      <c r="G1573" s="3" t="s">
        <v>44</v>
      </c>
      <c r="H1573" s="3" t="s">
        <v>27</v>
      </c>
      <c r="I1573" s="3" t="s">
        <v>15</v>
      </c>
    </row>
    <row r="1574" spans="1:9" s="3" customFormat="1" x14ac:dyDescent="0.3">
      <c r="A1574" s="3" t="s">
        <v>150</v>
      </c>
      <c r="B1574" s="3" t="s">
        <v>151</v>
      </c>
      <c r="C1574" s="3" t="s">
        <v>42</v>
      </c>
      <c r="D1574" s="3" t="s">
        <v>50</v>
      </c>
      <c r="E1574" s="6">
        <v>0.35555555555555557</v>
      </c>
      <c r="F1574" s="6">
        <v>0.82777777777777772</v>
      </c>
      <c r="G1574" s="3" t="s">
        <v>26</v>
      </c>
      <c r="H1574" s="3" t="s">
        <v>14</v>
      </c>
      <c r="I1574" s="3" t="s">
        <v>21</v>
      </c>
    </row>
    <row r="1575" spans="1:9" s="3" customFormat="1" x14ac:dyDescent="0.3">
      <c r="A1575" s="3" t="s">
        <v>291</v>
      </c>
      <c r="B1575" s="3" t="s">
        <v>292</v>
      </c>
      <c r="C1575" s="3" t="s">
        <v>42</v>
      </c>
      <c r="D1575" s="3" t="s">
        <v>240</v>
      </c>
      <c r="E1575" s="6"/>
      <c r="F1575" s="6"/>
      <c r="G1575" s="3" t="s">
        <v>44</v>
      </c>
      <c r="H1575" s="3" t="s">
        <v>27</v>
      </c>
      <c r="I1575" s="3" t="s">
        <v>21</v>
      </c>
    </row>
    <row r="1576" spans="1:9" s="3" customFormat="1" x14ac:dyDescent="0.3">
      <c r="A1576" s="3" t="s">
        <v>84</v>
      </c>
      <c r="B1576" s="3" t="s">
        <v>85</v>
      </c>
      <c r="C1576" s="3" t="s">
        <v>64</v>
      </c>
      <c r="D1576" s="3" t="s">
        <v>61</v>
      </c>
      <c r="E1576" s="6">
        <v>0.48541666666666666</v>
      </c>
      <c r="F1576" s="6">
        <v>0.73124999999999996</v>
      </c>
      <c r="G1576" s="3" t="s">
        <v>13</v>
      </c>
      <c r="H1576" s="3" t="s">
        <v>27</v>
      </c>
      <c r="I1576" s="3" t="s">
        <v>21</v>
      </c>
    </row>
    <row r="1577" spans="1:9" s="3" customFormat="1" x14ac:dyDescent="0.3">
      <c r="A1577" s="3" t="s">
        <v>87</v>
      </c>
      <c r="B1577" s="3" t="s">
        <v>88</v>
      </c>
      <c r="C1577" s="3" t="s">
        <v>18</v>
      </c>
      <c r="D1577" s="3" t="s">
        <v>248</v>
      </c>
      <c r="E1577" s="6"/>
      <c r="F1577" s="6"/>
      <c r="G1577" s="3" t="s">
        <v>125</v>
      </c>
      <c r="H1577" s="3" t="s">
        <v>27</v>
      </c>
      <c r="I1577" s="3" t="s">
        <v>15</v>
      </c>
    </row>
    <row r="1578" spans="1:9" s="3" customFormat="1" x14ac:dyDescent="0.3">
      <c r="A1578" s="3" t="s">
        <v>84</v>
      </c>
      <c r="B1578" s="3" t="s">
        <v>85</v>
      </c>
      <c r="C1578" s="3" t="s">
        <v>64</v>
      </c>
      <c r="D1578" s="3" t="s">
        <v>231</v>
      </c>
      <c r="E1578" s="6">
        <v>0.44166666666666665</v>
      </c>
      <c r="F1578" s="6">
        <v>0.72222222222222221</v>
      </c>
      <c r="G1578" s="3" t="s">
        <v>20</v>
      </c>
      <c r="H1578" s="3" t="s">
        <v>27</v>
      </c>
      <c r="I1578" s="3" t="s">
        <v>21</v>
      </c>
    </row>
    <row r="1579" spans="1:9" s="3" customFormat="1" x14ac:dyDescent="0.3">
      <c r="A1579" s="3" t="s">
        <v>93</v>
      </c>
      <c r="B1579" s="3" t="s">
        <v>94</v>
      </c>
      <c r="C1579" s="3" t="s">
        <v>42</v>
      </c>
      <c r="D1579" s="3" t="s">
        <v>393</v>
      </c>
      <c r="E1579" s="6">
        <v>0.48680555555555555</v>
      </c>
      <c r="F1579" s="6">
        <v>0.78680555555555554</v>
      </c>
      <c r="G1579" s="3" t="s">
        <v>13</v>
      </c>
      <c r="H1579" s="3" t="s">
        <v>27</v>
      </c>
      <c r="I1579" s="3" t="s">
        <v>21</v>
      </c>
    </row>
    <row r="1580" spans="1:9" s="3" customFormat="1" x14ac:dyDescent="0.3">
      <c r="A1580" s="3" t="s">
        <v>112</v>
      </c>
      <c r="B1580" s="3" t="s">
        <v>113</v>
      </c>
      <c r="C1580" s="3" t="s">
        <v>64</v>
      </c>
      <c r="D1580" s="3" t="s">
        <v>226</v>
      </c>
      <c r="E1580" s="6">
        <v>0.4826388888888889</v>
      </c>
      <c r="F1580" s="6">
        <v>0.67500000000000004</v>
      </c>
      <c r="G1580" s="3" t="s">
        <v>26</v>
      </c>
      <c r="H1580" s="3" t="s">
        <v>27</v>
      </c>
      <c r="I1580" s="3" t="s">
        <v>21</v>
      </c>
    </row>
    <row r="1581" spans="1:9" s="3" customFormat="1" x14ac:dyDescent="0.3">
      <c r="A1581" s="3" t="s">
        <v>204</v>
      </c>
      <c r="B1581" s="3" t="s">
        <v>205</v>
      </c>
      <c r="C1581" s="3" t="s">
        <v>60</v>
      </c>
      <c r="D1581" s="3" t="s">
        <v>361</v>
      </c>
      <c r="E1581" s="6">
        <v>0.48888888888888887</v>
      </c>
      <c r="F1581" s="6">
        <v>0.87361111111111112</v>
      </c>
      <c r="G1581" s="3" t="s">
        <v>20</v>
      </c>
      <c r="H1581" s="3" t="s">
        <v>27</v>
      </c>
      <c r="I1581" s="3" t="s">
        <v>15</v>
      </c>
    </row>
    <row r="1582" spans="1:9" s="3" customFormat="1" x14ac:dyDescent="0.3">
      <c r="A1582" s="3" t="s">
        <v>138</v>
      </c>
      <c r="B1582" s="3" t="s">
        <v>139</v>
      </c>
      <c r="C1582" s="3" t="s">
        <v>42</v>
      </c>
      <c r="D1582" s="3" t="s">
        <v>177</v>
      </c>
      <c r="E1582" s="6">
        <v>0.4597222222222222</v>
      </c>
      <c r="F1582" s="6">
        <v>0.67708333333333337</v>
      </c>
      <c r="G1582" s="3" t="s">
        <v>20</v>
      </c>
      <c r="H1582" s="3" t="s">
        <v>27</v>
      </c>
      <c r="I1582" s="3" t="s">
        <v>21</v>
      </c>
    </row>
    <row r="1583" spans="1:9" s="3" customFormat="1" x14ac:dyDescent="0.3">
      <c r="A1583" s="3" t="s">
        <v>75</v>
      </c>
      <c r="B1583" s="3" t="s">
        <v>76</v>
      </c>
      <c r="C1583" s="3" t="s">
        <v>60</v>
      </c>
      <c r="D1583" s="3" t="s">
        <v>332</v>
      </c>
      <c r="E1583" s="6">
        <v>0.41249999999999998</v>
      </c>
      <c r="F1583" s="6">
        <v>0.70833333333333337</v>
      </c>
      <c r="G1583" s="3" t="s">
        <v>26</v>
      </c>
      <c r="H1583" s="3" t="s">
        <v>27</v>
      </c>
      <c r="I1583" s="3" t="s">
        <v>21</v>
      </c>
    </row>
    <row r="1584" spans="1:9" s="3" customFormat="1" x14ac:dyDescent="0.3">
      <c r="A1584" s="3" t="s">
        <v>154</v>
      </c>
      <c r="B1584" s="3" t="s">
        <v>155</v>
      </c>
      <c r="C1584" s="3" t="s">
        <v>18</v>
      </c>
      <c r="D1584" s="3" t="s">
        <v>223</v>
      </c>
      <c r="E1584" s="6">
        <v>0.46666666666666667</v>
      </c>
      <c r="F1584" s="6">
        <v>0.67708333333333337</v>
      </c>
      <c r="G1584" s="3" t="s">
        <v>20</v>
      </c>
      <c r="H1584" s="3" t="s">
        <v>14</v>
      </c>
      <c r="I1584" s="3" t="s">
        <v>21</v>
      </c>
    </row>
    <row r="1585" spans="1:9" s="3" customFormat="1" x14ac:dyDescent="0.3">
      <c r="A1585" s="3" t="s">
        <v>66</v>
      </c>
      <c r="B1585" s="3" t="s">
        <v>67</v>
      </c>
      <c r="C1585" s="3" t="s">
        <v>18</v>
      </c>
      <c r="D1585" s="3" t="s">
        <v>30</v>
      </c>
      <c r="E1585" s="6">
        <v>0.48749999999999999</v>
      </c>
      <c r="F1585" s="6">
        <v>0.7319444444444444</v>
      </c>
      <c r="G1585" s="3" t="s">
        <v>26</v>
      </c>
      <c r="H1585" s="3" t="s">
        <v>27</v>
      </c>
      <c r="I1585" s="3" t="s">
        <v>15</v>
      </c>
    </row>
    <row r="1586" spans="1:9" s="3" customFormat="1" x14ac:dyDescent="0.3">
      <c r="A1586" s="3" t="s">
        <v>122</v>
      </c>
      <c r="B1586" s="3" t="s">
        <v>123</v>
      </c>
      <c r="C1586" s="3" t="s">
        <v>64</v>
      </c>
      <c r="D1586" s="3" t="s">
        <v>83</v>
      </c>
      <c r="E1586" s="6">
        <v>0.34652777777777777</v>
      </c>
      <c r="F1586" s="6">
        <v>0.87430555555555556</v>
      </c>
      <c r="G1586" s="3" t="s">
        <v>26</v>
      </c>
      <c r="H1586" s="3" t="s">
        <v>27</v>
      </c>
      <c r="I1586" s="3" t="s">
        <v>21</v>
      </c>
    </row>
    <row r="1587" spans="1:9" s="3" customFormat="1" x14ac:dyDescent="0.3">
      <c r="A1587" s="3" t="s">
        <v>146</v>
      </c>
      <c r="B1587" s="3" t="s">
        <v>147</v>
      </c>
      <c r="C1587" s="3" t="s">
        <v>239</v>
      </c>
      <c r="D1587" s="3" t="s">
        <v>371</v>
      </c>
      <c r="E1587" s="6">
        <v>0.34861111111111109</v>
      </c>
      <c r="F1587" s="6">
        <v>0.73472222222222228</v>
      </c>
      <c r="G1587" s="3" t="s">
        <v>20</v>
      </c>
      <c r="H1587" s="3" t="s">
        <v>27</v>
      </c>
      <c r="I1587" s="3" t="s">
        <v>15</v>
      </c>
    </row>
    <row r="1588" spans="1:9" s="3" customFormat="1" x14ac:dyDescent="0.3">
      <c r="A1588" s="3" t="s">
        <v>146</v>
      </c>
      <c r="B1588" s="3" t="s">
        <v>147</v>
      </c>
      <c r="C1588" s="3" t="s">
        <v>18</v>
      </c>
      <c r="D1588" s="3" t="s">
        <v>209</v>
      </c>
      <c r="E1588" s="6">
        <v>0.33680555555555558</v>
      </c>
      <c r="F1588" s="6">
        <v>0.75069444444444444</v>
      </c>
      <c r="G1588" s="3" t="s">
        <v>13</v>
      </c>
      <c r="H1588" s="3" t="s">
        <v>14</v>
      </c>
      <c r="I1588" s="3" t="s">
        <v>21</v>
      </c>
    </row>
    <row r="1589" spans="1:9" s="3" customFormat="1" x14ac:dyDescent="0.3">
      <c r="A1589" s="3" t="s">
        <v>52</v>
      </c>
      <c r="B1589" s="3" t="s">
        <v>53</v>
      </c>
      <c r="C1589" s="3" t="s">
        <v>42</v>
      </c>
      <c r="D1589" s="3" t="s">
        <v>238</v>
      </c>
      <c r="E1589" s="6">
        <v>0.39791666666666664</v>
      </c>
      <c r="F1589" s="6">
        <v>0.80486111111111114</v>
      </c>
      <c r="G1589" s="3" t="s">
        <v>20</v>
      </c>
      <c r="H1589" s="3" t="s">
        <v>14</v>
      </c>
      <c r="I1589" s="3" t="s">
        <v>15</v>
      </c>
    </row>
    <row r="1590" spans="1:9" s="3" customFormat="1" x14ac:dyDescent="0.3">
      <c r="A1590" s="3" t="s">
        <v>72</v>
      </c>
      <c r="B1590" s="3" t="s">
        <v>73</v>
      </c>
      <c r="C1590" s="3" t="s">
        <v>64</v>
      </c>
      <c r="D1590" s="3" t="s">
        <v>325</v>
      </c>
      <c r="E1590" s="6"/>
      <c r="F1590" s="6"/>
      <c r="G1590" s="3" t="s">
        <v>44</v>
      </c>
      <c r="H1590" s="3" t="s">
        <v>14</v>
      </c>
      <c r="I1590" s="3" t="s">
        <v>21</v>
      </c>
    </row>
    <row r="1591" spans="1:9" s="3" customFormat="1" x14ac:dyDescent="0.3">
      <c r="A1591" s="3" t="s">
        <v>31</v>
      </c>
      <c r="B1591" s="3" t="s">
        <v>32</v>
      </c>
      <c r="C1591" s="3" t="s">
        <v>42</v>
      </c>
      <c r="D1591" s="3" t="s">
        <v>399</v>
      </c>
      <c r="E1591" s="6">
        <v>0.44236111111111109</v>
      </c>
      <c r="F1591" s="6">
        <v>0.7</v>
      </c>
      <c r="G1591" s="3" t="s">
        <v>26</v>
      </c>
      <c r="H1591" s="3" t="s">
        <v>14</v>
      </c>
      <c r="I1591" s="3" t="s">
        <v>15</v>
      </c>
    </row>
    <row r="1592" spans="1:9" s="3" customFormat="1" x14ac:dyDescent="0.3">
      <c r="A1592" s="3" t="s">
        <v>171</v>
      </c>
      <c r="B1592" s="3" t="s">
        <v>172</v>
      </c>
      <c r="C1592" s="3" t="s">
        <v>60</v>
      </c>
      <c r="D1592" s="3" t="s">
        <v>266</v>
      </c>
      <c r="E1592" s="6">
        <v>0.45902777777777776</v>
      </c>
      <c r="F1592" s="6">
        <v>0.86458333333333337</v>
      </c>
      <c r="G1592" s="3" t="s">
        <v>26</v>
      </c>
      <c r="H1592" s="3" t="s">
        <v>14</v>
      </c>
      <c r="I1592" s="3" t="s">
        <v>15</v>
      </c>
    </row>
    <row r="1593" spans="1:9" s="3" customFormat="1" x14ac:dyDescent="0.3">
      <c r="A1593" s="3" t="s">
        <v>75</v>
      </c>
      <c r="B1593" s="3" t="s">
        <v>76</v>
      </c>
      <c r="C1593" s="3" t="s">
        <v>18</v>
      </c>
      <c r="D1593" s="3" t="s">
        <v>395</v>
      </c>
      <c r="E1593" s="6">
        <v>0.35902777777777778</v>
      </c>
      <c r="F1593" s="6">
        <v>0.69305555555555554</v>
      </c>
      <c r="G1593" s="3" t="s">
        <v>13</v>
      </c>
      <c r="H1593" s="3" t="s">
        <v>27</v>
      </c>
      <c r="I1593" s="3" t="s">
        <v>15</v>
      </c>
    </row>
    <row r="1594" spans="1:9" s="3" customFormat="1" x14ac:dyDescent="0.3">
      <c r="A1594" s="3" t="s">
        <v>194</v>
      </c>
      <c r="B1594" s="3" t="s">
        <v>195</v>
      </c>
      <c r="C1594" s="3" t="s">
        <v>42</v>
      </c>
      <c r="D1594" s="3" t="s">
        <v>301</v>
      </c>
      <c r="E1594" s="6">
        <v>0.375</v>
      </c>
      <c r="F1594" s="6">
        <v>0.7</v>
      </c>
      <c r="G1594" s="3" t="s">
        <v>26</v>
      </c>
      <c r="H1594" s="3" t="s">
        <v>27</v>
      </c>
      <c r="I1594" s="3" t="s">
        <v>21</v>
      </c>
    </row>
    <row r="1595" spans="1:9" s="3" customFormat="1" x14ac:dyDescent="0.3">
      <c r="A1595" s="3" t="s">
        <v>130</v>
      </c>
      <c r="B1595" s="3" t="s">
        <v>131</v>
      </c>
      <c r="C1595" s="3" t="s">
        <v>60</v>
      </c>
      <c r="D1595" s="3" t="s">
        <v>337</v>
      </c>
      <c r="E1595" s="6">
        <v>0.39861111111111114</v>
      </c>
      <c r="F1595" s="6">
        <v>0.77430555555555558</v>
      </c>
      <c r="G1595" s="3" t="s">
        <v>26</v>
      </c>
      <c r="H1595" s="3" t="s">
        <v>27</v>
      </c>
      <c r="I1595" s="3" t="s">
        <v>15</v>
      </c>
    </row>
    <row r="1596" spans="1:9" s="3" customFormat="1" x14ac:dyDescent="0.3">
      <c r="A1596" s="3" t="s">
        <v>291</v>
      </c>
      <c r="B1596" s="3" t="s">
        <v>292</v>
      </c>
      <c r="C1596" s="3" t="s">
        <v>42</v>
      </c>
      <c r="D1596" s="3" t="s">
        <v>335</v>
      </c>
      <c r="E1596" s="6"/>
      <c r="F1596" s="6"/>
      <c r="G1596" s="3" t="s">
        <v>44</v>
      </c>
      <c r="H1596" s="3" t="s">
        <v>14</v>
      </c>
      <c r="I1596" s="3" t="s">
        <v>15</v>
      </c>
    </row>
    <row r="1597" spans="1:9" s="3" customFormat="1" x14ac:dyDescent="0.3">
      <c r="A1597" s="3" t="s">
        <v>16</v>
      </c>
      <c r="B1597" s="3" t="s">
        <v>17</v>
      </c>
      <c r="C1597" s="3" t="s">
        <v>18</v>
      </c>
      <c r="D1597" s="3" t="s">
        <v>376</v>
      </c>
      <c r="E1597" s="6"/>
      <c r="F1597" s="6"/>
      <c r="G1597" s="3" t="s">
        <v>44</v>
      </c>
      <c r="H1597" s="3" t="s">
        <v>14</v>
      </c>
      <c r="I1597" s="3" t="s">
        <v>21</v>
      </c>
    </row>
    <row r="1598" spans="1:9" s="3" customFormat="1" x14ac:dyDescent="0.3">
      <c r="A1598" s="3" t="s">
        <v>99</v>
      </c>
      <c r="B1598" s="3" t="s">
        <v>100</v>
      </c>
      <c r="C1598" s="3" t="s">
        <v>64</v>
      </c>
      <c r="D1598" s="3" t="s">
        <v>80</v>
      </c>
      <c r="E1598" s="6"/>
      <c r="F1598" s="6"/>
      <c r="G1598" s="3" t="s">
        <v>44</v>
      </c>
      <c r="H1598" s="3" t="s">
        <v>14</v>
      </c>
      <c r="I1598" s="3" t="s">
        <v>15</v>
      </c>
    </row>
    <row r="1599" spans="1:9" s="3" customFormat="1" x14ac:dyDescent="0.3">
      <c r="A1599" s="3" t="s">
        <v>34</v>
      </c>
      <c r="B1599" s="3" t="s">
        <v>35</v>
      </c>
      <c r="C1599" s="3" t="s">
        <v>64</v>
      </c>
      <c r="D1599" s="3" t="s">
        <v>401</v>
      </c>
      <c r="E1599" s="6">
        <v>0.37291666666666667</v>
      </c>
      <c r="F1599" s="6">
        <v>0.7</v>
      </c>
      <c r="G1599" s="3" t="s">
        <v>26</v>
      </c>
      <c r="H1599" s="3" t="s">
        <v>14</v>
      </c>
      <c r="I1599" s="3" t="s">
        <v>21</v>
      </c>
    </row>
    <row r="1600" spans="1:9" s="3" customFormat="1" x14ac:dyDescent="0.3">
      <c r="A1600" s="3" t="s">
        <v>109</v>
      </c>
      <c r="B1600" s="3" t="s">
        <v>110</v>
      </c>
      <c r="C1600" s="3" t="s">
        <v>60</v>
      </c>
      <c r="D1600" s="3" t="s">
        <v>61</v>
      </c>
      <c r="E1600" s="6"/>
      <c r="F1600" s="6"/>
      <c r="G1600" s="3" t="s">
        <v>44</v>
      </c>
      <c r="H1600" s="3" t="s">
        <v>14</v>
      </c>
      <c r="I1600" s="3" t="s">
        <v>21</v>
      </c>
    </row>
    <row r="1601" spans="1:9" s="3" customFormat="1" x14ac:dyDescent="0.3">
      <c r="A1601" s="3" t="s">
        <v>134</v>
      </c>
      <c r="B1601" s="3" t="s">
        <v>135</v>
      </c>
      <c r="C1601" s="3" t="s">
        <v>143</v>
      </c>
      <c r="D1601" s="3" t="s">
        <v>184</v>
      </c>
      <c r="E1601" s="6">
        <v>0.46527777777777779</v>
      </c>
      <c r="F1601" s="6">
        <v>0.85277777777777775</v>
      </c>
      <c r="G1601" s="3" t="s">
        <v>274</v>
      </c>
      <c r="H1601" s="3" t="s">
        <v>14</v>
      </c>
      <c r="I1601" s="3" t="s">
        <v>15</v>
      </c>
    </row>
    <row r="1602" spans="1:9" s="3" customFormat="1" x14ac:dyDescent="0.3">
      <c r="A1602" s="3" t="s">
        <v>216</v>
      </c>
      <c r="B1602" s="3" t="s">
        <v>217</v>
      </c>
      <c r="C1602" s="3" t="s">
        <v>127</v>
      </c>
      <c r="D1602" s="3" t="s">
        <v>401</v>
      </c>
      <c r="E1602" s="6">
        <v>0.34861111111111109</v>
      </c>
      <c r="F1602" s="6">
        <v>0.71180555555555558</v>
      </c>
      <c r="G1602" s="3" t="s">
        <v>13</v>
      </c>
      <c r="H1602" s="3" t="s">
        <v>14</v>
      </c>
      <c r="I1602" s="3" t="s">
        <v>15</v>
      </c>
    </row>
    <row r="1603" spans="1:9" s="3" customFormat="1" x14ac:dyDescent="0.3">
      <c r="A1603" s="3" t="s">
        <v>37</v>
      </c>
      <c r="B1603" s="3" t="s">
        <v>38</v>
      </c>
      <c r="C1603" s="3" t="s">
        <v>64</v>
      </c>
      <c r="D1603" s="3" t="s">
        <v>132</v>
      </c>
      <c r="E1603" s="6"/>
      <c r="F1603" s="6"/>
      <c r="G1603" s="3" t="s">
        <v>44</v>
      </c>
      <c r="H1603" s="3" t="s">
        <v>14</v>
      </c>
      <c r="I1603" s="3" t="s">
        <v>21</v>
      </c>
    </row>
    <row r="1604" spans="1:9" s="3" customFormat="1" x14ac:dyDescent="0.3">
      <c r="A1604" s="3" t="s">
        <v>45</v>
      </c>
      <c r="B1604" s="3" t="s">
        <v>46</v>
      </c>
      <c r="C1604" s="3" t="s">
        <v>60</v>
      </c>
      <c r="D1604" s="3" t="s">
        <v>124</v>
      </c>
      <c r="E1604" s="6">
        <v>0.35902777777777778</v>
      </c>
      <c r="F1604" s="6">
        <v>0.71875</v>
      </c>
      <c r="G1604" s="3" t="s">
        <v>20</v>
      </c>
      <c r="H1604" s="3" t="s">
        <v>14</v>
      </c>
      <c r="I1604" s="3" t="s">
        <v>15</v>
      </c>
    </row>
    <row r="1605" spans="1:9" s="3" customFormat="1" x14ac:dyDescent="0.3">
      <c r="A1605" s="3" t="s">
        <v>87</v>
      </c>
      <c r="B1605" s="3" t="s">
        <v>88</v>
      </c>
      <c r="C1605" s="3" t="s">
        <v>60</v>
      </c>
      <c r="D1605" s="3" t="s">
        <v>111</v>
      </c>
      <c r="E1605" s="6"/>
      <c r="F1605" s="6"/>
      <c r="G1605" s="3" t="s">
        <v>44</v>
      </c>
      <c r="H1605" s="3" t="s">
        <v>14</v>
      </c>
      <c r="I1605" s="3" t="s">
        <v>15</v>
      </c>
    </row>
    <row r="1606" spans="1:9" s="3" customFormat="1" x14ac:dyDescent="0.3">
      <c r="A1606" s="3" t="s">
        <v>119</v>
      </c>
      <c r="B1606" s="3" t="s">
        <v>120</v>
      </c>
      <c r="C1606" s="3" t="s">
        <v>64</v>
      </c>
      <c r="D1606" s="3" t="s">
        <v>36</v>
      </c>
      <c r="E1606" s="6">
        <v>0.3840277777777778</v>
      </c>
      <c r="F1606" s="6">
        <v>0.76875000000000004</v>
      </c>
      <c r="G1606" s="3" t="s">
        <v>20</v>
      </c>
      <c r="H1606" s="3" t="s">
        <v>14</v>
      </c>
      <c r="I1606" s="3" t="s">
        <v>15</v>
      </c>
    </row>
    <row r="1607" spans="1:9" s="3" customFormat="1" x14ac:dyDescent="0.3">
      <c r="A1607" s="3" t="s">
        <v>81</v>
      </c>
      <c r="B1607" s="3" t="s">
        <v>82</v>
      </c>
      <c r="C1607" s="3" t="s">
        <v>64</v>
      </c>
      <c r="D1607" s="3" t="s">
        <v>282</v>
      </c>
      <c r="E1607" s="6">
        <v>0.33750000000000002</v>
      </c>
      <c r="F1607" s="6">
        <v>0.72777777777777775</v>
      </c>
      <c r="G1607" s="3" t="s">
        <v>13</v>
      </c>
      <c r="H1607" s="3" t="s">
        <v>14</v>
      </c>
      <c r="I1607" s="3" t="s">
        <v>15</v>
      </c>
    </row>
    <row r="1608" spans="1:9" s="3" customFormat="1" x14ac:dyDescent="0.3">
      <c r="A1608" s="3" t="s">
        <v>31</v>
      </c>
      <c r="B1608" s="3" t="s">
        <v>32</v>
      </c>
      <c r="C1608" s="3" t="s">
        <v>18</v>
      </c>
      <c r="D1608" s="3" t="s">
        <v>294</v>
      </c>
      <c r="E1608" s="6">
        <v>0.38333333333333336</v>
      </c>
      <c r="F1608" s="6">
        <v>0.87152777777777779</v>
      </c>
      <c r="G1608" s="3" t="s">
        <v>20</v>
      </c>
      <c r="H1608" s="3" t="s">
        <v>27</v>
      </c>
      <c r="I1608" s="3" t="s">
        <v>21</v>
      </c>
    </row>
    <row r="1609" spans="1:9" s="3" customFormat="1" x14ac:dyDescent="0.3">
      <c r="A1609" s="3" t="s">
        <v>191</v>
      </c>
      <c r="B1609" s="3" t="s">
        <v>192</v>
      </c>
      <c r="C1609" s="3" t="s">
        <v>60</v>
      </c>
      <c r="D1609" s="3" t="s">
        <v>108</v>
      </c>
      <c r="E1609" s="6">
        <v>0.40069444444444446</v>
      </c>
      <c r="F1609" s="6">
        <v>0.80972222222222223</v>
      </c>
      <c r="G1609" s="3" t="s">
        <v>26</v>
      </c>
      <c r="H1609" s="3" t="s">
        <v>14</v>
      </c>
      <c r="I1609" s="3" t="s">
        <v>21</v>
      </c>
    </row>
    <row r="1610" spans="1:9" s="3" customFormat="1" x14ac:dyDescent="0.3">
      <c r="A1610" s="3" t="s">
        <v>96</v>
      </c>
      <c r="B1610" s="3" t="s">
        <v>97</v>
      </c>
      <c r="C1610" s="3" t="s">
        <v>18</v>
      </c>
      <c r="D1610" s="3" t="s">
        <v>282</v>
      </c>
      <c r="E1610" s="6">
        <v>0.40694444444444444</v>
      </c>
      <c r="F1610" s="6">
        <v>0.70972222222222225</v>
      </c>
      <c r="G1610" s="3" t="s">
        <v>20</v>
      </c>
      <c r="H1610" s="3" t="s">
        <v>14</v>
      </c>
      <c r="I1610" s="3" t="s">
        <v>21</v>
      </c>
    </row>
    <row r="1611" spans="1:9" s="3" customFormat="1" x14ac:dyDescent="0.3">
      <c r="A1611" s="3" t="s">
        <v>171</v>
      </c>
      <c r="B1611" s="3" t="s">
        <v>172</v>
      </c>
      <c r="C1611" s="3" t="s">
        <v>42</v>
      </c>
      <c r="D1611" s="3" t="s">
        <v>327</v>
      </c>
      <c r="E1611" s="6">
        <v>0.38680555555555557</v>
      </c>
      <c r="F1611" s="6">
        <v>0.6875</v>
      </c>
      <c r="G1611" s="3" t="s">
        <v>26</v>
      </c>
      <c r="H1611" s="3" t="s">
        <v>14</v>
      </c>
      <c r="I1611" s="3" t="s">
        <v>21</v>
      </c>
    </row>
    <row r="1612" spans="1:9" s="3" customFormat="1" x14ac:dyDescent="0.3">
      <c r="A1612" s="3" t="s">
        <v>87</v>
      </c>
      <c r="B1612" s="3" t="s">
        <v>88</v>
      </c>
      <c r="C1612" s="3" t="s">
        <v>42</v>
      </c>
      <c r="D1612" s="3" t="s">
        <v>61</v>
      </c>
      <c r="E1612" s="6"/>
      <c r="F1612" s="6"/>
      <c r="G1612" s="3" t="s">
        <v>44</v>
      </c>
      <c r="H1612" s="3" t="s">
        <v>27</v>
      </c>
      <c r="I1612" s="3" t="s">
        <v>21</v>
      </c>
    </row>
    <row r="1613" spans="1:9" s="3" customFormat="1" x14ac:dyDescent="0.3">
      <c r="A1613" s="3" t="s">
        <v>75</v>
      </c>
      <c r="B1613" s="3" t="s">
        <v>76</v>
      </c>
      <c r="C1613" s="3" t="s">
        <v>18</v>
      </c>
      <c r="D1613" s="3" t="s">
        <v>404</v>
      </c>
      <c r="E1613" s="6">
        <v>0.47291666666666665</v>
      </c>
      <c r="F1613" s="6">
        <v>0.77986111111111112</v>
      </c>
      <c r="G1613" s="3" t="s">
        <v>26</v>
      </c>
      <c r="H1613" s="3" t="s">
        <v>14</v>
      </c>
      <c r="I1613" s="3" t="s">
        <v>15</v>
      </c>
    </row>
    <row r="1614" spans="1:9" s="3" customFormat="1" x14ac:dyDescent="0.3">
      <c r="A1614" s="3" t="s">
        <v>31</v>
      </c>
      <c r="B1614" s="3" t="s">
        <v>32</v>
      </c>
      <c r="C1614" s="3" t="s">
        <v>24</v>
      </c>
      <c r="D1614" s="3" t="s">
        <v>19</v>
      </c>
      <c r="E1614" s="6">
        <v>0.37291666666666667</v>
      </c>
      <c r="F1614" s="6">
        <v>0.73611111111111116</v>
      </c>
      <c r="G1614" s="3" t="s">
        <v>13</v>
      </c>
      <c r="H1614" s="3" t="s">
        <v>14</v>
      </c>
      <c r="I1614" s="3" t="s">
        <v>21</v>
      </c>
    </row>
    <row r="1615" spans="1:9" s="3" customFormat="1" x14ac:dyDescent="0.3">
      <c r="A1615" s="3" t="s">
        <v>197</v>
      </c>
      <c r="B1615" s="3" t="s">
        <v>198</v>
      </c>
      <c r="C1615" s="3" t="s">
        <v>64</v>
      </c>
      <c r="D1615" s="3" t="s">
        <v>399</v>
      </c>
      <c r="E1615" s="6"/>
      <c r="F1615" s="6"/>
      <c r="G1615" s="3" t="s">
        <v>44</v>
      </c>
      <c r="H1615" s="3" t="s">
        <v>27</v>
      </c>
      <c r="I1615" s="3" t="s">
        <v>21</v>
      </c>
    </row>
    <row r="1616" spans="1:9" s="3" customFormat="1" x14ac:dyDescent="0.3">
      <c r="A1616" s="3" t="s">
        <v>58</v>
      </c>
      <c r="B1616" s="3" t="s">
        <v>59</v>
      </c>
      <c r="C1616" s="3" t="s">
        <v>24</v>
      </c>
      <c r="D1616" s="3" t="s">
        <v>284</v>
      </c>
      <c r="E1616" s="6">
        <v>0.41736111111111113</v>
      </c>
      <c r="F1616" s="6">
        <v>0.85972222222222228</v>
      </c>
      <c r="G1616" s="3" t="s">
        <v>26</v>
      </c>
      <c r="H1616" s="3" t="s">
        <v>14</v>
      </c>
      <c r="I1616" s="3" t="s">
        <v>21</v>
      </c>
    </row>
    <row r="1617" spans="1:9" s="3" customFormat="1" x14ac:dyDescent="0.3">
      <c r="A1617" s="3" t="s">
        <v>122</v>
      </c>
      <c r="B1617" s="3" t="s">
        <v>123</v>
      </c>
      <c r="C1617" s="3" t="s">
        <v>64</v>
      </c>
      <c r="D1617" s="3" t="s">
        <v>364</v>
      </c>
      <c r="E1617" s="6"/>
      <c r="F1617" s="6"/>
      <c r="G1617" s="3" t="s">
        <v>44</v>
      </c>
      <c r="H1617" s="3" t="s">
        <v>14</v>
      </c>
      <c r="I1617" s="3" t="s">
        <v>21</v>
      </c>
    </row>
    <row r="1618" spans="1:9" s="3" customFormat="1" x14ac:dyDescent="0.3">
      <c r="A1618" s="3" t="s">
        <v>66</v>
      </c>
      <c r="B1618" s="3" t="s">
        <v>67</v>
      </c>
      <c r="C1618" s="3" t="s">
        <v>60</v>
      </c>
      <c r="D1618" s="3" t="s">
        <v>174</v>
      </c>
      <c r="E1618" s="6">
        <v>0.49305555555555558</v>
      </c>
      <c r="F1618" s="6">
        <v>0.76666666666666672</v>
      </c>
      <c r="G1618" s="3" t="s">
        <v>20</v>
      </c>
      <c r="H1618" s="3" t="s">
        <v>27</v>
      </c>
      <c r="I1618" s="3" t="s">
        <v>21</v>
      </c>
    </row>
    <row r="1619" spans="1:9" s="3" customFormat="1" x14ac:dyDescent="0.3">
      <c r="A1619" s="3" t="s">
        <v>338</v>
      </c>
      <c r="B1619" s="3" t="s">
        <v>339</v>
      </c>
      <c r="C1619" s="3" t="s">
        <v>127</v>
      </c>
      <c r="D1619" s="3" t="s">
        <v>207</v>
      </c>
      <c r="E1619" s="6">
        <v>0.34097222222222223</v>
      </c>
      <c r="F1619" s="6">
        <v>0.84236111111111112</v>
      </c>
      <c r="G1619" s="3" t="s">
        <v>149</v>
      </c>
      <c r="H1619" s="3" t="s">
        <v>27</v>
      </c>
      <c r="I1619" s="3" t="s">
        <v>15</v>
      </c>
    </row>
    <row r="1620" spans="1:9" s="3" customFormat="1" x14ac:dyDescent="0.3">
      <c r="A1620" s="3" t="s">
        <v>115</v>
      </c>
      <c r="B1620" s="3" t="s">
        <v>116</v>
      </c>
      <c r="C1620" s="3" t="s">
        <v>60</v>
      </c>
      <c r="D1620" s="3" t="s">
        <v>302</v>
      </c>
      <c r="E1620" s="6"/>
      <c r="F1620" s="6"/>
      <c r="G1620" s="3" t="s">
        <v>44</v>
      </c>
      <c r="H1620" s="3" t="s">
        <v>14</v>
      </c>
      <c r="I1620" s="3" t="s">
        <v>21</v>
      </c>
    </row>
    <row r="1621" spans="1:9" s="3" customFormat="1" x14ac:dyDescent="0.3">
      <c r="A1621" s="3" t="s">
        <v>37</v>
      </c>
      <c r="B1621" s="3" t="s">
        <v>38</v>
      </c>
      <c r="C1621" s="3" t="s">
        <v>60</v>
      </c>
      <c r="D1621" s="3" t="s">
        <v>297</v>
      </c>
      <c r="E1621" s="6"/>
      <c r="F1621" s="6"/>
      <c r="G1621" s="3" t="s">
        <v>44</v>
      </c>
      <c r="H1621" s="3" t="s">
        <v>27</v>
      </c>
      <c r="I1621" s="3" t="s">
        <v>21</v>
      </c>
    </row>
    <row r="1622" spans="1:9" s="3" customFormat="1" x14ac:dyDescent="0.3">
      <c r="A1622" s="3" t="s">
        <v>58</v>
      </c>
      <c r="B1622" s="3" t="s">
        <v>59</v>
      </c>
      <c r="C1622" s="3" t="s">
        <v>64</v>
      </c>
      <c r="D1622" s="3" t="s">
        <v>380</v>
      </c>
      <c r="E1622" s="6">
        <v>0.41319444444444442</v>
      </c>
      <c r="F1622" s="6">
        <v>0.68680555555555556</v>
      </c>
      <c r="G1622" s="3" t="s">
        <v>26</v>
      </c>
      <c r="H1622" s="3" t="s">
        <v>27</v>
      </c>
      <c r="I1622" s="3" t="s">
        <v>15</v>
      </c>
    </row>
    <row r="1623" spans="1:9" s="3" customFormat="1" x14ac:dyDescent="0.3">
      <c r="A1623" s="3" t="s">
        <v>84</v>
      </c>
      <c r="B1623" s="3" t="s">
        <v>85</v>
      </c>
      <c r="C1623" s="3" t="s">
        <v>64</v>
      </c>
      <c r="D1623" s="3" t="s">
        <v>357</v>
      </c>
      <c r="E1623" s="6">
        <v>0.42430555555555555</v>
      </c>
      <c r="F1623" s="6">
        <v>0.75902777777777775</v>
      </c>
      <c r="G1623" s="3" t="s">
        <v>13</v>
      </c>
      <c r="H1623" s="3" t="s">
        <v>27</v>
      </c>
      <c r="I1623" s="3" t="s">
        <v>15</v>
      </c>
    </row>
    <row r="1624" spans="1:9" s="3" customFormat="1" x14ac:dyDescent="0.3">
      <c r="A1624" s="3" t="s">
        <v>45</v>
      </c>
      <c r="B1624" s="3" t="s">
        <v>46</v>
      </c>
      <c r="C1624" s="3" t="s">
        <v>24</v>
      </c>
      <c r="D1624" s="3" t="s">
        <v>226</v>
      </c>
      <c r="E1624" s="6">
        <v>0.40069444444444446</v>
      </c>
      <c r="F1624" s="6">
        <v>0.72569444444444442</v>
      </c>
      <c r="G1624" s="3" t="s">
        <v>13</v>
      </c>
      <c r="H1624" s="3" t="s">
        <v>27</v>
      </c>
      <c r="I1624" s="3" t="s">
        <v>21</v>
      </c>
    </row>
    <row r="1625" spans="1:9" s="3" customFormat="1" x14ac:dyDescent="0.3">
      <c r="A1625" s="3" t="s">
        <v>154</v>
      </c>
      <c r="B1625" s="3" t="s">
        <v>155</v>
      </c>
      <c r="C1625" s="3" t="s">
        <v>42</v>
      </c>
      <c r="D1625" s="3" t="s">
        <v>25</v>
      </c>
      <c r="E1625" s="6">
        <v>0.37430555555555556</v>
      </c>
      <c r="F1625" s="6">
        <v>0.84861111111111109</v>
      </c>
      <c r="G1625" s="3" t="s">
        <v>26</v>
      </c>
      <c r="H1625" s="3" t="s">
        <v>27</v>
      </c>
      <c r="I1625" s="3" t="s">
        <v>15</v>
      </c>
    </row>
    <row r="1626" spans="1:9" s="3" customFormat="1" x14ac:dyDescent="0.3">
      <c r="A1626" s="3" t="s">
        <v>138</v>
      </c>
      <c r="B1626" s="3" t="s">
        <v>139</v>
      </c>
      <c r="C1626" s="3" t="s">
        <v>60</v>
      </c>
      <c r="D1626" s="3" t="s">
        <v>180</v>
      </c>
      <c r="E1626" s="6">
        <v>0.4375</v>
      </c>
      <c r="F1626" s="6">
        <v>0.82013888888888886</v>
      </c>
      <c r="G1626" s="3" t="s">
        <v>20</v>
      </c>
      <c r="H1626" s="3" t="s">
        <v>14</v>
      </c>
      <c r="I1626" s="3" t="s">
        <v>21</v>
      </c>
    </row>
    <row r="1627" spans="1:9" s="3" customFormat="1" x14ac:dyDescent="0.3">
      <c r="A1627" s="3" t="s">
        <v>84</v>
      </c>
      <c r="B1627" s="3" t="s">
        <v>85</v>
      </c>
      <c r="C1627" s="3" t="s">
        <v>24</v>
      </c>
      <c r="D1627" s="3" t="s">
        <v>74</v>
      </c>
      <c r="E1627" s="6">
        <v>0.4597222222222222</v>
      </c>
      <c r="F1627" s="6">
        <v>0.75902777777777775</v>
      </c>
      <c r="G1627" s="3" t="s">
        <v>13</v>
      </c>
      <c r="H1627" s="3" t="s">
        <v>27</v>
      </c>
      <c r="I1627" s="3" t="s">
        <v>15</v>
      </c>
    </row>
    <row r="1628" spans="1:9" s="3" customFormat="1" x14ac:dyDescent="0.3">
      <c r="A1628" s="3" t="s">
        <v>40</v>
      </c>
      <c r="B1628" s="3" t="s">
        <v>41</v>
      </c>
      <c r="C1628" s="3" t="s">
        <v>42</v>
      </c>
      <c r="D1628" s="3" t="s">
        <v>260</v>
      </c>
      <c r="E1628" s="6">
        <v>0.42638888888888887</v>
      </c>
      <c r="F1628" s="6">
        <v>0.83263888888888893</v>
      </c>
      <c r="G1628" s="3" t="s">
        <v>20</v>
      </c>
      <c r="H1628" s="3" t="s">
        <v>14</v>
      </c>
      <c r="I1628" s="3" t="s">
        <v>21</v>
      </c>
    </row>
    <row r="1629" spans="1:9" s="3" customFormat="1" x14ac:dyDescent="0.3">
      <c r="A1629" s="3" t="s">
        <v>134</v>
      </c>
      <c r="B1629" s="3" t="s">
        <v>135</v>
      </c>
      <c r="C1629" s="3" t="s">
        <v>24</v>
      </c>
      <c r="D1629" s="3" t="s">
        <v>313</v>
      </c>
      <c r="E1629" s="6">
        <v>0.45416666666666666</v>
      </c>
      <c r="F1629" s="6">
        <v>0.8125</v>
      </c>
      <c r="G1629" s="3" t="s">
        <v>20</v>
      </c>
      <c r="H1629" s="3" t="s">
        <v>27</v>
      </c>
      <c r="I1629" s="3" t="s">
        <v>15</v>
      </c>
    </row>
    <row r="1630" spans="1:9" s="3" customFormat="1" x14ac:dyDescent="0.3">
      <c r="A1630" s="3" t="s">
        <v>78</v>
      </c>
      <c r="B1630" s="3" t="s">
        <v>79</v>
      </c>
      <c r="C1630" s="3" t="s">
        <v>24</v>
      </c>
      <c r="D1630" s="3" t="s">
        <v>218</v>
      </c>
      <c r="E1630" s="6">
        <v>0.37916666666666665</v>
      </c>
      <c r="F1630" s="6">
        <v>0.6958333333333333</v>
      </c>
      <c r="G1630" s="3" t="s">
        <v>20</v>
      </c>
      <c r="H1630" s="3" t="s">
        <v>14</v>
      </c>
      <c r="I1630" s="3" t="s">
        <v>15</v>
      </c>
    </row>
    <row r="1631" spans="1:9" s="3" customFormat="1" x14ac:dyDescent="0.3">
      <c r="A1631" s="3" t="s">
        <v>204</v>
      </c>
      <c r="B1631" s="3" t="s">
        <v>205</v>
      </c>
      <c r="C1631" s="3" t="s">
        <v>64</v>
      </c>
      <c r="D1631" s="3" t="s">
        <v>300</v>
      </c>
      <c r="E1631" s="6">
        <v>0.40347222222222223</v>
      </c>
      <c r="F1631" s="6">
        <v>0.82916666666666672</v>
      </c>
      <c r="G1631" s="3" t="s">
        <v>26</v>
      </c>
      <c r="H1631" s="3" t="s">
        <v>14</v>
      </c>
      <c r="I1631" s="3" t="s">
        <v>15</v>
      </c>
    </row>
    <row r="1632" spans="1:9" s="3" customFormat="1" x14ac:dyDescent="0.3">
      <c r="A1632" s="3" t="s">
        <v>175</v>
      </c>
      <c r="B1632" s="3" t="s">
        <v>176</v>
      </c>
      <c r="C1632" s="3" t="s">
        <v>60</v>
      </c>
      <c r="D1632" s="3" t="s">
        <v>137</v>
      </c>
      <c r="E1632" s="6">
        <v>0.40069444444444446</v>
      </c>
      <c r="F1632" s="6">
        <v>0.71805555555555556</v>
      </c>
      <c r="G1632" s="3" t="s">
        <v>170</v>
      </c>
      <c r="H1632" s="3" t="s">
        <v>14</v>
      </c>
      <c r="I1632" s="3" t="s">
        <v>15</v>
      </c>
    </row>
    <row r="1633" spans="1:9" s="3" customFormat="1" x14ac:dyDescent="0.3">
      <c r="A1633" s="3" t="s">
        <v>246</v>
      </c>
      <c r="B1633" s="3" t="s">
        <v>247</v>
      </c>
      <c r="C1633" s="3" t="s">
        <v>18</v>
      </c>
      <c r="D1633" s="3" t="s">
        <v>182</v>
      </c>
      <c r="E1633" s="6">
        <v>0.48958333333333331</v>
      </c>
      <c r="F1633" s="6">
        <v>0.67986111111111114</v>
      </c>
      <c r="G1633" s="3" t="s">
        <v>13</v>
      </c>
      <c r="H1633" s="3" t="s">
        <v>14</v>
      </c>
      <c r="I1633" s="3" t="s">
        <v>15</v>
      </c>
    </row>
    <row r="1634" spans="1:9" s="3" customFormat="1" x14ac:dyDescent="0.3">
      <c r="A1634" s="3" t="s">
        <v>175</v>
      </c>
      <c r="B1634" s="3" t="s">
        <v>176</v>
      </c>
      <c r="C1634" s="3" t="s">
        <v>24</v>
      </c>
      <c r="D1634" s="3" t="s">
        <v>203</v>
      </c>
      <c r="E1634" s="6">
        <v>0.42499999999999999</v>
      </c>
      <c r="F1634" s="6">
        <v>0.84861111111111109</v>
      </c>
      <c r="G1634" s="3" t="s">
        <v>26</v>
      </c>
      <c r="H1634" s="3" t="s">
        <v>14</v>
      </c>
      <c r="I1634" s="3" t="s">
        <v>21</v>
      </c>
    </row>
    <row r="1635" spans="1:9" s="3" customFormat="1" x14ac:dyDescent="0.3">
      <c r="A1635" s="3" t="s">
        <v>134</v>
      </c>
      <c r="B1635" s="3" t="s">
        <v>135</v>
      </c>
      <c r="C1635" s="3" t="s">
        <v>42</v>
      </c>
      <c r="D1635" s="3" t="s">
        <v>230</v>
      </c>
      <c r="E1635" s="6">
        <v>0.49166666666666664</v>
      </c>
      <c r="F1635" s="6">
        <v>0.69652777777777775</v>
      </c>
      <c r="G1635" s="3" t="s">
        <v>13</v>
      </c>
      <c r="H1635" s="3" t="s">
        <v>14</v>
      </c>
      <c r="I1635" s="3" t="s">
        <v>21</v>
      </c>
    </row>
    <row r="1636" spans="1:9" s="3" customFormat="1" x14ac:dyDescent="0.3">
      <c r="A1636" s="3" t="s">
        <v>315</v>
      </c>
      <c r="B1636" s="3" t="s">
        <v>316</v>
      </c>
      <c r="C1636" s="3" t="s">
        <v>24</v>
      </c>
      <c r="D1636" s="3" t="s">
        <v>281</v>
      </c>
      <c r="E1636" s="6">
        <v>0.40972222222222221</v>
      </c>
      <c r="F1636" s="6">
        <v>0.76736111111111116</v>
      </c>
      <c r="G1636" s="3" t="s">
        <v>13</v>
      </c>
      <c r="H1636" s="3" t="s">
        <v>14</v>
      </c>
      <c r="I1636" s="3" t="s">
        <v>21</v>
      </c>
    </row>
    <row r="1637" spans="1:9" s="3" customFormat="1" x14ac:dyDescent="0.3">
      <c r="A1637" s="3" t="s">
        <v>194</v>
      </c>
      <c r="B1637" s="3" t="s">
        <v>195</v>
      </c>
      <c r="C1637" s="3" t="s">
        <v>64</v>
      </c>
      <c r="D1637" s="3" t="s">
        <v>334</v>
      </c>
      <c r="E1637" s="6">
        <v>0.44444444444444442</v>
      </c>
      <c r="F1637" s="6">
        <v>0.81041666666666667</v>
      </c>
      <c r="G1637" s="3" t="s">
        <v>20</v>
      </c>
      <c r="H1637" s="3" t="s">
        <v>27</v>
      </c>
      <c r="I1637" s="3" t="s">
        <v>15</v>
      </c>
    </row>
    <row r="1638" spans="1:9" s="3" customFormat="1" x14ac:dyDescent="0.3">
      <c r="A1638" s="3" t="s">
        <v>112</v>
      </c>
      <c r="B1638" s="3" t="s">
        <v>113</v>
      </c>
      <c r="C1638" s="3" t="s">
        <v>24</v>
      </c>
      <c r="D1638" s="3" t="s">
        <v>277</v>
      </c>
      <c r="E1638" s="6">
        <v>0.47708333333333336</v>
      </c>
      <c r="F1638" s="6">
        <v>0.78749999999999998</v>
      </c>
      <c r="G1638" s="3" t="s">
        <v>125</v>
      </c>
      <c r="H1638" s="3" t="s">
        <v>14</v>
      </c>
      <c r="I1638" s="3" t="s">
        <v>15</v>
      </c>
    </row>
    <row r="1639" spans="1:9" s="3" customFormat="1" x14ac:dyDescent="0.3">
      <c r="A1639" s="3" t="s">
        <v>216</v>
      </c>
      <c r="B1639" s="3" t="s">
        <v>217</v>
      </c>
      <c r="C1639" s="3" t="s">
        <v>24</v>
      </c>
      <c r="D1639" s="3" t="s">
        <v>101</v>
      </c>
      <c r="E1639" s="6">
        <v>0.48125000000000001</v>
      </c>
      <c r="F1639" s="6">
        <v>0.81666666666666665</v>
      </c>
      <c r="G1639" s="3" t="s">
        <v>26</v>
      </c>
      <c r="H1639" s="3" t="s">
        <v>14</v>
      </c>
      <c r="I1639" s="3" t="s">
        <v>21</v>
      </c>
    </row>
    <row r="1640" spans="1:9" s="3" customFormat="1" x14ac:dyDescent="0.3">
      <c r="A1640" s="3" t="s">
        <v>75</v>
      </c>
      <c r="B1640" s="3" t="s">
        <v>76</v>
      </c>
      <c r="C1640" s="3" t="s">
        <v>18</v>
      </c>
      <c r="D1640" s="3" t="s">
        <v>39</v>
      </c>
      <c r="E1640" s="6">
        <v>0.45</v>
      </c>
      <c r="F1640" s="6">
        <v>0.85277777777777775</v>
      </c>
      <c r="G1640" s="3" t="s">
        <v>20</v>
      </c>
      <c r="H1640" s="3" t="s">
        <v>27</v>
      </c>
      <c r="I1640" s="3" t="s">
        <v>21</v>
      </c>
    </row>
    <row r="1641" spans="1:9" s="3" customFormat="1" x14ac:dyDescent="0.3">
      <c r="A1641" s="3" t="s">
        <v>90</v>
      </c>
      <c r="B1641" s="3" t="s">
        <v>91</v>
      </c>
      <c r="C1641" s="3" t="s">
        <v>64</v>
      </c>
      <c r="D1641" s="3" t="s">
        <v>276</v>
      </c>
      <c r="E1641" s="6"/>
      <c r="F1641" s="6"/>
      <c r="G1641" s="3" t="s">
        <v>44</v>
      </c>
      <c r="H1641" s="3" t="s">
        <v>27</v>
      </c>
      <c r="I1641" s="3" t="s">
        <v>15</v>
      </c>
    </row>
    <row r="1642" spans="1:9" s="3" customFormat="1" x14ac:dyDescent="0.3">
      <c r="A1642" s="3" t="s">
        <v>84</v>
      </c>
      <c r="B1642" s="3" t="s">
        <v>85</v>
      </c>
      <c r="C1642" s="3" t="s">
        <v>60</v>
      </c>
      <c r="D1642" s="3" t="s">
        <v>385</v>
      </c>
      <c r="E1642" s="6">
        <v>0.44027777777777777</v>
      </c>
      <c r="F1642" s="6">
        <v>0.79236111111111107</v>
      </c>
      <c r="G1642" s="3" t="s">
        <v>26</v>
      </c>
      <c r="H1642" s="3" t="s">
        <v>27</v>
      </c>
      <c r="I1642" s="3" t="s">
        <v>15</v>
      </c>
    </row>
    <row r="1643" spans="1:9" s="3" customFormat="1" x14ac:dyDescent="0.3">
      <c r="A1643" s="3" t="s">
        <v>34</v>
      </c>
      <c r="B1643" s="3" t="s">
        <v>35</v>
      </c>
      <c r="C1643" s="3" t="s">
        <v>24</v>
      </c>
      <c r="D1643" s="3" t="s">
        <v>370</v>
      </c>
      <c r="E1643" s="6">
        <v>0.3347222222222222</v>
      </c>
      <c r="F1643" s="6">
        <v>0.67500000000000004</v>
      </c>
      <c r="G1643" s="3" t="s">
        <v>20</v>
      </c>
      <c r="H1643" s="3" t="s">
        <v>14</v>
      </c>
      <c r="I1643" s="3" t="s">
        <v>15</v>
      </c>
    </row>
    <row r="1644" spans="1:9" s="3" customFormat="1" x14ac:dyDescent="0.3">
      <c r="A1644" s="3" t="s">
        <v>138</v>
      </c>
      <c r="B1644" s="3" t="s">
        <v>139</v>
      </c>
      <c r="C1644" s="3" t="s">
        <v>18</v>
      </c>
      <c r="D1644" s="3" t="s">
        <v>290</v>
      </c>
      <c r="E1644" s="6"/>
      <c r="F1644" s="6"/>
      <c r="G1644" s="3" t="s">
        <v>44</v>
      </c>
      <c r="H1644" s="3" t="s">
        <v>27</v>
      </c>
      <c r="I1644" s="3" t="s">
        <v>21</v>
      </c>
    </row>
    <row r="1645" spans="1:9" s="3" customFormat="1" x14ac:dyDescent="0.3">
      <c r="A1645" s="3" t="s">
        <v>22</v>
      </c>
      <c r="B1645" s="3" t="s">
        <v>23</v>
      </c>
      <c r="C1645" s="3" t="s">
        <v>24</v>
      </c>
      <c r="D1645" s="3" t="s">
        <v>234</v>
      </c>
      <c r="E1645" s="6">
        <v>0.45624999999999999</v>
      </c>
      <c r="F1645" s="6">
        <v>0.69097222222222221</v>
      </c>
      <c r="G1645" s="3" t="s">
        <v>13</v>
      </c>
      <c r="H1645" s="3" t="s">
        <v>27</v>
      </c>
      <c r="I1645" s="3" t="s">
        <v>15</v>
      </c>
    </row>
    <row r="1646" spans="1:9" s="3" customFormat="1" x14ac:dyDescent="0.3">
      <c r="A1646" s="3" t="s">
        <v>338</v>
      </c>
      <c r="B1646" s="3" t="s">
        <v>339</v>
      </c>
      <c r="C1646" s="3" t="s">
        <v>24</v>
      </c>
      <c r="D1646" s="3" t="s">
        <v>203</v>
      </c>
      <c r="E1646" s="6">
        <v>0.3611111111111111</v>
      </c>
      <c r="F1646" s="6">
        <v>0.8041666666666667</v>
      </c>
      <c r="G1646" s="3" t="s">
        <v>13</v>
      </c>
      <c r="H1646" s="3" t="s">
        <v>27</v>
      </c>
      <c r="I1646" s="3" t="s">
        <v>21</v>
      </c>
    </row>
    <row r="1647" spans="1:9" s="3" customFormat="1" x14ac:dyDescent="0.3">
      <c r="A1647" s="3" t="s">
        <v>157</v>
      </c>
      <c r="B1647" s="3" t="s">
        <v>158</v>
      </c>
      <c r="C1647" s="3" t="s">
        <v>60</v>
      </c>
      <c r="D1647" s="3" t="s">
        <v>326</v>
      </c>
      <c r="E1647" s="6">
        <v>0.47708333333333336</v>
      </c>
      <c r="F1647" s="6">
        <v>0.83680555555555558</v>
      </c>
      <c r="G1647" s="3" t="s">
        <v>26</v>
      </c>
      <c r="H1647" s="3" t="s">
        <v>14</v>
      </c>
      <c r="I1647" s="3" t="s">
        <v>21</v>
      </c>
    </row>
    <row r="1648" spans="1:9" s="3" customFormat="1" x14ac:dyDescent="0.3">
      <c r="A1648" s="3" t="s">
        <v>31</v>
      </c>
      <c r="B1648" s="3" t="s">
        <v>32</v>
      </c>
      <c r="C1648" s="3" t="s">
        <v>60</v>
      </c>
      <c r="D1648" s="3" t="s">
        <v>354</v>
      </c>
      <c r="E1648" s="6">
        <v>0.49791666666666667</v>
      </c>
      <c r="F1648" s="6">
        <v>0.68541666666666667</v>
      </c>
      <c r="G1648" s="3" t="s">
        <v>20</v>
      </c>
      <c r="H1648" s="3" t="s">
        <v>27</v>
      </c>
      <c r="I1648" s="3" t="s">
        <v>21</v>
      </c>
    </row>
    <row r="1649" spans="1:9" s="3" customFormat="1" x14ac:dyDescent="0.3">
      <c r="A1649" s="3" t="s">
        <v>216</v>
      </c>
      <c r="B1649" s="3" t="s">
        <v>217</v>
      </c>
      <c r="C1649" s="3" t="s">
        <v>60</v>
      </c>
      <c r="D1649" s="3" t="s">
        <v>311</v>
      </c>
      <c r="E1649" s="6">
        <v>0.47430555555555554</v>
      </c>
      <c r="F1649" s="6">
        <v>0.85138888888888886</v>
      </c>
      <c r="G1649" s="3" t="s">
        <v>20</v>
      </c>
      <c r="H1649" s="3" t="s">
        <v>14</v>
      </c>
      <c r="I1649" s="3" t="s">
        <v>15</v>
      </c>
    </row>
    <row r="1650" spans="1:9" s="3" customFormat="1" x14ac:dyDescent="0.3">
      <c r="A1650" s="3" t="s">
        <v>115</v>
      </c>
      <c r="B1650" s="3" t="s">
        <v>116</v>
      </c>
      <c r="C1650" s="3" t="s">
        <v>24</v>
      </c>
      <c r="D1650" s="3" t="s">
        <v>43</v>
      </c>
      <c r="E1650" s="6">
        <v>0.47013888888888888</v>
      </c>
      <c r="F1650" s="6">
        <v>0.69166666666666665</v>
      </c>
      <c r="G1650" s="3" t="s">
        <v>26</v>
      </c>
      <c r="H1650" s="3" t="s">
        <v>14</v>
      </c>
      <c r="I1650" s="3" t="s">
        <v>21</v>
      </c>
    </row>
    <row r="1651" spans="1:9" s="3" customFormat="1" x14ac:dyDescent="0.3">
      <c r="A1651" s="3" t="s">
        <v>40</v>
      </c>
      <c r="B1651" s="3" t="s">
        <v>41</v>
      </c>
      <c r="C1651" s="3" t="s">
        <v>42</v>
      </c>
      <c r="D1651" s="3" t="s">
        <v>47</v>
      </c>
      <c r="E1651" s="6"/>
      <c r="F1651" s="6"/>
      <c r="G1651" s="3" t="s">
        <v>44</v>
      </c>
      <c r="H1651" s="3" t="s">
        <v>14</v>
      </c>
      <c r="I1651" s="3" t="s">
        <v>15</v>
      </c>
    </row>
    <row r="1652" spans="1:9" s="3" customFormat="1" x14ac:dyDescent="0.3">
      <c r="A1652" s="3" t="s">
        <v>72</v>
      </c>
      <c r="B1652" s="3" t="s">
        <v>73</v>
      </c>
      <c r="C1652" s="3" t="s">
        <v>127</v>
      </c>
      <c r="D1652" s="3" t="s">
        <v>349</v>
      </c>
      <c r="E1652" s="6">
        <v>0.48402777777777778</v>
      </c>
      <c r="F1652" s="6">
        <v>0.84027777777777779</v>
      </c>
      <c r="G1652" s="3" t="s">
        <v>13</v>
      </c>
      <c r="H1652" s="3" t="s">
        <v>27</v>
      </c>
      <c r="I1652" s="3" t="s">
        <v>15</v>
      </c>
    </row>
    <row r="1653" spans="1:9" s="3" customFormat="1" x14ac:dyDescent="0.3">
      <c r="A1653" s="3" t="s">
        <v>315</v>
      </c>
      <c r="B1653" s="3" t="s">
        <v>316</v>
      </c>
      <c r="C1653" s="3" t="s">
        <v>42</v>
      </c>
      <c r="D1653" s="3" t="s">
        <v>378</v>
      </c>
      <c r="E1653" s="6">
        <v>0.39861111111111114</v>
      </c>
      <c r="F1653" s="6">
        <v>0.82152777777777775</v>
      </c>
      <c r="G1653" s="3" t="s">
        <v>20</v>
      </c>
      <c r="H1653" s="3" t="s">
        <v>27</v>
      </c>
      <c r="I1653" s="3" t="s">
        <v>21</v>
      </c>
    </row>
    <row r="1654" spans="1:9" s="3" customFormat="1" x14ac:dyDescent="0.3">
      <c r="A1654" s="3" t="s">
        <v>134</v>
      </c>
      <c r="B1654" s="3" t="s">
        <v>135</v>
      </c>
      <c r="C1654" s="3" t="s">
        <v>24</v>
      </c>
      <c r="D1654" s="3" t="s">
        <v>352</v>
      </c>
      <c r="E1654" s="6">
        <v>0.44583333333333336</v>
      </c>
      <c r="F1654" s="6">
        <v>0.6743055555555556</v>
      </c>
      <c r="G1654" s="3" t="s">
        <v>13</v>
      </c>
      <c r="H1654" s="3" t="s">
        <v>27</v>
      </c>
      <c r="I1654" s="3" t="s">
        <v>21</v>
      </c>
    </row>
    <row r="1655" spans="1:9" s="3" customFormat="1" x14ac:dyDescent="0.3">
      <c r="A1655" s="3" t="s">
        <v>34</v>
      </c>
      <c r="B1655" s="3" t="s">
        <v>35</v>
      </c>
      <c r="C1655" s="3" t="s">
        <v>64</v>
      </c>
      <c r="D1655" s="3" t="s">
        <v>395</v>
      </c>
      <c r="E1655" s="6">
        <v>0.4201388888888889</v>
      </c>
      <c r="F1655" s="6">
        <v>0.71250000000000002</v>
      </c>
      <c r="G1655" s="3" t="s">
        <v>13</v>
      </c>
      <c r="H1655" s="3" t="s">
        <v>27</v>
      </c>
      <c r="I1655" s="3" t="s">
        <v>21</v>
      </c>
    </row>
    <row r="1656" spans="1:9" s="3" customFormat="1" x14ac:dyDescent="0.3">
      <c r="A1656" s="3" t="s">
        <v>213</v>
      </c>
      <c r="B1656" s="3" t="s">
        <v>214</v>
      </c>
      <c r="C1656" s="3" t="s">
        <v>60</v>
      </c>
      <c r="D1656" s="3" t="s">
        <v>281</v>
      </c>
      <c r="E1656" s="6"/>
      <c r="F1656" s="6"/>
      <c r="G1656" s="3" t="s">
        <v>44</v>
      </c>
      <c r="H1656" s="3" t="s">
        <v>14</v>
      </c>
      <c r="I1656" s="3" t="s">
        <v>15</v>
      </c>
    </row>
    <row r="1657" spans="1:9" s="3" customFormat="1" x14ac:dyDescent="0.3">
      <c r="A1657" s="3" t="s">
        <v>134</v>
      </c>
      <c r="B1657" s="3" t="s">
        <v>135</v>
      </c>
      <c r="C1657" s="3" t="s">
        <v>42</v>
      </c>
      <c r="D1657" s="3" t="s">
        <v>145</v>
      </c>
      <c r="E1657" s="6"/>
      <c r="F1657" s="6"/>
      <c r="G1657" s="3" t="s">
        <v>44</v>
      </c>
      <c r="H1657" s="3" t="s">
        <v>27</v>
      </c>
      <c r="I1657" s="3" t="s">
        <v>15</v>
      </c>
    </row>
    <row r="1658" spans="1:9" s="3" customFormat="1" x14ac:dyDescent="0.3">
      <c r="A1658" s="3" t="s">
        <v>34</v>
      </c>
      <c r="B1658" s="3" t="s">
        <v>35</v>
      </c>
      <c r="C1658" s="3" t="s">
        <v>60</v>
      </c>
      <c r="D1658" s="3" t="s">
        <v>367</v>
      </c>
      <c r="E1658" s="6">
        <v>0.49027777777777776</v>
      </c>
      <c r="F1658" s="6">
        <v>0.67777777777777781</v>
      </c>
      <c r="G1658" s="3" t="s">
        <v>13</v>
      </c>
      <c r="H1658" s="3" t="s">
        <v>14</v>
      </c>
      <c r="I1658" s="3" t="s">
        <v>15</v>
      </c>
    </row>
    <row r="1659" spans="1:9" s="3" customFormat="1" x14ac:dyDescent="0.3">
      <c r="A1659" s="3" t="s">
        <v>204</v>
      </c>
      <c r="B1659" s="3" t="s">
        <v>205</v>
      </c>
      <c r="C1659" s="3" t="s">
        <v>24</v>
      </c>
      <c r="D1659" s="3" t="s">
        <v>353</v>
      </c>
      <c r="E1659" s="6">
        <v>0.37777777777777777</v>
      </c>
      <c r="F1659" s="6">
        <v>0.80277777777777781</v>
      </c>
      <c r="G1659" s="3" t="s">
        <v>26</v>
      </c>
      <c r="H1659" s="3" t="s">
        <v>14</v>
      </c>
      <c r="I1659" s="3" t="s">
        <v>15</v>
      </c>
    </row>
    <row r="1660" spans="1:9" s="3" customFormat="1" x14ac:dyDescent="0.3">
      <c r="A1660" s="3" t="s">
        <v>81</v>
      </c>
      <c r="B1660" s="3" t="s">
        <v>82</v>
      </c>
      <c r="C1660" s="3" t="s">
        <v>167</v>
      </c>
      <c r="D1660" s="3" t="s">
        <v>314</v>
      </c>
      <c r="E1660" s="6">
        <v>0.49027777777777776</v>
      </c>
      <c r="F1660" s="6">
        <v>0.73402777777777772</v>
      </c>
      <c r="G1660" s="3" t="s">
        <v>20</v>
      </c>
      <c r="H1660" s="3" t="s">
        <v>27</v>
      </c>
      <c r="I1660" s="3" t="s">
        <v>21</v>
      </c>
    </row>
    <row r="1661" spans="1:9" s="3" customFormat="1" x14ac:dyDescent="0.3">
      <c r="A1661" s="3" t="s">
        <v>204</v>
      </c>
      <c r="B1661" s="3" t="s">
        <v>205</v>
      </c>
      <c r="C1661" s="3" t="s">
        <v>18</v>
      </c>
      <c r="D1661" s="3" t="s">
        <v>359</v>
      </c>
      <c r="E1661" s="6">
        <v>0.39166666666666666</v>
      </c>
      <c r="F1661" s="6">
        <v>0.82361111111111107</v>
      </c>
      <c r="G1661" s="3" t="s">
        <v>13</v>
      </c>
      <c r="H1661" s="3" t="s">
        <v>14</v>
      </c>
      <c r="I1661" s="3" t="s">
        <v>15</v>
      </c>
    </row>
    <row r="1662" spans="1:9" s="3" customFormat="1" x14ac:dyDescent="0.3">
      <c r="A1662" s="3" t="s">
        <v>187</v>
      </c>
      <c r="B1662" s="3" t="s">
        <v>188</v>
      </c>
      <c r="C1662" s="3" t="s">
        <v>60</v>
      </c>
      <c r="D1662" s="3" t="s">
        <v>244</v>
      </c>
      <c r="E1662" s="6">
        <v>0.37916666666666665</v>
      </c>
      <c r="F1662" s="6">
        <v>0.70347222222222228</v>
      </c>
      <c r="G1662" s="3" t="s">
        <v>26</v>
      </c>
      <c r="H1662" s="3" t="s">
        <v>14</v>
      </c>
      <c r="I1662" s="3" t="s">
        <v>21</v>
      </c>
    </row>
    <row r="1663" spans="1:9" s="3" customFormat="1" x14ac:dyDescent="0.3">
      <c r="A1663" s="3" t="s">
        <v>175</v>
      </c>
      <c r="B1663" s="3" t="s">
        <v>176</v>
      </c>
      <c r="C1663" s="3" t="s">
        <v>18</v>
      </c>
      <c r="D1663" s="3" t="s">
        <v>310</v>
      </c>
      <c r="E1663" s="6">
        <v>0.36944444444444446</v>
      </c>
      <c r="F1663" s="6">
        <v>0.66666666666666663</v>
      </c>
      <c r="G1663" s="3" t="s">
        <v>20</v>
      </c>
      <c r="H1663" s="3" t="s">
        <v>27</v>
      </c>
      <c r="I1663" s="3" t="s">
        <v>21</v>
      </c>
    </row>
    <row r="1664" spans="1:9" s="3" customFormat="1" x14ac:dyDescent="0.3">
      <c r="A1664" s="3" t="s">
        <v>115</v>
      </c>
      <c r="B1664" s="3" t="s">
        <v>116</v>
      </c>
      <c r="C1664" s="3" t="s">
        <v>60</v>
      </c>
      <c r="D1664" s="3" t="s">
        <v>220</v>
      </c>
      <c r="E1664" s="6">
        <v>0.41736111111111113</v>
      </c>
      <c r="F1664" s="6">
        <v>0.79861111111111116</v>
      </c>
      <c r="G1664" s="3" t="s">
        <v>13</v>
      </c>
      <c r="H1664" s="3" t="s">
        <v>14</v>
      </c>
      <c r="I1664" s="3" t="s">
        <v>21</v>
      </c>
    </row>
    <row r="1665" spans="1:9" s="3" customFormat="1" x14ac:dyDescent="0.3">
      <c r="A1665" s="3" t="s">
        <v>58</v>
      </c>
      <c r="B1665" s="3" t="s">
        <v>59</v>
      </c>
      <c r="C1665" s="3" t="s">
        <v>60</v>
      </c>
      <c r="D1665" s="3" t="s">
        <v>347</v>
      </c>
      <c r="E1665" s="6"/>
      <c r="F1665" s="6"/>
      <c r="G1665" s="3" t="s">
        <v>44</v>
      </c>
      <c r="H1665" s="3" t="s">
        <v>14</v>
      </c>
      <c r="I1665" s="3" t="s">
        <v>15</v>
      </c>
    </row>
    <row r="1666" spans="1:9" s="3" customFormat="1" x14ac:dyDescent="0.3">
      <c r="A1666" s="3" t="s">
        <v>150</v>
      </c>
      <c r="B1666" s="3" t="s">
        <v>151</v>
      </c>
      <c r="C1666" s="3" t="s">
        <v>167</v>
      </c>
      <c r="D1666" s="3" t="s">
        <v>280</v>
      </c>
      <c r="E1666" s="6">
        <v>0.40347222222222223</v>
      </c>
      <c r="F1666" s="6">
        <v>0.8618055555555556</v>
      </c>
      <c r="G1666" s="3" t="s">
        <v>26</v>
      </c>
      <c r="H1666" s="3" t="s">
        <v>27</v>
      </c>
      <c r="I1666" s="3" t="s">
        <v>15</v>
      </c>
    </row>
    <row r="1667" spans="1:9" s="3" customFormat="1" x14ac:dyDescent="0.3">
      <c r="A1667" s="3" t="s">
        <v>84</v>
      </c>
      <c r="B1667" s="3" t="s">
        <v>85</v>
      </c>
      <c r="C1667" s="3" t="s">
        <v>18</v>
      </c>
      <c r="D1667" s="3" t="s">
        <v>324</v>
      </c>
      <c r="E1667" s="6">
        <v>0.4201388888888889</v>
      </c>
      <c r="F1667" s="6">
        <v>0.72361111111111109</v>
      </c>
      <c r="G1667" s="3" t="s">
        <v>26</v>
      </c>
      <c r="H1667" s="3" t="s">
        <v>27</v>
      </c>
      <c r="I1667" s="3" t="s">
        <v>15</v>
      </c>
    </row>
    <row r="1668" spans="1:9" s="3" customFormat="1" x14ac:dyDescent="0.3">
      <c r="A1668" s="3" t="s">
        <v>37</v>
      </c>
      <c r="B1668" s="3" t="s">
        <v>38</v>
      </c>
      <c r="C1668" s="3" t="s">
        <v>18</v>
      </c>
      <c r="D1668" s="3" t="s">
        <v>404</v>
      </c>
      <c r="E1668" s="6"/>
      <c r="F1668" s="6"/>
      <c r="G1668" s="3" t="s">
        <v>44</v>
      </c>
      <c r="H1668" s="3" t="s">
        <v>14</v>
      </c>
      <c r="I1668" s="3" t="s">
        <v>15</v>
      </c>
    </row>
    <row r="1669" spans="1:9" s="3" customFormat="1" x14ac:dyDescent="0.3">
      <c r="A1669" s="3" t="s">
        <v>134</v>
      </c>
      <c r="B1669" s="3" t="s">
        <v>135</v>
      </c>
      <c r="C1669" s="3" t="s">
        <v>167</v>
      </c>
      <c r="D1669" s="3" t="s">
        <v>401</v>
      </c>
      <c r="E1669" s="6"/>
      <c r="F1669" s="6"/>
      <c r="G1669" s="3" t="s">
        <v>44</v>
      </c>
      <c r="H1669" s="3" t="s">
        <v>27</v>
      </c>
      <c r="I1669" s="3" t="s">
        <v>21</v>
      </c>
    </row>
    <row r="1670" spans="1:9" s="3" customFormat="1" x14ac:dyDescent="0.3">
      <c r="A1670" s="3" t="s">
        <v>315</v>
      </c>
      <c r="B1670" s="3" t="s">
        <v>316</v>
      </c>
      <c r="C1670" s="3" t="s">
        <v>11</v>
      </c>
      <c r="D1670" s="3" t="s">
        <v>229</v>
      </c>
      <c r="E1670" s="6">
        <v>0.41944444444444445</v>
      </c>
      <c r="F1670" s="6">
        <v>0.67361111111111116</v>
      </c>
      <c r="G1670" s="3" t="s">
        <v>170</v>
      </c>
      <c r="H1670" s="3" t="s">
        <v>27</v>
      </c>
      <c r="I1670" s="3" t="s">
        <v>15</v>
      </c>
    </row>
    <row r="1671" spans="1:9" s="3" customFormat="1" x14ac:dyDescent="0.3">
      <c r="A1671" s="3" t="s">
        <v>194</v>
      </c>
      <c r="B1671" s="3" t="s">
        <v>195</v>
      </c>
      <c r="C1671" s="3" t="s">
        <v>64</v>
      </c>
      <c r="D1671" s="3" t="s">
        <v>382</v>
      </c>
      <c r="E1671" s="6">
        <v>0.40486111111111112</v>
      </c>
      <c r="F1671" s="6">
        <v>0.76666666666666672</v>
      </c>
      <c r="G1671" s="3" t="s">
        <v>13</v>
      </c>
      <c r="H1671" s="3" t="s">
        <v>14</v>
      </c>
      <c r="I1671" s="3" t="s">
        <v>15</v>
      </c>
    </row>
    <row r="1672" spans="1:9" s="3" customFormat="1" x14ac:dyDescent="0.3">
      <c r="A1672" s="3" t="s">
        <v>69</v>
      </c>
      <c r="B1672" s="3" t="s">
        <v>70</v>
      </c>
      <c r="C1672" s="3" t="s">
        <v>42</v>
      </c>
      <c r="D1672" s="3" t="s">
        <v>282</v>
      </c>
      <c r="E1672" s="6">
        <v>0.47847222222222224</v>
      </c>
      <c r="F1672" s="6">
        <v>0.72777777777777775</v>
      </c>
      <c r="G1672" s="3" t="s">
        <v>20</v>
      </c>
      <c r="H1672" s="3" t="s">
        <v>27</v>
      </c>
      <c r="I1672" s="3" t="s">
        <v>15</v>
      </c>
    </row>
    <row r="1673" spans="1:9" s="3" customFormat="1" x14ac:dyDescent="0.3">
      <c r="A1673" s="3" t="s">
        <v>58</v>
      </c>
      <c r="B1673" s="3" t="s">
        <v>59</v>
      </c>
      <c r="C1673" s="3" t="s">
        <v>24</v>
      </c>
      <c r="D1673" s="3" t="s">
        <v>181</v>
      </c>
      <c r="E1673" s="6">
        <v>0.45069444444444445</v>
      </c>
      <c r="F1673" s="6">
        <v>0.75069444444444444</v>
      </c>
      <c r="G1673" s="3" t="s">
        <v>20</v>
      </c>
      <c r="H1673" s="3" t="s">
        <v>14</v>
      </c>
      <c r="I1673" s="3" t="s">
        <v>21</v>
      </c>
    </row>
    <row r="1674" spans="1:9" s="3" customFormat="1" x14ac:dyDescent="0.3">
      <c r="A1674" s="3" t="s">
        <v>315</v>
      </c>
      <c r="B1674" s="3" t="s">
        <v>316</v>
      </c>
      <c r="C1674" s="3" t="s">
        <v>64</v>
      </c>
      <c r="D1674" s="3" t="s">
        <v>140</v>
      </c>
      <c r="E1674" s="6">
        <v>0.38333333333333336</v>
      </c>
      <c r="F1674" s="6">
        <v>0.70694444444444449</v>
      </c>
      <c r="G1674" s="3" t="s">
        <v>13</v>
      </c>
      <c r="H1674" s="3" t="s">
        <v>27</v>
      </c>
      <c r="I1674" s="3" t="s">
        <v>21</v>
      </c>
    </row>
    <row r="1675" spans="1:9" s="3" customFormat="1" x14ac:dyDescent="0.3">
      <c r="A1675" s="3" t="s">
        <v>72</v>
      </c>
      <c r="B1675" s="3" t="s">
        <v>73</v>
      </c>
      <c r="C1675" s="3" t="s">
        <v>60</v>
      </c>
      <c r="D1675" s="3" t="s">
        <v>281</v>
      </c>
      <c r="E1675" s="6">
        <v>0.38541666666666669</v>
      </c>
      <c r="F1675" s="6">
        <v>0.7416666666666667</v>
      </c>
      <c r="G1675" s="3" t="s">
        <v>26</v>
      </c>
      <c r="H1675" s="3" t="s">
        <v>27</v>
      </c>
      <c r="I1675" s="3" t="s">
        <v>15</v>
      </c>
    </row>
    <row r="1676" spans="1:9" s="3" customFormat="1" x14ac:dyDescent="0.3">
      <c r="A1676" s="3" t="s">
        <v>146</v>
      </c>
      <c r="B1676" s="3" t="s">
        <v>147</v>
      </c>
      <c r="C1676" s="3" t="s">
        <v>239</v>
      </c>
      <c r="D1676" s="3" t="s">
        <v>108</v>
      </c>
      <c r="E1676" s="6">
        <v>0.4548611111111111</v>
      </c>
      <c r="F1676" s="6">
        <v>0.67013888888888884</v>
      </c>
      <c r="G1676" s="3" t="s">
        <v>26</v>
      </c>
      <c r="H1676" s="3" t="s">
        <v>27</v>
      </c>
      <c r="I1676" s="3" t="s">
        <v>21</v>
      </c>
    </row>
    <row r="1677" spans="1:9" s="3" customFormat="1" x14ac:dyDescent="0.3">
      <c r="A1677" s="3" t="s">
        <v>81</v>
      </c>
      <c r="B1677" s="3" t="s">
        <v>82</v>
      </c>
      <c r="C1677" s="3" t="s">
        <v>42</v>
      </c>
      <c r="D1677" s="3" t="s">
        <v>267</v>
      </c>
      <c r="E1677" s="6">
        <v>0.38750000000000001</v>
      </c>
      <c r="F1677" s="6">
        <v>0.67500000000000004</v>
      </c>
      <c r="G1677" s="3" t="s">
        <v>274</v>
      </c>
      <c r="H1677" s="3" t="s">
        <v>14</v>
      </c>
      <c r="I1677" s="3" t="s">
        <v>15</v>
      </c>
    </row>
    <row r="1678" spans="1:9" s="3" customFormat="1" x14ac:dyDescent="0.3">
      <c r="A1678" s="3" t="s">
        <v>48</v>
      </c>
      <c r="B1678" s="3" t="s">
        <v>49</v>
      </c>
      <c r="C1678" s="3" t="s">
        <v>64</v>
      </c>
      <c r="D1678" s="3" t="s">
        <v>57</v>
      </c>
      <c r="E1678" s="6">
        <v>0.40833333333333333</v>
      </c>
      <c r="F1678" s="6">
        <v>0.85833333333333328</v>
      </c>
      <c r="G1678" s="3" t="s">
        <v>13</v>
      </c>
      <c r="H1678" s="3" t="s">
        <v>14</v>
      </c>
      <c r="I1678" s="3" t="s">
        <v>21</v>
      </c>
    </row>
    <row r="1679" spans="1:9" s="3" customFormat="1" x14ac:dyDescent="0.3">
      <c r="A1679" s="3" t="s">
        <v>150</v>
      </c>
      <c r="B1679" s="3" t="s">
        <v>151</v>
      </c>
      <c r="C1679" s="3" t="s">
        <v>64</v>
      </c>
      <c r="D1679" s="3" t="s">
        <v>296</v>
      </c>
      <c r="E1679" s="6">
        <v>0.45902777777777776</v>
      </c>
      <c r="F1679" s="6">
        <v>0.76736111111111116</v>
      </c>
      <c r="G1679" s="3" t="s">
        <v>26</v>
      </c>
      <c r="H1679" s="3" t="s">
        <v>27</v>
      </c>
      <c r="I1679" s="3" t="s">
        <v>15</v>
      </c>
    </row>
    <row r="1680" spans="1:9" s="3" customFormat="1" x14ac:dyDescent="0.3">
      <c r="A1680" s="3" t="s">
        <v>87</v>
      </c>
      <c r="B1680" s="3" t="s">
        <v>88</v>
      </c>
      <c r="C1680" s="3" t="s">
        <v>24</v>
      </c>
      <c r="D1680" s="3" t="s">
        <v>30</v>
      </c>
      <c r="E1680" s="6">
        <v>0.37361111111111112</v>
      </c>
      <c r="F1680" s="6">
        <v>0.80069444444444449</v>
      </c>
      <c r="G1680" s="3" t="s">
        <v>20</v>
      </c>
      <c r="H1680" s="3" t="s">
        <v>27</v>
      </c>
      <c r="I1680" s="3" t="s">
        <v>15</v>
      </c>
    </row>
    <row r="1681" spans="1:9" s="3" customFormat="1" x14ac:dyDescent="0.3">
      <c r="A1681" s="3" t="s">
        <v>134</v>
      </c>
      <c r="B1681" s="3" t="s">
        <v>135</v>
      </c>
      <c r="C1681" s="3" t="s">
        <v>42</v>
      </c>
      <c r="D1681" s="3" t="s">
        <v>245</v>
      </c>
      <c r="E1681" s="6">
        <v>0.37847222222222221</v>
      </c>
      <c r="F1681" s="6">
        <v>0.77361111111111114</v>
      </c>
      <c r="G1681" s="3" t="s">
        <v>26</v>
      </c>
      <c r="H1681" s="3" t="s">
        <v>27</v>
      </c>
      <c r="I1681" s="3" t="s">
        <v>15</v>
      </c>
    </row>
    <row r="1682" spans="1:9" s="3" customFormat="1" x14ac:dyDescent="0.3">
      <c r="A1682" s="3" t="s">
        <v>134</v>
      </c>
      <c r="B1682" s="3" t="s">
        <v>135</v>
      </c>
      <c r="C1682" s="3" t="s">
        <v>64</v>
      </c>
      <c r="D1682" s="3" t="s">
        <v>181</v>
      </c>
      <c r="E1682" s="6">
        <v>0.33888888888888891</v>
      </c>
      <c r="F1682" s="6">
        <v>0.70763888888888893</v>
      </c>
      <c r="G1682" s="3" t="s">
        <v>13</v>
      </c>
      <c r="H1682" s="3" t="s">
        <v>27</v>
      </c>
      <c r="I1682" s="3" t="s">
        <v>21</v>
      </c>
    </row>
    <row r="1683" spans="1:9" s="3" customFormat="1" x14ac:dyDescent="0.3">
      <c r="A1683" s="3" t="s">
        <v>66</v>
      </c>
      <c r="B1683" s="3" t="s">
        <v>67</v>
      </c>
      <c r="C1683" s="3" t="s">
        <v>64</v>
      </c>
      <c r="D1683" s="3" t="s">
        <v>215</v>
      </c>
      <c r="E1683" s="6">
        <v>0.33402777777777776</v>
      </c>
      <c r="F1683" s="6">
        <v>0.84930555555555554</v>
      </c>
      <c r="G1683" s="3" t="s">
        <v>20</v>
      </c>
      <c r="H1683" s="3" t="s">
        <v>27</v>
      </c>
      <c r="I1683" s="3" t="s">
        <v>21</v>
      </c>
    </row>
    <row r="1684" spans="1:9" s="3" customFormat="1" x14ac:dyDescent="0.3">
      <c r="A1684" s="3" t="s">
        <v>157</v>
      </c>
      <c r="B1684" s="3" t="s">
        <v>158</v>
      </c>
      <c r="C1684" s="3" t="s">
        <v>18</v>
      </c>
      <c r="D1684" s="3" t="s">
        <v>133</v>
      </c>
      <c r="E1684" s="6">
        <v>0.42291666666666666</v>
      </c>
      <c r="F1684" s="6">
        <v>0.73541666666666672</v>
      </c>
      <c r="G1684" s="3" t="s">
        <v>20</v>
      </c>
      <c r="H1684" s="3" t="s">
        <v>14</v>
      </c>
      <c r="I1684" s="3" t="s">
        <v>21</v>
      </c>
    </row>
    <row r="1685" spans="1:9" s="3" customFormat="1" x14ac:dyDescent="0.3">
      <c r="A1685" s="3" t="s">
        <v>224</v>
      </c>
      <c r="B1685" s="3" t="s">
        <v>225</v>
      </c>
      <c r="C1685" s="3" t="s">
        <v>24</v>
      </c>
      <c r="D1685" s="3" t="s">
        <v>114</v>
      </c>
      <c r="E1685" s="6">
        <v>0.34652777777777777</v>
      </c>
      <c r="F1685" s="6">
        <v>0.7055555555555556</v>
      </c>
      <c r="G1685" s="3" t="s">
        <v>20</v>
      </c>
      <c r="H1685" s="3" t="s">
        <v>27</v>
      </c>
      <c r="I1685" s="3" t="s">
        <v>15</v>
      </c>
    </row>
    <row r="1686" spans="1:9" s="3" customFormat="1" x14ac:dyDescent="0.3">
      <c r="A1686" s="3" t="s">
        <v>138</v>
      </c>
      <c r="B1686" s="3" t="s">
        <v>139</v>
      </c>
      <c r="C1686" s="3" t="s">
        <v>60</v>
      </c>
      <c r="D1686" s="3" t="s">
        <v>389</v>
      </c>
      <c r="E1686" s="6"/>
      <c r="F1686" s="6"/>
      <c r="G1686" s="3" t="s">
        <v>44</v>
      </c>
      <c r="H1686" s="3" t="s">
        <v>14</v>
      </c>
      <c r="I1686" s="3" t="s">
        <v>15</v>
      </c>
    </row>
    <row r="1687" spans="1:9" s="3" customFormat="1" x14ac:dyDescent="0.3">
      <c r="A1687" s="3" t="s">
        <v>213</v>
      </c>
      <c r="B1687" s="3" t="s">
        <v>214</v>
      </c>
      <c r="C1687" s="3" t="s">
        <v>60</v>
      </c>
      <c r="D1687" s="3" t="s">
        <v>293</v>
      </c>
      <c r="E1687" s="6">
        <v>0.42499999999999999</v>
      </c>
      <c r="F1687" s="6">
        <v>0.77916666666666667</v>
      </c>
      <c r="G1687" s="3" t="s">
        <v>13</v>
      </c>
      <c r="H1687" s="3" t="s">
        <v>27</v>
      </c>
      <c r="I1687" s="3" t="s">
        <v>15</v>
      </c>
    </row>
    <row r="1688" spans="1:9" s="3" customFormat="1" x14ac:dyDescent="0.3">
      <c r="A1688" s="3" t="s">
        <v>16</v>
      </c>
      <c r="B1688" s="3" t="s">
        <v>17</v>
      </c>
      <c r="C1688" s="3" t="s">
        <v>60</v>
      </c>
      <c r="D1688" s="3" t="s">
        <v>257</v>
      </c>
      <c r="E1688" s="6"/>
      <c r="F1688" s="6"/>
      <c r="G1688" s="3" t="s">
        <v>44</v>
      </c>
      <c r="H1688" s="3" t="s">
        <v>14</v>
      </c>
      <c r="I1688" s="3" t="s">
        <v>21</v>
      </c>
    </row>
    <row r="1689" spans="1:9" s="3" customFormat="1" x14ac:dyDescent="0.3">
      <c r="A1689" s="3" t="s">
        <v>90</v>
      </c>
      <c r="B1689" s="3" t="s">
        <v>91</v>
      </c>
      <c r="C1689" s="3" t="s">
        <v>24</v>
      </c>
      <c r="D1689" s="3" t="s">
        <v>298</v>
      </c>
      <c r="E1689" s="6"/>
      <c r="F1689" s="6"/>
      <c r="G1689" s="3" t="s">
        <v>44</v>
      </c>
      <c r="H1689" s="3" t="s">
        <v>14</v>
      </c>
      <c r="I1689" s="3" t="s">
        <v>21</v>
      </c>
    </row>
    <row r="1690" spans="1:9" s="3" customFormat="1" x14ac:dyDescent="0.3">
      <c r="A1690" s="3" t="s">
        <v>187</v>
      </c>
      <c r="B1690" s="3" t="s">
        <v>188</v>
      </c>
      <c r="C1690" s="3" t="s">
        <v>64</v>
      </c>
      <c r="D1690" s="3" t="s">
        <v>271</v>
      </c>
      <c r="E1690" s="6">
        <v>0.35902777777777778</v>
      </c>
      <c r="F1690" s="6">
        <v>0.77847222222222223</v>
      </c>
      <c r="G1690" s="3" t="s">
        <v>13</v>
      </c>
      <c r="H1690" s="3" t="s">
        <v>27</v>
      </c>
      <c r="I1690" s="3" t="s">
        <v>15</v>
      </c>
    </row>
    <row r="1691" spans="1:9" s="3" customFormat="1" x14ac:dyDescent="0.3">
      <c r="A1691" s="3" t="s">
        <v>197</v>
      </c>
      <c r="B1691" s="3" t="s">
        <v>198</v>
      </c>
      <c r="C1691" s="3" t="s">
        <v>60</v>
      </c>
      <c r="D1691" s="3" t="s">
        <v>394</v>
      </c>
      <c r="E1691" s="6">
        <v>0.34583333333333333</v>
      </c>
      <c r="F1691" s="6">
        <v>0.67013888888888884</v>
      </c>
      <c r="G1691" s="3" t="s">
        <v>26</v>
      </c>
      <c r="H1691" s="3" t="s">
        <v>27</v>
      </c>
      <c r="I1691" s="3" t="s">
        <v>21</v>
      </c>
    </row>
    <row r="1692" spans="1:9" s="3" customFormat="1" x14ac:dyDescent="0.3">
      <c r="A1692" s="3" t="s">
        <v>99</v>
      </c>
      <c r="B1692" s="3" t="s">
        <v>100</v>
      </c>
      <c r="C1692" s="3" t="s">
        <v>64</v>
      </c>
      <c r="D1692" s="3" t="s">
        <v>235</v>
      </c>
      <c r="E1692" s="6"/>
      <c r="F1692" s="6"/>
      <c r="G1692" s="3" t="s">
        <v>44</v>
      </c>
      <c r="H1692" s="3" t="s">
        <v>14</v>
      </c>
      <c r="I1692" s="3" t="s">
        <v>21</v>
      </c>
    </row>
    <row r="1693" spans="1:9" s="3" customFormat="1" x14ac:dyDescent="0.3">
      <c r="A1693" s="3" t="s">
        <v>141</v>
      </c>
      <c r="B1693" s="3" t="s">
        <v>142</v>
      </c>
      <c r="C1693" s="3" t="s">
        <v>18</v>
      </c>
      <c r="D1693" s="3" t="s">
        <v>366</v>
      </c>
      <c r="E1693" s="6">
        <v>0.47291666666666665</v>
      </c>
      <c r="F1693" s="6">
        <v>0.73124999999999996</v>
      </c>
      <c r="G1693" s="3" t="s">
        <v>26</v>
      </c>
      <c r="H1693" s="3" t="s">
        <v>14</v>
      </c>
      <c r="I1693" s="3" t="s">
        <v>15</v>
      </c>
    </row>
    <row r="1694" spans="1:9" s="3" customFormat="1" x14ac:dyDescent="0.3">
      <c r="A1694" s="3" t="s">
        <v>224</v>
      </c>
      <c r="B1694" s="3" t="s">
        <v>225</v>
      </c>
      <c r="C1694" s="3" t="s">
        <v>18</v>
      </c>
      <c r="D1694" s="3" t="s">
        <v>234</v>
      </c>
      <c r="E1694" s="6">
        <v>0.45069444444444445</v>
      </c>
      <c r="F1694" s="6">
        <v>0.71805555555555556</v>
      </c>
      <c r="G1694" s="3" t="s">
        <v>13</v>
      </c>
      <c r="H1694" s="3" t="s">
        <v>14</v>
      </c>
      <c r="I1694" s="3" t="s">
        <v>15</v>
      </c>
    </row>
    <row r="1695" spans="1:9" s="3" customFormat="1" x14ac:dyDescent="0.3">
      <c r="A1695" s="3" t="s">
        <v>112</v>
      </c>
      <c r="B1695" s="3" t="s">
        <v>113</v>
      </c>
      <c r="C1695" s="3" t="s">
        <v>42</v>
      </c>
      <c r="D1695" s="3" t="s">
        <v>226</v>
      </c>
      <c r="E1695" s="6"/>
      <c r="F1695" s="6"/>
      <c r="G1695" s="3" t="s">
        <v>44</v>
      </c>
      <c r="H1695" s="3" t="s">
        <v>27</v>
      </c>
      <c r="I1695" s="3" t="s">
        <v>15</v>
      </c>
    </row>
    <row r="1696" spans="1:9" s="3" customFormat="1" x14ac:dyDescent="0.3">
      <c r="A1696" s="3" t="s">
        <v>171</v>
      </c>
      <c r="B1696" s="3" t="s">
        <v>172</v>
      </c>
      <c r="C1696" s="3" t="s">
        <v>42</v>
      </c>
      <c r="D1696" s="3" t="s">
        <v>358</v>
      </c>
      <c r="E1696" s="6">
        <v>0.39930555555555558</v>
      </c>
      <c r="F1696" s="6">
        <v>0.81805555555555554</v>
      </c>
      <c r="G1696" s="3" t="s">
        <v>20</v>
      </c>
      <c r="H1696" s="3" t="s">
        <v>27</v>
      </c>
      <c r="I1696" s="3" t="s">
        <v>21</v>
      </c>
    </row>
    <row r="1697" spans="1:9" s="3" customFormat="1" x14ac:dyDescent="0.3">
      <c r="A1697" s="3" t="s">
        <v>200</v>
      </c>
      <c r="B1697" s="3" t="s">
        <v>201</v>
      </c>
      <c r="C1697" s="3" t="s">
        <v>24</v>
      </c>
      <c r="D1697" s="3" t="s">
        <v>111</v>
      </c>
      <c r="E1697" s="6"/>
      <c r="F1697" s="6"/>
      <c r="G1697" s="3" t="s">
        <v>44</v>
      </c>
      <c r="H1697" s="3" t="s">
        <v>14</v>
      </c>
      <c r="I1697" s="3" t="s">
        <v>15</v>
      </c>
    </row>
    <row r="1698" spans="1:9" s="3" customFormat="1" x14ac:dyDescent="0.3">
      <c r="A1698" s="3" t="s">
        <v>69</v>
      </c>
      <c r="B1698" s="3" t="s">
        <v>70</v>
      </c>
      <c r="C1698" s="3" t="s">
        <v>60</v>
      </c>
      <c r="D1698" s="3" t="s">
        <v>144</v>
      </c>
      <c r="E1698" s="6">
        <v>0.44444444444444442</v>
      </c>
      <c r="F1698" s="6">
        <v>0.7055555555555556</v>
      </c>
      <c r="G1698" s="3" t="s">
        <v>13</v>
      </c>
      <c r="H1698" s="3" t="s">
        <v>14</v>
      </c>
      <c r="I1698" s="3" t="s">
        <v>15</v>
      </c>
    </row>
    <row r="1699" spans="1:9" s="3" customFormat="1" x14ac:dyDescent="0.3">
      <c r="A1699" s="3" t="s">
        <v>37</v>
      </c>
      <c r="B1699" s="3" t="s">
        <v>38</v>
      </c>
      <c r="C1699" s="3" t="s">
        <v>42</v>
      </c>
      <c r="D1699" s="3" t="s">
        <v>177</v>
      </c>
      <c r="E1699" s="6">
        <v>0.40833333333333333</v>
      </c>
      <c r="F1699" s="6">
        <v>0.83680555555555558</v>
      </c>
      <c r="G1699" s="3" t="s">
        <v>13</v>
      </c>
      <c r="H1699" s="3" t="s">
        <v>14</v>
      </c>
      <c r="I1699" s="3" t="s">
        <v>21</v>
      </c>
    </row>
    <row r="1700" spans="1:9" s="3" customFormat="1" x14ac:dyDescent="0.3">
      <c r="A1700" s="3" t="s">
        <v>34</v>
      </c>
      <c r="B1700" s="3" t="s">
        <v>35</v>
      </c>
      <c r="C1700" s="3" t="s">
        <v>42</v>
      </c>
      <c r="D1700" s="3" t="s">
        <v>405</v>
      </c>
      <c r="E1700" s="6">
        <v>0.44305555555555554</v>
      </c>
      <c r="F1700" s="6">
        <v>0.79374999999999996</v>
      </c>
      <c r="G1700" s="3" t="s">
        <v>149</v>
      </c>
      <c r="H1700" s="3" t="s">
        <v>14</v>
      </c>
      <c r="I1700" s="3" t="s">
        <v>15</v>
      </c>
    </row>
    <row r="1701" spans="1:9" s="3" customFormat="1" x14ac:dyDescent="0.3">
      <c r="A1701" s="3" t="s">
        <v>112</v>
      </c>
      <c r="B1701" s="3" t="s">
        <v>113</v>
      </c>
      <c r="C1701" s="3" t="s">
        <v>42</v>
      </c>
      <c r="D1701" s="3" t="s">
        <v>128</v>
      </c>
      <c r="E1701" s="6">
        <v>0.45208333333333334</v>
      </c>
      <c r="F1701" s="6">
        <v>0.68194444444444446</v>
      </c>
      <c r="G1701" s="3" t="s">
        <v>20</v>
      </c>
      <c r="H1701" s="3" t="s">
        <v>14</v>
      </c>
      <c r="I1701" s="3" t="s">
        <v>15</v>
      </c>
    </row>
    <row r="1702" spans="1:9" s="3" customFormat="1" x14ac:dyDescent="0.3">
      <c r="A1702" s="3" t="s">
        <v>119</v>
      </c>
      <c r="B1702" s="3" t="s">
        <v>120</v>
      </c>
      <c r="C1702" s="3" t="s">
        <v>64</v>
      </c>
      <c r="D1702" s="3" t="s">
        <v>354</v>
      </c>
      <c r="E1702" s="6">
        <v>0.37361111111111112</v>
      </c>
      <c r="F1702" s="6">
        <v>0.76180555555555551</v>
      </c>
      <c r="G1702" s="3" t="s">
        <v>125</v>
      </c>
      <c r="H1702" s="3" t="s">
        <v>27</v>
      </c>
      <c r="I1702" s="3" t="s">
        <v>21</v>
      </c>
    </row>
    <row r="1703" spans="1:9" s="3" customFormat="1" x14ac:dyDescent="0.3">
      <c r="A1703" s="3" t="s">
        <v>93</v>
      </c>
      <c r="B1703" s="3" t="s">
        <v>94</v>
      </c>
      <c r="C1703" s="3" t="s">
        <v>24</v>
      </c>
      <c r="D1703" s="3" t="s">
        <v>308</v>
      </c>
      <c r="E1703" s="6"/>
      <c r="F1703" s="6"/>
      <c r="G1703" s="3" t="s">
        <v>51</v>
      </c>
      <c r="H1703" s="3" t="s">
        <v>27</v>
      </c>
      <c r="I1703" s="3" t="s">
        <v>15</v>
      </c>
    </row>
    <row r="1704" spans="1:9" s="3" customFormat="1" x14ac:dyDescent="0.3">
      <c r="A1704" s="3" t="s">
        <v>31</v>
      </c>
      <c r="B1704" s="3" t="s">
        <v>32</v>
      </c>
      <c r="C1704" s="3" t="s">
        <v>60</v>
      </c>
      <c r="D1704" s="3" t="s">
        <v>265</v>
      </c>
      <c r="E1704" s="6">
        <v>0.44930555555555557</v>
      </c>
      <c r="F1704" s="6">
        <v>0.71597222222222223</v>
      </c>
      <c r="G1704" s="3" t="s">
        <v>13</v>
      </c>
      <c r="H1704" s="3" t="s">
        <v>14</v>
      </c>
      <c r="I1704" s="3" t="s">
        <v>15</v>
      </c>
    </row>
    <row r="1705" spans="1:9" s="3" customFormat="1" x14ac:dyDescent="0.3">
      <c r="A1705" s="3" t="s">
        <v>191</v>
      </c>
      <c r="B1705" s="3" t="s">
        <v>192</v>
      </c>
      <c r="C1705" s="3" t="s">
        <v>60</v>
      </c>
      <c r="D1705" s="3" t="s">
        <v>65</v>
      </c>
      <c r="E1705" s="6">
        <v>0.4236111111111111</v>
      </c>
      <c r="F1705" s="6">
        <v>0.75277777777777777</v>
      </c>
      <c r="G1705" s="3" t="s">
        <v>26</v>
      </c>
      <c r="H1705" s="3" t="s">
        <v>14</v>
      </c>
      <c r="I1705" s="3" t="s">
        <v>21</v>
      </c>
    </row>
    <row r="1706" spans="1:9" s="3" customFormat="1" x14ac:dyDescent="0.3">
      <c r="A1706" s="3" t="s">
        <v>34</v>
      </c>
      <c r="B1706" s="3" t="s">
        <v>35</v>
      </c>
      <c r="C1706" s="3" t="s">
        <v>24</v>
      </c>
      <c r="D1706" s="3" t="s">
        <v>140</v>
      </c>
      <c r="E1706" s="6">
        <v>0.41458333333333336</v>
      </c>
      <c r="F1706" s="6">
        <v>0.69861111111111107</v>
      </c>
      <c r="G1706" s="3" t="s">
        <v>13</v>
      </c>
      <c r="H1706" s="3" t="s">
        <v>14</v>
      </c>
      <c r="I1706" s="3" t="s">
        <v>21</v>
      </c>
    </row>
    <row r="1707" spans="1:9" s="3" customFormat="1" x14ac:dyDescent="0.3">
      <c r="A1707" s="3" t="s">
        <v>115</v>
      </c>
      <c r="B1707" s="3" t="s">
        <v>116</v>
      </c>
      <c r="C1707" s="3" t="s">
        <v>18</v>
      </c>
      <c r="D1707" s="3" t="s">
        <v>39</v>
      </c>
      <c r="E1707" s="6">
        <v>0.37013888888888891</v>
      </c>
      <c r="F1707" s="6">
        <v>0.8041666666666667</v>
      </c>
      <c r="G1707" s="3" t="s">
        <v>13</v>
      </c>
      <c r="H1707" s="3" t="s">
        <v>27</v>
      </c>
      <c r="I1707" s="3" t="s">
        <v>15</v>
      </c>
    </row>
    <row r="1708" spans="1:9" s="3" customFormat="1" x14ac:dyDescent="0.3">
      <c r="A1708" s="3" t="s">
        <v>213</v>
      </c>
      <c r="B1708" s="3" t="s">
        <v>214</v>
      </c>
      <c r="C1708" s="3" t="s">
        <v>60</v>
      </c>
      <c r="D1708" s="3" t="s">
        <v>182</v>
      </c>
      <c r="E1708" s="6">
        <v>0.39166666666666666</v>
      </c>
      <c r="F1708" s="6">
        <v>0.72638888888888886</v>
      </c>
      <c r="G1708" s="3" t="s">
        <v>20</v>
      </c>
      <c r="H1708" s="3" t="s">
        <v>27</v>
      </c>
      <c r="I1708" s="3" t="s">
        <v>21</v>
      </c>
    </row>
    <row r="1709" spans="1:9" s="3" customFormat="1" x14ac:dyDescent="0.3">
      <c r="A1709" s="3" t="s">
        <v>55</v>
      </c>
      <c r="B1709" s="3" t="s">
        <v>56</v>
      </c>
      <c r="C1709" s="3" t="s">
        <v>18</v>
      </c>
      <c r="D1709" s="3" t="s">
        <v>54</v>
      </c>
      <c r="E1709" s="6"/>
      <c r="F1709" s="6"/>
      <c r="G1709" s="3" t="s">
        <v>44</v>
      </c>
      <c r="H1709" s="3" t="s">
        <v>27</v>
      </c>
      <c r="I1709" s="3" t="s">
        <v>21</v>
      </c>
    </row>
    <row r="1710" spans="1:9" s="3" customFormat="1" x14ac:dyDescent="0.3">
      <c r="A1710" s="3" t="s">
        <v>62</v>
      </c>
      <c r="B1710" s="3" t="s">
        <v>63</v>
      </c>
      <c r="C1710" s="3" t="s">
        <v>42</v>
      </c>
      <c r="D1710" s="3" t="s">
        <v>284</v>
      </c>
      <c r="E1710" s="6"/>
      <c r="F1710" s="6"/>
      <c r="G1710" s="3" t="s">
        <v>44</v>
      </c>
      <c r="H1710" s="3" t="s">
        <v>14</v>
      </c>
      <c r="I1710" s="3" t="s">
        <v>15</v>
      </c>
    </row>
    <row r="1711" spans="1:9" s="3" customFormat="1" x14ac:dyDescent="0.3">
      <c r="A1711" s="3" t="s">
        <v>150</v>
      </c>
      <c r="B1711" s="3" t="s">
        <v>151</v>
      </c>
      <c r="C1711" s="3" t="s">
        <v>24</v>
      </c>
      <c r="D1711" s="3" t="s">
        <v>47</v>
      </c>
      <c r="E1711" s="6">
        <v>0.39583333333333331</v>
      </c>
      <c r="F1711" s="6">
        <v>0.68680555555555556</v>
      </c>
      <c r="G1711" s="3" t="s">
        <v>13</v>
      </c>
      <c r="H1711" s="3" t="s">
        <v>27</v>
      </c>
      <c r="I1711" s="3" t="s">
        <v>21</v>
      </c>
    </row>
    <row r="1712" spans="1:9" s="3" customFormat="1" x14ac:dyDescent="0.3">
      <c r="A1712" s="3" t="s">
        <v>96</v>
      </c>
      <c r="B1712" s="3" t="s">
        <v>97</v>
      </c>
      <c r="C1712" s="3" t="s">
        <v>24</v>
      </c>
      <c r="D1712" s="3" t="s">
        <v>383</v>
      </c>
      <c r="E1712" s="6">
        <v>0.33958333333333335</v>
      </c>
      <c r="F1712" s="6">
        <v>0.77708333333333335</v>
      </c>
      <c r="G1712" s="3" t="s">
        <v>26</v>
      </c>
      <c r="H1712" s="3" t="s">
        <v>27</v>
      </c>
      <c r="I1712" s="3" t="s">
        <v>21</v>
      </c>
    </row>
    <row r="1713" spans="1:9" s="3" customFormat="1" x14ac:dyDescent="0.3">
      <c r="A1713" s="3" t="s">
        <v>291</v>
      </c>
      <c r="B1713" s="3" t="s">
        <v>292</v>
      </c>
      <c r="C1713" s="3" t="s">
        <v>42</v>
      </c>
      <c r="D1713" s="3" t="s">
        <v>264</v>
      </c>
      <c r="E1713" s="6">
        <v>0.38333333333333336</v>
      </c>
      <c r="F1713" s="6">
        <v>0.73055555555555551</v>
      </c>
      <c r="G1713" s="3" t="s">
        <v>20</v>
      </c>
      <c r="H1713" s="3" t="s">
        <v>14</v>
      </c>
      <c r="I1713" s="3" t="s">
        <v>21</v>
      </c>
    </row>
    <row r="1714" spans="1:9" s="3" customFormat="1" x14ac:dyDescent="0.3">
      <c r="A1714" s="3" t="s">
        <v>90</v>
      </c>
      <c r="B1714" s="3" t="s">
        <v>91</v>
      </c>
      <c r="C1714" s="3" t="s">
        <v>24</v>
      </c>
      <c r="D1714" s="3" t="s">
        <v>231</v>
      </c>
      <c r="E1714" s="6">
        <v>0.33958333333333335</v>
      </c>
      <c r="F1714" s="6">
        <v>0.84236111111111112</v>
      </c>
      <c r="G1714" s="3" t="s">
        <v>13</v>
      </c>
      <c r="H1714" s="3" t="s">
        <v>27</v>
      </c>
      <c r="I1714" s="3" t="s">
        <v>15</v>
      </c>
    </row>
    <row r="1715" spans="1:9" s="3" customFormat="1" x14ac:dyDescent="0.3">
      <c r="A1715" s="3" t="s">
        <v>69</v>
      </c>
      <c r="B1715" s="3" t="s">
        <v>70</v>
      </c>
      <c r="C1715" s="3" t="s">
        <v>64</v>
      </c>
      <c r="D1715" s="3" t="s">
        <v>335</v>
      </c>
      <c r="E1715" s="6">
        <v>0.47430555555555554</v>
      </c>
      <c r="F1715" s="6">
        <v>0.74722222222222223</v>
      </c>
      <c r="G1715" s="3" t="s">
        <v>13</v>
      </c>
      <c r="H1715" s="3" t="s">
        <v>14</v>
      </c>
      <c r="I1715" s="3" t="s">
        <v>21</v>
      </c>
    </row>
    <row r="1716" spans="1:9" s="3" customFormat="1" x14ac:dyDescent="0.3">
      <c r="A1716" s="3" t="s">
        <v>213</v>
      </c>
      <c r="B1716" s="3" t="s">
        <v>214</v>
      </c>
      <c r="C1716" s="3" t="s">
        <v>239</v>
      </c>
      <c r="D1716" s="3" t="s">
        <v>420</v>
      </c>
      <c r="E1716" s="6">
        <v>0.3840277777777778</v>
      </c>
      <c r="F1716" s="6">
        <v>0.79861111111111116</v>
      </c>
      <c r="G1716" s="3" t="s">
        <v>13</v>
      </c>
      <c r="H1716" s="3" t="s">
        <v>27</v>
      </c>
      <c r="I1716" s="3" t="s">
        <v>15</v>
      </c>
    </row>
    <row r="1717" spans="1:9" s="3" customFormat="1" x14ac:dyDescent="0.3">
      <c r="A1717" s="3" t="s">
        <v>81</v>
      </c>
      <c r="B1717" s="3" t="s">
        <v>82</v>
      </c>
      <c r="C1717" s="3" t="s">
        <v>24</v>
      </c>
      <c r="D1717" s="3" t="s">
        <v>357</v>
      </c>
      <c r="E1717" s="6">
        <v>0.39583333333333331</v>
      </c>
      <c r="F1717" s="6">
        <v>0.83263888888888893</v>
      </c>
      <c r="G1717" s="3" t="s">
        <v>13</v>
      </c>
      <c r="H1717" s="3" t="s">
        <v>27</v>
      </c>
      <c r="I1717" s="3" t="s">
        <v>21</v>
      </c>
    </row>
    <row r="1718" spans="1:9" s="3" customFormat="1" x14ac:dyDescent="0.3">
      <c r="A1718" s="3" t="s">
        <v>93</v>
      </c>
      <c r="B1718" s="3" t="s">
        <v>94</v>
      </c>
      <c r="C1718" s="3" t="s">
        <v>42</v>
      </c>
      <c r="D1718" s="3" t="s">
        <v>380</v>
      </c>
      <c r="E1718" s="6">
        <v>0.40277777777777779</v>
      </c>
      <c r="F1718" s="6">
        <v>0.68402777777777779</v>
      </c>
      <c r="G1718" s="3" t="s">
        <v>26</v>
      </c>
      <c r="H1718" s="3" t="s">
        <v>14</v>
      </c>
      <c r="I1718" s="3" t="s">
        <v>15</v>
      </c>
    </row>
    <row r="1719" spans="1:9" s="3" customFormat="1" x14ac:dyDescent="0.3">
      <c r="A1719" s="3" t="s">
        <v>134</v>
      </c>
      <c r="B1719" s="3" t="s">
        <v>135</v>
      </c>
      <c r="C1719" s="3" t="s">
        <v>24</v>
      </c>
      <c r="D1719" s="3" t="s">
        <v>261</v>
      </c>
      <c r="E1719" s="6">
        <v>0.37083333333333335</v>
      </c>
      <c r="F1719" s="6">
        <v>0.68541666666666667</v>
      </c>
      <c r="G1719" s="3" t="s">
        <v>170</v>
      </c>
      <c r="H1719" s="3" t="s">
        <v>27</v>
      </c>
      <c r="I1719" s="3" t="s">
        <v>21</v>
      </c>
    </row>
    <row r="1720" spans="1:9" s="3" customFormat="1" x14ac:dyDescent="0.3">
      <c r="A1720" s="3" t="s">
        <v>96</v>
      </c>
      <c r="B1720" s="3" t="s">
        <v>97</v>
      </c>
      <c r="C1720" s="3" t="s">
        <v>24</v>
      </c>
      <c r="D1720" s="3" t="s">
        <v>111</v>
      </c>
      <c r="E1720" s="6">
        <v>0.34444444444444444</v>
      </c>
      <c r="F1720" s="6">
        <v>0.80277777777777781</v>
      </c>
      <c r="G1720" s="3" t="s">
        <v>26</v>
      </c>
      <c r="H1720" s="3" t="s">
        <v>14</v>
      </c>
      <c r="I1720" s="3" t="s">
        <v>21</v>
      </c>
    </row>
    <row r="1721" spans="1:9" s="3" customFormat="1" x14ac:dyDescent="0.3">
      <c r="A1721" s="3" t="s">
        <v>62</v>
      </c>
      <c r="B1721" s="3" t="s">
        <v>63</v>
      </c>
      <c r="C1721" s="3" t="s">
        <v>18</v>
      </c>
      <c r="D1721" s="3" t="s">
        <v>168</v>
      </c>
      <c r="E1721" s="6">
        <v>0.4284722222222222</v>
      </c>
      <c r="F1721" s="6">
        <v>0.81736111111111109</v>
      </c>
      <c r="G1721" s="3" t="s">
        <v>274</v>
      </c>
      <c r="H1721" s="3" t="s">
        <v>14</v>
      </c>
      <c r="I1721" s="3" t="s">
        <v>15</v>
      </c>
    </row>
    <row r="1722" spans="1:9" s="3" customFormat="1" x14ac:dyDescent="0.3">
      <c r="A1722" s="3" t="s">
        <v>291</v>
      </c>
      <c r="B1722" s="3" t="s">
        <v>292</v>
      </c>
      <c r="C1722" s="3" t="s">
        <v>42</v>
      </c>
      <c r="D1722" s="3" t="s">
        <v>326</v>
      </c>
      <c r="E1722" s="6">
        <v>0.48125000000000001</v>
      </c>
      <c r="F1722" s="6">
        <v>0.7</v>
      </c>
      <c r="G1722" s="3" t="s">
        <v>20</v>
      </c>
      <c r="H1722" s="3" t="s">
        <v>27</v>
      </c>
      <c r="I1722" s="3" t="s">
        <v>15</v>
      </c>
    </row>
    <row r="1723" spans="1:9" s="3" customFormat="1" x14ac:dyDescent="0.3">
      <c r="A1723" s="3" t="s">
        <v>175</v>
      </c>
      <c r="B1723" s="3" t="s">
        <v>176</v>
      </c>
      <c r="C1723" s="3" t="s">
        <v>42</v>
      </c>
      <c r="D1723" s="3" t="s">
        <v>408</v>
      </c>
      <c r="E1723" s="6">
        <v>0.33402777777777776</v>
      </c>
      <c r="F1723" s="6">
        <v>0.7680555555555556</v>
      </c>
      <c r="G1723" s="3" t="s">
        <v>13</v>
      </c>
      <c r="H1723" s="3" t="s">
        <v>14</v>
      </c>
      <c r="I1723" s="3" t="s">
        <v>21</v>
      </c>
    </row>
    <row r="1724" spans="1:9" s="3" customFormat="1" x14ac:dyDescent="0.3">
      <c r="A1724" s="3" t="s">
        <v>45</v>
      </c>
      <c r="B1724" s="3" t="s">
        <v>46</v>
      </c>
      <c r="C1724" s="3" t="s">
        <v>60</v>
      </c>
      <c r="D1724" s="3" t="s">
        <v>322</v>
      </c>
      <c r="E1724" s="6">
        <v>0.46458333333333335</v>
      </c>
      <c r="F1724" s="6">
        <v>0.85347222222222219</v>
      </c>
      <c r="G1724" s="3" t="s">
        <v>20</v>
      </c>
      <c r="H1724" s="3" t="s">
        <v>27</v>
      </c>
      <c r="I1724" s="3" t="s">
        <v>21</v>
      </c>
    </row>
    <row r="1725" spans="1:9" s="3" customFormat="1" x14ac:dyDescent="0.3">
      <c r="A1725" s="3" t="s">
        <v>204</v>
      </c>
      <c r="B1725" s="3" t="s">
        <v>205</v>
      </c>
      <c r="C1725" s="3" t="s">
        <v>60</v>
      </c>
      <c r="D1725" s="3" t="s">
        <v>107</v>
      </c>
      <c r="E1725" s="6"/>
      <c r="F1725" s="6"/>
      <c r="G1725" s="3" t="s">
        <v>51</v>
      </c>
      <c r="H1725" s="3" t="s">
        <v>27</v>
      </c>
      <c r="I1725" s="3" t="s">
        <v>15</v>
      </c>
    </row>
    <row r="1726" spans="1:9" s="3" customFormat="1" x14ac:dyDescent="0.3">
      <c r="A1726" s="3" t="s">
        <v>224</v>
      </c>
      <c r="B1726" s="3" t="s">
        <v>225</v>
      </c>
      <c r="C1726" s="3" t="s">
        <v>64</v>
      </c>
      <c r="D1726" s="3" t="s">
        <v>12</v>
      </c>
      <c r="E1726" s="6">
        <v>0.3659722222222222</v>
      </c>
      <c r="F1726" s="6">
        <v>0.85347222222222219</v>
      </c>
      <c r="G1726" s="3" t="s">
        <v>13</v>
      </c>
      <c r="H1726" s="3" t="s">
        <v>27</v>
      </c>
      <c r="I1726" s="3" t="s">
        <v>21</v>
      </c>
    </row>
    <row r="1727" spans="1:9" s="3" customFormat="1" x14ac:dyDescent="0.3">
      <c r="A1727" s="3" t="s">
        <v>150</v>
      </c>
      <c r="B1727" s="3" t="s">
        <v>151</v>
      </c>
      <c r="C1727" s="3" t="s">
        <v>18</v>
      </c>
      <c r="D1727" s="3" t="s">
        <v>412</v>
      </c>
      <c r="E1727" s="6">
        <v>0.42638888888888887</v>
      </c>
      <c r="F1727" s="6">
        <v>0.75347222222222221</v>
      </c>
      <c r="G1727" s="3" t="s">
        <v>13</v>
      </c>
      <c r="H1727" s="3" t="s">
        <v>27</v>
      </c>
      <c r="I1727" s="3" t="s">
        <v>21</v>
      </c>
    </row>
    <row r="1728" spans="1:9" s="3" customFormat="1" x14ac:dyDescent="0.3">
      <c r="A1728" s="3" t="s">
        <v>40</v>
      </c>
      <c r="B1728" s="3" t="s">
        <v>41</v>
      </c>
      <c r="C1728" s="3" t="s">
        <v>24</v>
      </c>
      <c r="D1728" s="3" t="s">
        <v>379</v>
      </c>
      <c r="E1728" s="6">
        <v>0.34583333333333333</v>
      </c>
      <c r="F1728" s="6">
        <v>0.87152777777777779</v>
      </c>
      <c r="G1728" s="3" t="s">
        <v>125</v>
      </c>
      <c r="H1728" s="3" t="s">
        <v>14</v>
      </c>
      <c r="I1728" s="3" t="s">
        <v>21</v>
      </c>
    </row>
    <row r="1729" spans="1:9" s="3" customFormat="1" x14ac:dyDescent="0.3">
      <c r="A1729" s="3" t="s">
        <v>216</v>
      </c>
      <c r="B1729" s="3" t="s">
        <v>217</v>
      </c>
      <c r="C1729" s="3" t="s">
        <v>64</v>
      </c>
      <c r="D1729" s="3" t="s">
        <v>304</v>
      </c>
      <c r="E1729" s="6">
        <v>0.42916666666666664</v>
      </c>
      <c r="F1729" s="6">
        <v>0.82430555555555551</v>
      </c>
      <c r="G1729" s="3" t="s">
        <v>26</v>
      </c>
      <c r="H1729" s="3" t="s">
        <v>14</v>
      </c>
      <c r="I1729" s="3" t="s">
        <v>21</v>
      </c>
    </row>
    <row r="1730" spans="1:9" s="3" customFormat="1" x14ac:dyDescent="0.3">
      <c r="A1730" s="3" t="s">
        <v>175</v>
      </c>
      <c r="B1730" s="3" t="s">
        <v>176</v>
      </c>
      <c r="C1730" s="3" t="s">
        <v>60</v>
      </c>
      <c r="D1730" s="3" t="s">
        <v>212</v>
      </c>
      <c r="E1730" s="6"/>
      <c r="F1730" s="6"/>
      <c r="G1730" s="3" t="s">
        <v>44</v>
      </c>
      <c r="H1730" s="3" t="s">
        <v>14</v>
      </c>
      <c r="I1730" s="3" t="s">
        <v>21</v>
      </c>
    </row>
    <row r="1731" spans="1:9" s="3" customFormat="1" x14ac:dyDescent="0.3">
      <c r="A1731" s="3" t="s">
        <v>78</v>
      </c>
      <c r="B1731" s="3" t="s">
        <v>79</v>
      </c>
      <c r="C1731" s="3" t="s">
        <v>18</v>
      </c>
      <c r="D1731" s="3" t="s">
        <v>132</v>
      </c>
      <c r="E1731" s="6">
        <v>0.40555555555555556</v>
      </c>
      <c r="F1731" s="6">
        <v>0.76666666666666672</v>
      </c>
      <c r="G1731" s="3" t="s">
        <v>26</v>
      </c>
      <c r="H1731" s="3" t="s">
        <v>14</v>
      </c>
      <c r="I1731" s="3" t="s">
        <v>21</v>
      </c>
    </row>
    <row r="1732" spans="1:9" s="3" customFormat="1" x14ac:dyDescent="0.3">
      <c r="A1732" s="3" t="s">
        <v>69</v>
      </c>
      <c r="B1732" s="3" t="s">
        <v>70</v>
      </c>
      <c r="C1732" s="3" t="s">
        <v>18</v>
      </c>
      <c r="D1732" s="3" t="s">
        <v>403</v>
      </c>
      <c r="E1732" s="6"/>
      <c r="F1732" s="6"/>
      <c r="G1732" s="3" t="s">
        <v>44</v>
      </c>
      <c r="H1732" s="3" t="s">
        <v>14</v>
      </c>
      <c r="I1732" s="3" t="s">
        <v>15</v>
      </c>
    </row>
    <row r="1733" spans="1:9" s="3" customFormat="1" x14ac:dyDescent="0.3">
      <c r="A1733" s="3" t="s">
        <v>119</v>
      </c>
      <c r="B1733" s="3" t="s">
        <v>120</v>
      </c>
      <c r="C1733" s="3" t="s">
        <v>24</v>
      </c>
      <c r="D1733" s="3" t="s">
        <v>241</v>
      </c>
      <c r="E1733" s="6"/>
      <c r="F1733" s="6"/>
      <c r="G1733" s="3" t="s">
        <v>44</v>
      </c>
      <c r="H1733" s="3" t="s">
        <v>27</v>
      </c>
      <c r="I1733" s="3" t="s">
        <v>15</v>
      </c>
    </row>
    <row r="1734" spans="1:9" s="3" customFormat="1" x14ac:dyDescent="0.3">
      <c r="A1734" s="3" t="s">
        <v>9</v>
      </c>
      <c r="B1734" s="3" t="s">
        <v>10</v>
      </c>
      <c r="C1734" s="3" t="s">
        <v>64</v>
      </c>
      <c r="D1734" s="3" t="s">
        <v>104</v>
      </c>
      <c r="E1734" s="6">
        <v>0.48888888888888887</v>
      </c>
      <c r="F1734" s="6">
        <v>0.70277777777777772</v>
      </c>
      <c r="G1734" s="3" t="s">
        <v>274</v>
      </c>
      <c r="H1734" s="3" t="s">
        <v>14</v>
      </c>
      <c r="I1734" s="3" t="s">
        <v>15</v>
      </c>
    </row>
    <row r="1735" spans="1:9" s="3" customFormat="1" x14ac:dyDescent="0.3">
      <c r="A1735" s="3" t="s">
        <v>224</v>
      </c>
      <c r="B1735" s="3" t="s">
        <v>225</v>
      </c>
      <c r="C1735" s="3" t="s">
        <v>42</v>
      </c>
      <c r="D1735" s="3" t="s">
        <v>414</v>
      </c>
      <c r="E1735" s="6">
        <v>0.40972222222222221</v>
      </c>
      <c r="F1735" s="6">
        <v>0.7416666666666667</v>
      </c>
      <c r="G1735" s="3" t="s">
        <v>13</v>
      </c>
      <c r="H1735" s="3" t="s">
        <v>27</v>
      </c>
      <c r="I1735" s="3" t="s">
        <v>15</v>
      </c>
    </row>
    <row r="1736" spans="1:9" s="3" customFormat="1" x14ac:dyDescent="0.3">
      <c r="A1736" s="3" t="s">
        <v>171</v>
      </c>
      <c r="B1736" s="3" t="s">
        <v>172</v>
      </c>
      <c r="C1736" s="3" t="s">
        <v>24</v>
      </c>
      <c r="D1736" s="3" t="s">
        <v>402</v>
      </c>
      <c r="E1736" s="6">
        <v>0.42569444444444443</v>
      </c>
      <c r="F1736" s="6">
        <v>0.69444444444444442</v>
      </c>
      <c r="G1736" s="3" t="s">
        <v>20</v>
      </c>
      <c r="H1736" s="3" t="s">
        <v>14</v>
      </c>
      <c r="I1736" s="3" t="s">
        <v>21</v>
      </c>
    </row>
    <row r="1737" spans="1:9" s="3" customFormat="1" x14ac:dyDescent="0.3">
      <c r="A1737" s="3" t="s">
        <v>48</v>
      </c>
      <c r="B1737" s="3" t="s">
        <v>49</v>
      </c>
      <c r="C1737" s="3" t="s">
        <v>42</v>
      </c>
      <c r="D1737" s="3" t="s">
        <v>260</v>
      </c>
      <c r="E1737" s="6"/>
      <c r="F1737" s="6"/>
      <c r="G1737" s="3" t="s">
        <v>44</v>
      </c>
      <c r="H1737" s="3" t="s">
        <v>27</v>
      </c>
      <c r="I1737" s="3" t="s">
        <v>21</v>
      </c>
    </row>
    <row r="1738" spans="1:9" s="3" customFormat="1" x14ac:dyDescent="0.3">
      <c r="A1738" s="3" t="s">
        <v>69</v>
      </c>
      <c r="B1738" s="3" t="s">
        <v>70</v>
      </c>
      <c r="C1738" s="3" t="s">
        <v>239</v>
      </c>
      <c r="D1738" s="3" t="s">
        <v>379</v>
      </c>
      <c r="E1738" s="6"/>
      <c r="F1738" s="6"/>
      <c r="G1738" s="3" t="s">
        <v>44</v>
      </c>
      <c r="H1738" s="3" t="s">
        <v>27</v>
      </c>
      <c r="I1738" s="3" t="s">
        <v>15</v>
      </c>
    </row>
    <row r="1739" spans="1:9" s="3" customFormat="1" x14ac:dyDescent="0.3">
      <c r="A1739" s="3" t="s">
        <v>62</v>
      </c>
      <c r="B1739" s="3" t="s">
        <v>63</v>
      </c>
      <c r="C1739" s="3" t="s">
        <v>18</v>
      </c>
      <c r="D1739" s="3" t="s">
        <v>117</v>
      </c>
      <c r="E1739" s="6"/>
      <c r="F1739" s="6"/>
      <c r="G1739" s="3" t="s">
        <v>44</v>
      </c>
      <c r="H1739" s="3" t="s">
        <v>27</v>
      </c>
      <c r="I1739" s="3" t="s">
        <v>15</v>
      </c>
    </row>
    <row r="1740" spans="1:9" s="3" customFormat="1" x14ac:dyDescent="0.3">
      <c r="A1740" s="3" t="s">
        <v>165</v>
      </c>
      <c r="B1740" s="3" t="s">
        <v>166</v>
      </c>
      <c r="C1740" s="3" t="s">
        <v>24</v>
      </c>
      <c r="D1740" s="3" t="s">
        <v>333</v>
      </c>
      <c r="E1740" s="6">
        <v>0.46527777777777779</v>
      </c>
      <c r="F1740" s="6">
        <v>0.74791666666666667</v>
      </c>
      <c r="G1740" s="3" t="s">
        <v>26</v>
      </c>
      <c r="H1740" s="3" t="s">
        <v>14</v>
      </c>
      <c r="I1740" s="3" t="s">
        <v>21</v>
      </c>
    </row>
    <row r="1741" spans="1:9" s="3" customFormat="1" x14ac:dyDescent="0.3">
      <c r="A1741" s="3" t="s">
        <v>69</v>
      </c>
      <c r="B1741" s="3" t="s">
        <v>70</v>
      </c>
      <c r="C1741" s="3" t="s">
        <v>24</v>
      </c>
      <c r="D1741" s="3" t="s">
        <v>266</v>
      </c>
      <c r="E1741" s="6">
        <v>0.47638888888888886</v>
      </c>
      <c r="F1741" s="6">
        <v>0.83680555555555558</v>
      </c>
      <c r="G1741" s="3" t="s">
        <v>26</v>
      </c>
      <c r="H1741" s="3" t="s">
        <v>14</v>
      </c>
      <c r="I1741" s="3" t="s">
        <v>15</v>
      </c>
    </row>
    <row r="1742" spans="1:9" s="3" customFormat="1" x14ac:dyDescent="0.3">
      <c r="A1742" s="3" t="s">
        <v>204</v>
      </c>
      <c r="B1742" s="3" t="s">
        <v>205</v>
      </c>
      <c r="C1742" s="3" t="s">
        <v>42</v>
      </c>
      <c r="D1742" s="3" t="s">
        <v>163</v>
      </c>
      <c r="E1742" s="6">
        <v>0.48541666666666666</v>
      </c>
      <c r="F1742" s="6">
        <v>0.71805555555555556</v>
      </c>
      <c r="G1742" s="3" t="s">
        <v>20</v>
      </c>
      <c r="H1742" s="3" t="s">
        <v>27</v>
      </c>
      <c r="I1742" s="3" t="s">
        <v>21</v>
      </c>
    </row>
    <row r="1743" spans="1:9" s="3" customFormat="1" x14ac:dyDescent="0.3">
      <c r="A1743" s="3" t="s">
        <v>84</v>
      </c>
      <c r="B1743" s="3" t="s">
        <v>85</v>
      </c>
      <c r="C1743" s="3" t="s">
        <v>18</v>
      </c>
      <c r="D1743" s="3" t="s">
        <v>285</v>
      </c>
      <c r="E1743" s="6">
        <v>0.34513888888888888</v>
      </c>
      <c r="F1743" s="6">
        <v>0.74791666666666667</v>
      </c>
      <c r="G1743" s="3" t="s">
        <v>20</v>
      </c>
      <c r="H1743" s="3" t="s">
        <v>27</v>
      </c>
      <c r="I1743" s="3" t="s">
        <v>21</v>
      </c>
    </row>
    <row r="1744" spans="1:9" s="3" customFormat="1" x14ac:dyDescent="0.3">
      <c r="A1744" s="3" t="s">
        <v>48</v>
      </c>
      <c r="B1744" s="3" t="s">
        <v>49</v>
      </c>
      <c r="C1744" s="3" t="s">
        <v>60</v>
      </c>
      <c r="D1744" s="3" t="s">
        <v>218</v>
      </c>
      <c r="E1744" s="6">
        <v>0.39097222222222222</v>
      </c>
      <c r="F1744" s="6">
        <v>0.86041666666666672</v>
      </c>
      <c r="G1744" s="3" t="s">
        <v>26</v>
      </c>
      <c r="H1744" s="3" t="s">
        <v>14</v>
      </c>
      <c r="I1744" s="3" t="s">
        <v>21</v>
      </c>
    </row>
    <row r="1745" spans="1:9" s="3" customFormat="1" x14ac:dyDescent="0.3">
      <c r="A1745" s="3" t="s">
        <v>171</v>
      </c>
      <c r="B1745" s="3" t="s">
        <v>172</v>
      </c>
      <c r="C1745" s="3" t="s">
        <v>42</v>
      </c>
      <c r="D1745" s="3" t="s">
        <v>287</v>
      </c>
      <c r="E1745" s="6"/>
      <c r="F1745" s="6"/>
      <c r="G1745" s="3" t="s">
        <v>44</v>
      </c>
      <c r="H1745" s="3" t="s">
        <v>14</v>
      </c>
      <c r="I1745" s="3" t="s">
        <v>15</v>
      </c>
    </row>
    <row r="1746" spans="1:9" s="3" customFormat="1" x14ac:dyDescent="0.3">
      <c r="A1746" s="3" t="s">
        <v>250</v>
      </c>
      <c r="B1746" s="3" t="s">
        <v>251</v>
      </c>
      <c r="C1746" s="3" t="s">
        <v>239</v>
      </c>
      <c r="D1746" s="3" t="s">
        <v>233</v>
      </c>
      <c r="E1746" s="6"/>
      <c r="F1746" s="6"/>
      <c r="G1746" s="3" t="s">
        <v>44</v>
      </c>
      <c r="H1746" s="3" t="s">
        <v>27</v>
      </c>
      <c r="I1746" s="3" t="s">
        <v>21</v>
      </c>
    </row>
    <row r="1747" spans="1:9" s="3" customFormat="1" x14ac:dyDescent="0.3">
      <c r="A1747" s="3" t="s">
        <v>9</v>
      </c>
      <c r="B1747" s="3" t="s">
        <v>10</v>
      </c>
      <c r="C1747" s="3" t="s">
        <v>18</v>
      </c>
      <c r="D1747" s="3" t="s">
        <v>384</v>
      </c>
      <c r="E1747" s="6">
        <v>0.36875000000000002</v>
      </c>
      <c r="F1747" s="6">
        <v>0.81666666666666665</v>
      </c>
      <c r="G1747" s="3" t="s">
        <v>13</v>
      </c>
      <c r="H1747" s="3" t="s">
        <v>14</v>
      </c>
      <c r="I1747" s="3" t="s">
        <v>15</v>
      </c>
    </row>
    <row r="1748" spans="1:9" s="3" customFormat="1" x14ac:dyDescent="0.3">
      <c r="A1748" s="3" t="s">
        <v>171</v>
      </c>
      <c r="B1748" s="3" t="s">
        <v>172</v>
      </c>
      <c r="C1748" s="3" t="s">
        <v>24</v>
      </c>
      <c r="D1748" s="3" t="s">
        <v>264</v>
      </c>
      <c r="E1748" s="6">
        <v>0.45833333333333331</v>
      </c>
      <c r="F1748" s="6">
        <v>0.73472222222222228</v>
      </c>
      <c r="G1748" s="3" t="s">
        <v>20</v>
      </c>
      <c r="H1748" s="3" t="s">
        <v>14</v>
      </c>
      <c r="I1748" s="3" t="s">
        <v>21</v>
      </c>
    </row>
    <row r="1749" spans="1:9" s="3" customFormat="1" x14ac:dyDescent="0.3">
      <c r="A1749" s="3" t="s">
        <v>269</v>
      </c>
      <c r="B1749" s="3" t="s">
        <v>270</v>
      </c>
      <c r="C1749" s="3" t="s">
        <v>24</v>
      </c>
      <c r="D1749" s="3" t="s">
        <v>145</v>
      </c>
      <c r="E1749" s="6">
        <v>0.37361111111111112</v>
      </c>
      <c r="F1749" s="6">
        <v>0.80486111111111114</v>
      </c>
      <c r="G1749" s="3" t="s">
        <v>125</v>
      </c>
      <c r="H1749" s="3" t="s">
        <v>27</v>
      </c>
      <c r="I1749" s="3" t="s">
        <v>21</v>
      </c>
    </row>
    <row r="1750" spans="1:9" s="3" customFormat="1" x14ac:dyDescent="0.3">
      <c r="A1750" s="3" t="s">
        <v>194</v>
      </c>
      <c r="B1750" s="3" t="s">
        <v>195</v>
      </c>
      <c r="C1750" s="3" t="s">
        <v>24</v>
      </c>
      <c r="D1750" s="3" t="s">
        <v>407</v>
      </c>
      <c r="E1750" s="6">
        <v>0.48472222222222222</v>
      </c>
      <c r="F1750" s="6">
        <v>0.74097222222222225</v>
      </c>
      <c r="G1750" s="3" t="s">
        <v>26</v>
      </c>
      <c r="H1750" s="3" t="s">
        <v>27</v>
      </c>
      <c r="I1750" s="3" t="s">
        <v>21</v>
      </c>
    </row>
    <row r="1751" spans="1:9" s="3" customFormat="1" x14ac:dyDescent="0.3">
      <c r="A1751" s="3" t="s">
        <v>22</v>
      </c>
      <c r="B1751" s="3" t="s">
        <v>23</v>
      </c>
      <c r="C1751" s="3" t="s">
        <v>18</v>
      </c>
      <c r="D1751" s="3" t="s">
        <v>111</v>
      </c>
      <c r="E1751" s="6">
        <v>0.40694444444444444</v>
      </c>
      <c r="F1751" s="6">
        <v>0.71111111111111114</v>
      </c>
      <c r="G1751" s="3" t="s">
        <v>13</v>
      </c>
      <c r="H1751" s="3" t="s">
        <v>14</v>
      </c>
      <c r="I1751" s="3" t="s">
        <v>21</v>
      </c>
    </row>
    <row r="1752" spans="1:9" s="3" customFormat="1" x14ac:dyDescent="0.3">
      <c r="A1752" s="3" t="s">
        <v>40</v>
      </c>
      <c r="B1752" s="3" t="s">
        <v>41</v>
      </c>
      <c r="C1752" s="3" t="s">
        <v>18</v>
      </c>
      <c r="D1752" s="3" t="s">
        <v>321</v>
      </c>
      <c r="E1752" s="6">
        <v>0.39513888888888887</v>
      </c>
      <c r="F1752" s="6">
        <v>0.7006944444444444</v>
      </c>
      <c r="G1752" s="3" t="s">
        <v>13</v>
      </c>
      <c r="H1752" s="3" t="s">
        <v>14</v>
      </c>
      <c r="I1752" s="3" t="s">
        <v>21</v>
      </c>
    </row>
    <row r="1753" spans="1:9" s="3" customFormat="1" x14ac:dyDescent="0.3">
      <c r="A1753" s="3" t="s">
        <v>200</v>
      </c>
      <c r="B1753" s="3" t="s">
        <v>201</v>
      </c>
      <c r="C1753" s="3" t="s">
        <v>60</v>
      </c>
      <c r="D1753" s="3" t="s">
        <v>319</v>
      </c>
      <c r="E1753" s="6">
        <v>0.37013888888888891</v>
      </c>
      <c r="F1753" s="6">
        <v>0.71111111111111114</v>
      </c>
      <c r="G1753" s="3" t="s">
        <v>26</v>
      </c>
      <c r="H1753" s="3" t="s">
        <v>27</v>
      </c>
      <c r="I1753" s="3" t="s">
        <v>21</v>
      </c>
    </row>
    <row r="1754" spans="1:9" s="3" customFormat="1" x14ac:dyDescent="0.3">
      <c r="A1754" s="3" t="s">
        <v>150</v>
      </c>
      <c r="B1754" s="3" t="s">
        <v>151</v>
      </c>
      <c r="C1754" s="3" t="s">
        <v>60</v>
      </c>
      <c r="D1754" s="3" t="s">
        <v>284</v>
      </c>
      <c r="E1754" s="6">
        <v>0.34930555555555554</v>
      </c>
      <c r="F1754" s="6">
        <v>0.69861111111111107</v>
      </c>
      <c r="G1754" s="3" t="s">
        <v>13</v>
      </c>
      <c r="H1754" s="3" t="s">
        <v>27</v>
      </c>
      <c r="I1754" s="3" t="s">
        <v>15</v>
      </c>
    </row>
    <row r="1755" spans="1:9" s="3" customFormat="1" x14ac:dyDescent="0.3">
      <c r="A1755" s="3" t="s">
        <v>72</v>
      </c>
      <c r="B1755" s="3" t="s">
        <v>73</v>
      </c>
      <c r="C1755" s="3" t="s">
        <v>60</v>
      </c>
      <c r="D1755" s="3" t="s">
        <v>401</v>
      </c>
      <c r="E1755" s="6"/>
      <c r="F1755" s="6"/>
      <c r="G1755" s="3" t="s">
        <v>44</v>
      </c>
      <c r="H1755" s="3" t="s">
        <v>14</v>
      </c>
      <c r="I1755" s="3" t="s">
        <v>21</v>
      </c>
    </row>
    <row r="1756" spans="1:9" s="3" customFormat="1" x14ac:dyDescent="0.3">
      <c r="A1756" s="3" t="s">
        <v>141</v>
      </c>
      <c r="B1756" s="3" t="s">
        <v>142</v>
      </c>
      <c r="C1756" s="3" t="s">
        <v>60</v>
      </c>
      <c r="D1756" s="3" t="s">
        <v>220</v>
      </c>
      <c r="E1756" s="6"/>
      <c r="F1756" s="6"/>
      <c r="G1756" s="3" t="s">
        <v>44</v>
      </c>
      <c r="H1756" s="3" t="s">
        <v>27</v>
      </c>
      <c r="I1756" s="3" t="s">
        <v>21</v>
      </c>
    </row>
    <row r="1757" spans="1:9" s="3" customFormat="1" x14ac:dyDescent="0.3">
      <c r="A1757" s="3" t="s">
        <v>138</v>
      </c>
      <c r="B1757" s="3" t="s">
        <v>139</v>
      </c>
      <c r="C1757" s="3" t="s">
        <v>42</v>
      </c>
      <c r="D1757" s="3" t="s">
        <v>344</v>
      </c>
      <c r="E1757" s="6">
        <v>0.45902777777777776</v>
      </c>
      <c r="F1757" s="6">
        <v>0.72499999999999998</v>
      </c>
      <c r="G1757" s="3" t="s">
        <v>26</v>
      </c>
      <c r="H1757" s="3" t="s">
        <v>27</v>
      </c>
      <c r="I1757" s="3" t="s">
        <v>15</v>
      </c>
    </row>
    <row r="1758" spans="1:9" s="3" customFormat="1" x14ac:dyDescent="0.3">
      <c r="A1758" s="3" t="s">
        <v>362</v>
      </c>
      <c r="B1758" s="3" t="s">
        <v>363</v>
      </c>
      <c r="C1758" s="3" t="s">
        <v>60</v>
      </c>
      <c r="D1758" s="3" t="s">
        <v>185</v>
      </c>
      <c r="E1758" s="6">
        <v>0.44166666666666665</v>
      </c>
      <c r="F1758" s="6">
        <v>0.67361111111111116</v>
      </c>
      <c r="G1758" s="3" t="s">
        <v>13</v>
      </c>
      <c r="H1758" s="3" t="s">
        <v>14</v>
      </c>
      <c r="I1758" s="3" t="s">
        <v>21</v>
      </c>
    </row>
    <row r="1759" spans="1:9" s="3" customFormat="1" x14ac:dyDescent="0.3">
      <c r="A1759" s="3" t="s">
        <v>130</v>
      </c>
      <c r="B1759" s="3" t="s">
        <v>131</v>
      </c>
      <c r="C1759" s="3" t="s">
        <v>60</v>
      </c>
      <c r="D1759" s="3" t="s">
        <v>221</v>
      </c>
      <c r="E1759" s="6">
        <v>0.36666666666666664</v>
      </c>
      <c r="F1759" s="6">
        <v>0.68055555555555558</v>
      </c>
      <c r="G1759" s="3" t="s">
        <v>13</v>
      </c>
      <c r="H1759" s="3" t="s">
        <v>27</v>
      </c>
      <c r="I1759" s="3" t="s">
        <v>15</v>
      </c>
    </row>
    <row r="1760" spans="1:9" s="3" customFormat="1" x14ac:dyDescent="0.3">
      <c r="A1760" s="3" t="s">
        <v>194</v>
      </c>
      <c r="B1760" s="3" t="s">
        <v>195</v>
      </c>
      <c r="C1760" s="3" t="s">
        <v>42</v>
      </c>
      <c r="D1760" s="3" t="s">
        <v>181</v>
      </c>
      <c r="E1760" s="6">
        <v>0.45</v>
      </c>
      <c r="F1760" s="6">
        <v>0.78749999999999998</v>
      </c>
      <c r="G1760" s="3" t="s">
        <v>13</v>
      </c>
      <c r="H1760" s="3" t="s">
        <v>14</v>
      </c>
      <c r="I1760" s="3" t="s">
        <v>15</v>
      </c>
    </row>
    <row r="1761" spans="1:9" s="3" customFormat="1" x14ac:dyDescent="0.3">
      <c r="A1761" s="3" t="s">
        <v>22</v>
      </c>
      <c r="B1761" s="3" t="s">
        <v>23</v>
      </c>
      <c r="C1761" s="3" t="s">
        <v>24</v>
      </c>
      <c r="D1761" s="3" t="s">
        <v>420</v>
      </c>
      <c r="E1761" s="6">
        <v>0.46111111111111114</v>
      </c>
      <c r="F1761" s="6">
        <v>0.8125</v>
      </c>
      <c r="G1761" s="3" t="s">
        <v>20</v>
      </c>
      <c r="H1761" s="3" t="s">
        <v>27</v>
      </c>
      <c r="I1761" s="3" t="s">
        <v>21</v>
      </c>
    </row>
    <row r="1762" spans="1:9" s="3" customFormat="1" x14ac:dyDescent="0.3">
      <c r="A1762" s="3" t="s">
        <v>134</v>
      </c>
      <c r="B1762" s="3" t="s">
        <v>135</v>
      </c>
      <c r="C1762" s="3" t="s">
        <v>42</v>
      </c>
      <c r="D1762" s="3" t="s">
        <v>206</v>
      </c>
      <c r="E1762" s="6">
        <v>0.33333333333333331</v>
      </c>
      <c r="F1762" s="6">
        <v>0.69791666666666663</v>
      </c>
      <c r="G1762" s="3" t="s">
        <v>13</v>
      </c>
      <c r="H1762" s="3" t="s">
        <v>27</v>
      </c>
      <c r="I1762" s="3" t="s">
        <v>21</v>
      </c>
    </row>
    <row r="1763" spans="1:9" s="3" customFormat="1" x14ac:dyDescent="0.3">
      <c r="A1763" s="3" t="s">
        <v>175</v>
      </c>
      <c r="B1763" s="3" t="s">
        <v>176</v>
      </c>
      <c r="C1763" s="3" t="s">
        <v>24</v>
      </c>
      <c r="D1763" s="3" t="s">
        <v>243</v>
      </c>
      <c r="E1763" s="6">
        <v>0.40763888888888888</v>
      </c>
      <c r="F1763" s="6">
        <v>0.71805555555555556</v>
      </c>
      <c r="G1763" s="3" t="s">
        <v>13</v>
      </c>
      <c r="H1763" s="3" t="s">
        <v>14</v>
      </c>
      <c r="I1763" s="3" t="s">
        <v>15</v>
      </c>
    </row>
    <row r="1764" spans="1:9" s="3" customFormat="1" x14ac:dyDescent="0.3">
      <c r="A1764" s="3" t="s">
        <v>194</v>
      </c>
      <c r="B1764" s="3" t="s">
        <v>195</v>
      </c>
      <c r="C1764" s="3" t="s">
        <v>64</v>
      </c>
      <c r="D1764" s="3" t="s">
        <v>189</v>
      </c>
      <c r="E1764" s="6">
        <v>0.3576388888888889</v>
      </c>
      <c r="F1764" s="6">
        <v>0.75763888888888886</v>
      </c>
      <c r="G1764" s="3" t="s">
        <v>26</v>
      </c>
      <c r="H1764" s="3" t="s">
        <v>14</v>
      </c>
      <c r="I1764" s="3" t="s">
        <v>21</v>
      </c>
    </row>
    <row r="1765" spans="1:9" s="3" customFormat="1" x14ac:dyDescent="0.3">
      <c r="A1765" s="3" t="s">
        <v>93</v>
      </c>
      <c r="B1765" s="3" t="s">
        <v>94</v>
      </c>
      <c r="C1765" s="3" t="s">
        <v>60</v>
      </c>
      <c r="D1765" s="3" t="s">
        <v>407</v>
      </c>
      <c r="E1765" s="6"/>
      <c r="F1765" s="6"/>
      <c r="G1765" s="3" t="s">
        <v>44</v>
      </c>
      <c r="H1765" s="3" t="s">
        <v>14</v>
      </c>
      <c r="I1765" s="3" t="s">
        <v>21</v>
      </c>
    </row>
    <row r="1766" spans="1:9" s="3" customFormat="1" x14ac:dyDescent="0.3">
      <c r="A1766" s="3" t="s">
        <v>157</v>
      </c>
      <c r="B1766" s="3" t="s">
        <v>158</v>
      </c>
      <c r="C1766" s="3" t="s">
        <v>239</v>
      </c>
      <c r="D1766" s="3" t="s">
        <v>184</v>
      </c>
      <c r="E1766" s="6">
        <v>0.48541666666666666</v>
      </c>
      <c r="F1766" s="6">
        <v>0.68263888888888891</v>
      </c>
      <c r="G1766" s="3" t="s">
        <v>20</v>
      </c>
      <c r="H1766" s="3" t="s">
        <v>27</v>
      </c>
      <c r="I1766" s="3" t="s">
        <v>15</v>
      </c>
    </row>
    <row r="1767" spans="1:9" s="3" customFormat="1" x14ac:dyDescent="0.3">
      <c r="A1767" s="3" t="s">
        <v>81</v>
      </c>
      <c r="B1767" s="3" t="s">
        <v>82</v>
      </c>
      <c r="C1767" s="3" t="s">
        <v>60</v>
      </c>
      <c r="D1767" s="3" t="s">
        <v>256</v>
      </c>
      <c r="E1767" s="6"/>
      <c r="F1767" s="6"/>
      <c r="G1767" s="3" t="s">
        <v>44</v>
      </c>
      <c r="H1767" s="3" t="s">
        <v>27</v>
      </c>
      <c r="I1767" s="3" t="s">
        <v>21</v>
      </c>
    </row>
    <row r="1768" spans="1:9" s="3" customFormat="1" x14ac:dyDescent="0.3">
      <c r="A1768" s="3" t="s">
        <v>115</v>
      </c>
      <c r="B1768" s="3" t="s">
        <v>116</v>
      </c>
      <c r="C1768" s="3" t="s">
        <v>18</v>
      </c>
      <c r="D1768" s="3" t="s">
        <v>164</v>
      </c>
      <c r="E1768" s="6"/>
      <c r="F1768" s="6"/>
      <c r="G1768" s="3" t="s">
        <v>44</v>
      </c>
      <c r="H1768" s="3" t="s">
        <v>27</v>
      </c>
      <c r="I1768" s="3" t="s">
        <v>15</v>
      </c>
    </row>
    <row r="1769" spans="1:9" s="3" customFormat="1" x14ac:dyDescent="0.3">
      <c r="A1769" s="3" t="s">
        <v>55</v>
      </c>
      <c r="B1769" s="3" t="s">
        <v>56</v>
      </c>
      <c r="C1769" s="3" t="s">
        <v>64</v>
      </c>
      <c r="D1769" s="3" t="s">
        <v>160</v>
      </c>
      <c r="E1769" s="6">
        <v>0.41597222222222224</v>
      </c>
      <c r="F1769" s="6">
        <v>0.78125</v>
      </c>
      <c r="G1769" s="3" t="s">
        <v>20</v>
      </c>
      <c r="H1769" s="3" t="s">
        <v>27</v>
      </c>
      <c r="I1769" s="3" t="s">
        <v>21</v>
      </c>
    </row>
    <row r="1770" spans="1:9" s="3" customFormat="1" x14ac:dyDescent="0.3">
      <c r="A1770" s="3" t="s">
        <v>194</v>
      </c>
      <c r="B1770" s="3" t="s">
        <v>195</v>
      </c>
      <c r="C1770" s="3" t="s">
        <v>24</v>
      </c>
      <c r="D1770" s="3" t="s">
        <v>190</v>
      </c>
      <c r="E1770" s="6">
        <v>0.37847222222222221</v>
      </c>
      <c r="F1770" s="6">
        <v>0.8041666666666667</v>
      </c>
      <c r="G1770" s="3" t="s">
        <v>20</v>
      </c>
      <c r="H1770" s="3" t="s">
        <v>14</v>
      </c>
      <c r="I1770" s="3" t="s">
        <v>21</v>
      </c>
    </row>
    <row r="1771" spans="1:9" s="3" customFormat="1" x14ac:dyDescent="0.3">
      <c r="A1771" s="3" t="s">
        <v>338</v>
      </c>
      <c r="B1771" s="3" t="s">
        <v>339</v>
      </c>
      <c r="C1771" s="3" t="s">
        <v>60</v>
      </c>
      <c r="D1771" s="3" t="s">
        <v>365</v>
      </c>
      <c r="E1771" s="6">
        <v>0.47222222222222221</v>
      </c>
      <c r="F1771" s="6">
        <v>0.70902777777777781</v>
      </c>
      <c r="G1771" s="3" t="s">
        <v>13</v>
      </c>
      <c r="H1771" s="3" t="s">
        <v>14</v>
      </c>
      <c r="I1771" s="3" t="s">
        <v>21</v>
      </c>
    </row>
    <row r="1772" spans="1:9" s="3" customFormat="1" x14ac:dyDescent="0.3">
      <c r="A1772" s="3" t="s">
        <v>31</v>
      </c>
      <c r="B1772" s="3" t="s">
        <v>32</v>
      </c>
      <c r="C1772" s="3" t="s">
        <v>24</v>
      </c>
      <c r="D1772" s="3" t="s">
        <v>126</v>
      </c>
      <c r="E1772" s="6">
        <v>0.36944444444444446</v>
      </c>
      <c r="F1772" s="6">
        <v>0.78125</v>
      </c>
      <c r="G1772" s="3" t="s">
        <v>26</v>
      </c>
      <c r="H1772" s="3" t="s">
        <v>14</v>
      </c>
      <c r="I1772" s="3" t="s">
        <v>15</v>
      </c>
    </row>
    <row r="1773" spans="1:9" s="3" customFormat="1" x14ac:dyDescent="0.3">
      <c r="A1773" s="3" t="s">
        <v>72</v>
      </c>
      <c r="B1773" s="3" t="s">
        <v>73</v>
      </c>
      <c r="C1773" s="3" t="s">
        <v>18</v>
      </c>
      <c r="D1773" s="3" t="s">
        <v>128</v>
      </c>
      <c r="E1773" s="6">
        <v>0.41249999999999998</v>
      </c>
      <c r="F1773" s="6">
        <v>0.85902777777777772</v>
      </c>
      <c r="G1773" s="3" t="s">
        <v>20</v>
      </c>
      <c r="H1773" s="3" t="s">
        <v>27</v>
      </c>
      <c r="I1773" s="3" t="s">
        <v>21</v>
      </c>
    </row>
    <row r="1774" spans="1:9" s="3" customFormat="1" x14ac:dyDescent="0.3">
      <c r="A1774" s="3" t="s">
        <v>96</v>
      </c>
      <c r="B1774" s="3" t="s">
        <v>97</v>
      </c>
      <c r="C1774" s="3" t="s">
        <v>60</v>
      </c>
      <c r="D1774" s="3" t="s">
        <v>349</v>
      </c>
      <c r="E1774" s="6">
        <v>0.45277777777777778</v>
      </c>
      <c r="F1774" s="6">
        <v>0.6791666666666667</v>
      </c>
      <c r="G1774" s="3" t="s">
        <v>13</v>
      </c>
      <c r="H1774" s="3" t="s">
        <v>14</v>
      </c>
      <c r="I1774" s="3" t="s">
        <v>21</v>
      </c>
    </row>
    <row r="1775" spans="1:9" s="3" customFormat="1" x14ac:dyDescent="0.3">
      <c r="A1775" s="3" t="s">
        <v>165</v>
      </c>
      <c r="B1775" s="3" t="s">
        <v>166</v>
      </c>
      <c r="C1775" s="3" t="s">
        <v>18</v>
      </c>
      <c r="D1775" s="3" t="s">
        <v>322</v>
      </c>
      <c r="E1775" s="6">
        <v>0.49722222222222223</v>
      </c>
      <c r="F1775" s="6">
        <v>0.70416666666666672</v>
      </c>
      <c r="G1775" s="3" t="s">
        <v>20</v>
      </c>
      <c r="H1775" s="3" t="s">
        <v>27</v>
      </c>
      <c r="I1775" s="3" t="s">
        <v>15</v>
      </c>
    </row>
    <row r="1776" spans="1:9" s="3" customFormat="1" x14ac:dyDescent="0.3">
      <c r="A1776" s="3" t="s">
        <v>37</v>
      </c>
      <c r="B1776" s="3" t="s">
        <v>38</v>
      </c>
      <c r="C1776" s="3" t="s">
        <v>42</v>
      </c>
      <c r="D1776" s="3" t="s">
        <v>254</v>
      </c>
      <c r="E1776" s="6">
        <v>0.41111111111111109</v>
      </c>
      <c r="F1776" s="6">
        <v>0.82291666666666663</v>
      </c>
      <c r="G1776" s="3" t="s">
        <v>13</v>
      </c>
      <c r="H1776" s="3" t="s">
        <v>14</v>
      </c>
      <c r="I1776" s="3" t="s">
        <v>15</v>
      </c>
    </row>
    <row r="1777" spans="1:9" s="3" customFormat="1" x14ac:dyDescent="0.3">
      <c r="A1777" s="3" t="s">
        <v>28</v>
      </c>
      <c r="B1777" s="3" t="s">
        <v>29</v>
      </c>
      <c r="C1777" s="3" t="s">
        <v>60</v>
      </c>
      <c r="D1777" s="3" t="s">
        <v>342</v>
      </c>
      <c r="E1777" s="6">
        <v>0.39374999999999999</v>
      </c>
      <c r="F1777" s="6">
        <v>0.66805555555555551</v>
      </c>
      <c r="G1777" s="3" t="s">
        <v>13</v>
      </c>
      <c r="H1777" s="3" t="s">
        <v>14</v>
      </c>
      <c r="I1777" s="3" t="s">
        <v>15</v>
      </c>
    </row>
    <row r="1778" spans="1:9" s="3" customFormat="1" x14ac:dyDescent="0.3">
      <c r="A1778" s="3" t="s">
        <v>78</v>
      </c>
      <c r="B1778" s="3" t="s">
        <v>79</v>
      </c>
      <c r="C1778" s="3" t="s">
        <v>24</v>
      </c>
      <c r="D1778" s="3" t="s">
        <v>129</v>
      </c>
      <c r="E1778" s="6">
        <v>0.3888888888888889</v>
      </c>
      <c r="F1778" s="6">
        <v>0.6743055555555556</v>
      </c>
      <c r="G1778" s="3" t="s">
        <v>26</v>
      </c>
      <c r="H1778" s="3" t="s">
        <v>27</v>
      </c>
      <c r="I1778" s="3" t="s">
        <v>15</v>
      </c>
    </row>
    <row r="1779" spans="1:9" s="3" customFormat="1" x14ac:dyDescent="0.3">
      <c r="A1779" s="3" t="s">
        <v>72</v>
      </c>
      <c r="B1779" s="3" t="s">
        <v>73</v>
      </c>
      <c r="C1779" s="3" t="s">
        <v>24</v>
      </c>
      <c r="D1779" s="3" t="s">
        <v>302</v>
      </c>
      <c r="E1779" s="6">
        <v>0.39583333333333331</v>
      </c>
      <c r="F1779" s="6">
        <v>0.77361111111111114</v>
      </c>
      <c r="G1779" s="3" t="s">
        <v>20</v>
      </c>
      <c r="H1779" s="3" t="s">
        <v>14</v>
      </c>
      <c r="I1779" s="3" t="s">
        <v>21</v>
      </c>
    </row>
    <row r="1780" spans="1:9" s="3" customFormat="1" x14ac:dyDescent="0.3">
      <c r="A1780" s="3" t="s">
        <v>197</v>
      </c>
      <c r="B1780" s="3" t="s">
        <v>198</v>
      </c>
      <c r="C1780" s="3" t="s">
        <v>64</v>
      </c>
      <c r="D1780" s="3" t="s">
        <v>257</v>
      </c>
      <c r="E1780" s="6">
        <v>0.40625</v>
      </c>
      <c r="F1780" s="6">
        <v>0.78680555555555554</v>
      </c>
      <c r="G1780" s="3" t="s">
        <v>13</v>
      </c>
      <c r="H1780" s="3" t="s">
        <v>14</v>
      </c>
      <c r="I1780" s="3" t="s">
        <v>21</v>
      </c>
    </row>
    <row r="1781" spans="1:9" s="3" customFormat="1" x14ac:dyDescent="0.3">
      <c r="A1781" s="3" t="s">
        <v>87</v>
      </c>
      <c r="B1781" s="3" t="s">
        <v>88</v>
      </c>
      <c r="C1781" s="3" t="s">
        <v>42</v>
      </c>
      <c r="D1781" s="3" t="s">
        <v>331</v>
      </c>
      <c r="E1781" s="6"/>
      <c r="F1781" s="6"/>
      <c r="G1781" s="3" t="s">
        <v>44</v>
      </c>
      <c r="H1781" s="3" t="s">
        <v>27</v>
      </c>
      <c r="I1781" s="3" t="s">
        <v>21</v>
      </c>
    </row>
    <row r="1782" spans="1:9" s="3" customFormat="1" x14ac:dyDescent="0.3">
      <c r="A1782" s="3" t="s">
        <v>224</v>
      </c>
      <c r="B1782" s="3" t="s">
        <v>225</v>
      </c>
      <c r="C1782" s="3" t="s">
        <v>64</v>
      </c>
      <c r="D1782" s="3" t="s">
        <v>253</v>
      </c>
      <c r="E1782" s="6">
        <v>0.34930555555555554</v>
      </c>
      <c r="F1782" s="6">
        <v>0.8666666666666667</v>
      </c>
      <c r="G1782" s="3" t="s">
        <v>13</v>
      </c>
      <c r="H1782" s="3" t="s">
        <v>14</v>
      </c>
      <c r="I1782" s="3" t="s">
        <v>21</v>
      </c>
    </row>
    <row r="1783" spans="1:9" s="3" customFormat="1" x14ac:dyDescent="0.3">
      <c r="A1783" s="3" t="s">
        <v>28</v>
      </c>
      <c r="B1783" s="3" t="s">
        <v>29</v>
      </c>
      <c r="C1783" s="3" t="s">
        <v>60</v>
      </c>
      <c r="D1783" s="3" t="s">
        <v>311</v>
      </c>
      <c r="E1783" s="6"/>
      <c r="F1783" s="6"/>
      <c r="G1783" s="3" t="s">
        <v>125</v>
      </c>
      <c r="H1783" s="3" t="s">
        <v>27</v>
      </c>
      <c r="I1783" s="3" t="s">
        <v>15</v>
      </c>
    </row>
    <row r="1784" spans="1:9" s="3" customFormat="1" x14ac:dyDescent="0.3">
      <c r="A1784" s="3" t="s">
        <v>213</v>
      </c>
      <c r="B1784" s="3" t="s">
        <v>214</v>
      </c>
      <c r="C1784" s="3" t="s">
        <v>42</v>
      </c>
      <c r="D1784" s="3" t="s">
        <v>259</v>
      </c>
      <c r="E1784" s="6"/>
      <c r="F1784" s="6"/>
      <c r="G1784" s="3" t="s">
        <v>44</v>
      </c>
      <c r="H1784" s="3" t="s">
        <v>27</v>
      </c>
      <c r="I1784" s="3" t="s">
        <v>21</v>
      </c>
    </row>
    <row r="1785" spans="1:9" s="3" customFormat="1" x14ac:dyDescent="0.3">
      <c r="A1785" s="3" t="s">
        <v>96</v>
      </c>
      <c r="B1785" s="3" t="s">
        <v>97</v>
      </c>
      <c r="C1785" s="3" t="s">
        <v>60</v>
      </c>
      <c r="D1785" s="3" t="s">
        <v>173</v>
      </c>
      <c r="E1785" s="6"/>
      <c r="F1785" s="6"/>
      <c r="G1785" s="3" t="s">
        <v>44</v>
      </c>
      <c r="H1785" s="3" t="s">
        <v>14</v>
      </c>
      <c r="I1785" s="3" t="s">
        <v>21</v>
      </c>
    </row>
    <row r="1786" spans="1:9" s="3" customFormat="1" x14ac:dyDescent="0.3">
      <c r="A1786" s="3" t="s">
        <v>141</v>
      </c>
      <c r="B1786" s="3" t="s">
        <v>142</v>
      </c>
      <c r="C1786" s="3" t="s">
        <v>42</v>
      </c>
      <c r="D1786" s="3" t="s">
        <v>36</v>
      </c>
      <c r="E1786" s="6">
        <v>0.3611111111111111</v>
      </c>
      <c r="F1786" s="6">
        <v>0.71736111111111112</v>
      </c>
      <c r="G1786" s="3" t="s">
        <v>149</v>
      </c>
      <c r="H1786" s="3" t="s">
        <v>27</v>
      </c>
      <c r="I1786" s="3" t="s">
        <v>21</v>
      </c>
    </row>
    <row r="1787" spans="1:9" s="3" customFormat="1" x14ac:dyDescent="0.3">
      <c r="A1787" s="3" t="s">
        <v>99</v>
      </c>
      <c r="B1787" s="3" t="s">
        <v>100</v>
      </c>
      <c r="C1787" s="3" t="s">
        <v>18</v>
      </c>
      <c r="D1787" s="3" t="s">
        <v>241</v>
      </c>
      <c r="E1787" s="6">
        <v>0.47222222222222221</v>
      </c>
      <c r="F1787" s="6">
        <v>0.86111111111111116</v>
      </c>
      <c r="G1787" s="3" t="s">
        <v>13</v>
      </c>
      <c r="H1787" s="3" t="s">
        <v>14</v>
      </c>
      <c r="I1787" s="3" t="s">
        <v>15</v>
      </c>
    </row>
    <row r="1788" spans="1:9" s="3" customFormat="1" x14ac:dyDescent="0.3">
      <c r="A1788" s="3" t="s">
        <v>84</v>
      </c>
      <c r="B1788" s="3" t="s">
        <v>85</v>
      </c>
      <c r="C1788" s="3" t="s">
        <v>60</v>
      </c>
      <c r="D1788" s="3" t="s">
        <v>267</v>
      </c>
      <c r="E1788" s="6"/>
      <c r="F1788" s="6"/>
      <c r="G1788" s="3" t="s">
        <v>44</v>
      </c>
      <c r="H1788" s="3" t="s">
        <v>27</v>
      </c>
      <c r="I1788" s="3" t="s">
        <v>21</v>
      </c>
    </row>
    <row r="1789" spans="1:9" s="3" customFormat="1" x14ac:dyDescent="0.3">
      <c r="A1789" s="3" t="s">
        <v>96</v>
      </c>
      <c r="B1789" s="3" t="s">
        <v>97</v>
      </c>
      <c r="C1789" s="3" t="s">
        <v>18</v>
      </c>
      <c r="D1789" s="3" t="s">
        <v>327</v>
      </c>
      <c r="E1789" s="6">
        <v>0.40138888888888891</v>
      </c>
      <c r="F1789" s="6">
        <v>0.83472222222222225</v>
      </c>
      <c r="G1789" s="3" t="s">
        <v>13</v>
      </c>
      <c r="H1789" s="3" t="s">
        <v>27</v>
      </c>
      <c r="I1789" s="3" t="s">
        <v>15</v>
      </c>
    </row>
    <row r="1790" spans="1:9" s="3" customFormat="1" x14ac:dyDescent="0.3">
      <c r="A1790" s="3" t="s">
        <v>99</v>
      </c>
      <c r="B1790" s="3" t="s">
        <v>100</v>
      </c>
      <c r="C1790" s="3" t="s">
        <v>60</v>
      </c>
      <c r="D1790" s="3" t="s">
        <v>385</v>
      </c>
      <c r="E1790" s="6">
        <v>0.44374999999999998</v>
      </c>
      <c r="F1790" s="6">
        <v>0.87361111111111112</v>
      </c>
      <c r="G1790" s="3" t="s">
        <v>26</v>
      </c>
      <c r="H1790" s="3" t="s">
        <v>27</v>
      </c>
      <c r="I1790" s="3" t="s">
        <v>21</v>
      </c>
    </row>
    <row r="1791" spans="1:9" s="3" customFormat="1" x14ac:dyDescent="0.3">
      <c r="A1791" s="3" t="s">
        <v>112</v>
      </c>
      <c r="B1791" s="3" t="s">
        <v>113</v>
      </c>
      <c r="C1791" s="3" t="s">
        <v>60</v>
      </c>
      <c r="D1791" s="3" t="s">
        <v>308</v>
      </c>
      <c r="E1791" s="6">
        <v>0.36458333333333331</v>
      </c>
      <c r="F1791" s="6">
        <v>0.8666666666666667</v>
      </c>
      <c r="G1791" s="3" t="s">
        <v>26</v>
      </c>
      <c r="H1791" s="3" t="s">
        <v>27</v>
      </c>
      <c r="I1791" s="3" t="s">
        <v>21</v>
      </c>
    </row>
    <row r="1792" spans="1:9" s="3" customFormat="1" x14ac:dyDescent="0.3">
      <c r="A1792" s="3" t="s">
        <v>187</v>
      </c>
      <c r="B1792" s="3" t="s">
        <v>188</v>
      </c>
      <c r="C1792" s="3" t="s">
        <v>42</v>
      </c>
      <c r="D1792" s="3" t="s">
        <v>207</v>
      </c>
      <c r="E1792" s="6">
        <v>0.40833333333333333</v>
      </c>
      <c r="F1792" s="6">
        <v>0.79861111111111116</v>
      </c>
      <c r="G1792" s="3" t="s">
        <v>20</v>
      </c>
      <c r="H1792" s="3" t="s">
        <v>14</v>
      </c>
      <c r="I1792" s="3" t="s">
        <v>21</v>
      </c>
    </row>
    <row r="1793" spans="1:9" s="3" customFormat="1" x14ac:dyDescent="0.3">
      <c r="A1793" s="3" t="s">
        <v>119</v>
      </c>
      <c r="B1793" s="3" t="s">
        <v>120</v>
      </c>
      <c r="C1793" s="3" t="s">
        <v>60</v>
      </c>
      <c r="D1793" s="3" t="s">
        <v>185</v>
      </c>
      <c r="E1793" s="6">
        <v>0.37708333333333333</v>
      </c>
      <c r="F1793" s="6">
        <v>0.86111111111111116</v>
      </c>
      <c r="G1793" s="3" t="s">
        <v>26</v>
      </c>
      <c r="H1793" s="3" t="s">
        <v>14</v>
      </c>
      <c r="I1793" s="3" t="s">
        <v>21</v>
      </c>
    </row>
    <row r="1794" spans="1:9" s="3" customFormat="1" x14ac:dyDescent="0.3">
      <c r="A1794" s="3" t="s">
        <v>204</v>
      </c>
      <c r="B1794" s="3" t="s">
        <v>205</v>
      </c>
      <c r="C1794" s="3" t="s">
        <v>60</v>
      </c>
      <c r="D1794" s="3" t="s">
        <v>300</v>
      </c>
      <c r="E1794" s="6">
        <v>0.36527777777777776</v>
      </c>
      <c r="F1794" s="6">
        <v>0.85763888888888884</v>
      </c>
      <c r="G1794" s="3" t="s">
        <v>20</v>
      </c>
      <c r="H1794" s="3" t="s">
        <v>27</v>
      </c>
      <c r="I1794" s="3" t="s">
        <v>21</v>
      </c>
    </row>
    <row r="1795" spans="1:9" s="3" customFormat="1" x14ac:dyDescent="0.3">
      <c r="A1795" s="3" t="s">
        <v>115</v>
      </c>
      <c r="B1795" s="3" t="s">
        <v>116</v>
      </c>
      <c r="C1795" s="3" t="s">
        <v>18</v>
      </c>
      <c r="D1795" s="3" t="s">
        <v>221</v>
      </c>
      <c r="E1795" s="6"/>
      <c r="F1795" s="6"/>
      <c r="G1795" s="3" t="s">
        <v>44</v>
      </c>
      <c r="H1795" s="3" t="s">
        <v>27</v>
      </c>
      <c r="I1795" s="3" t="s">
        <v>21</v>
      </c>
    </row>
    <row r="1796" spans="1:9" s="3" customFormat="1" x14ac:dyDescent="0.3">
      <c r="A1796" s="3" t="s">
        <v>45</v>
      </c>
      <c r="B1796" s="3" t="s">
        <v>46</v>
      </c>
      <c r="C1796" s="3" t="s">
        <v>18</v>
      </c>
      <c r="D1796" s="3" t="s">
        <v>382</v>
      </c>
      <c r="E1796" s="6"/>
      <c r="F1796" s="6"/>
      <c r="G1796" s="3" t="s">
        <v>44</v>
      </c>
      <c r="H1796" s="3" t="s">
        <v>14</v>
      </c>
      <c r="I1796" s="3" t="s">
        <v>21</v>
      </c>
    </row>
    <row r="1797" spans="1:9" s="3" customFormat="1" x14ac:dyDescent="0.3">
      <c r="A1797" s="3" t="s">
        <v>130</v>
      </c>
      <c r="B1797" s="3" t="s">
        <v>131</v>
      </c>
      <c r="C1797" s="3" t="s">
        <v>24</v>
      </c>
      <c r="D1797" s="3" t="s">
        <v>178</v>
      </c>
      <c r="E1797" s="6">
        <v>0.37916666666666665</v>
      </c>
      <c r="F1797" s="6">
        <v>0.74236111111111114</v>
      </c>
      <c r="G1797" s="3" t="s">
        <v>20</v>
      </c>
      <c r="H1797" s="3" t="s">
        <v>27</v>
      </c>
      <c r="I1797" s="3" t="s">
        <v>21</v>
      </c>
    </row>
    <row r="1798" spans="1:9" s="3" customFormat="1" x14ac:dyDescent="0.3">
      <c r="A1798" s="3" t="s">
        <v>62</v>
      </c>
      <c r="B1798" s="3" t="s">
        <v>63</v>
      </c>
      <c r="C1798" s="3" t="s">
        <v>64</v>
      </c>
      <c r="D1798" s="3" t="s">
        <v>346</v>
      </c>
      <c r="E1798" s="6">
        <v>0.34513888888888888</v>
      </c>
      <c r="F1798" s="6">
        <v>0.68958333333333333</v>
      </c>
      <c r="G1798" s="3" t="s">
        <v>26</v>
      </c>
      <c r="H1798" s="3" t="s">
        <v>14</v>
      </c>
      <c r="I1798" s="3" t="s">
        <v>21</v>
      </c>
    </row>
    <row r="1799" spans="1:9" s="3" customFormat="1" x14ac:dyDescent="0.3">
      <c r="A1799" s="3" t="s">
        <v>22</v>
      </c>
      <c r="B1799" s="3" t="s">
        <v>23</v>
      </c>
      <c r="C1799" s="3" t="s">
        <v>42</v>
      </c>
      <c r="D1799" s="3" t="s">
        <v>105</v>
      </c>
      <c r="E1799" s="6"/>
      <c r="F1799" s="6"/>
      <c r="G1799" s="3" t="s">
        <v>44</v>
      </c>
      <c r="H1799" s="3" t="s">
        <v>27</v>
      </c>
      <c r="I1799" s="3" t="s">
        <v>21</v>
      </c>
    </row>
    <row r="1800" spans="1:9" s="3" customFormat="1" x14ac:dyDescent="0.3">
      <c r="A1800" s="3" t="s">
        <v>28</v>
      </c>
      <c r="B1800" s="3" t="s">
        <v>29</v>
      </c>
      <c r="C1800" s="3" t="s">
        <v>18</v>
      </c>
      <c r="D1800" s="3" t="s">
        <v>406</v>
      </c>
      <c r="E1800" s="6">
        <v>0.41458333333333336</v>
      </c>
      <c r="F1800" s="6">
        <v>0.77083333333333337</v>
      </c>
      <c r="G1800" s="3" t="s">
        <v>13</v>
      </c>
      <c r="H1800" s="3" t="s">
        <v>27</v>
      </c>
      <c r="I1800" s="3" t="s">
        <v>15</v>
      </c>
    </row>
    <row r="1801" spans="1:9" s="3" customFormat="1" x14ac:dyDescent="0.3">
      <c r="A1801" s="3" t="s">
        <v>146</v>
      </c>
      <c r="B1801" s="3" t="s">
        <v>147</v>
      </c>
      <c r="C1801" s="3" t="s">
        <v>18</v>
      </c>
      <c r="D1801" s="3" t="s">
        <v>168</v>
      </c>
      <c r="E1801" s="6"/>
      <c r="F1801" s="6"/>
      <c r="G1801" s="3" t="s">
        <v>44</v>
      </c>
      <c r="H1801" s="3" t="s">
        <v>27</v>
      </c>
      <c r="I1801" s="3" t="s">
        <v>15</v>
      </c>
    </row>
    <row r="1802" spans="1:9" s="3" customFormat="1" x14ac:dyDescent="0.3">
      <c r="A1802" s="3" t="s">
        <v>291</v>
      </c>
      <c r="B1802" s="3" t="s">
        <v>292</v>
      </c>
      <c r="C1802" s="3" t="s">
        <v>18</v>
      </c>
      <c r="D1802" s="3" t="s">
        <v>326</v>
      </c>
      <c r="E1802" s="6"/>
      <c r="F1802" s="6"/>
      <c r="G1802" s="3" t="s">
        <v>44</v>
      </c>
      <c r="H1802" s="3" t="s">
        <v>27</v>
      </c>
      <c r="I1802" s="3" t="s">
        <v>21</v>
      </c>
    </row>
    <row r="1803" spans="1:9" s="3" customFormat="1" x14ac:dyDescent="0.3">
      <c r="A1803" s="3" t="s">
        <v>55</v>
      </c>
      <c r="B1803" s="3" t="s">
        <v>56</v>
      </c>
      <c r="C1803" s="3" t="s">
        <v>18</v>
      </c>
      <c r="D1803" s="3" t="s">
        <v>277</v>
      </c>
      <c r="E1803" s="6">
        <v>0.34652777777777777</v>
      </c>
      <c r="F1803" s="6">
        <v>0.79374999999999996</v>
      </c>
      <c r="G1803" s="3" t="s">
        <v>13</v>
      </c>
      <c r="H1803" s="3" t="s">
        <v>27</v>
      </c>
      <c r="I1803" s="3" t="s">
        <v>15</v>
      </c>
    </row>
    <row r="1804" spans="1:9" s="3" customFormat="1" x14ac:dyDescent="0.3">
      <c r="A1804" s="3" t="s">
        <v>269</v>
      </c>
      <c r="B1804" s="3" t="s">
        <v>270</v>
      </c>
      <c r="C1804" s="3" t="s">
        <v>42</v>
      </c>
      <c r="D1804" s="3" t="s">
        <v>309</v>
      </c>
      <c r="E1804" s="6"/>
      <c r="F1804" s="6"/>
      <c r="G1804" s="3" t="s">
        <v>44</v>
      </c>
      <c r="H1804" s="3" t="s">
        <v>27</v>
      </c>
      <c r="I1804" s="3" t="s">
        <v>21</v>
      </c>
    </row>
    <row r="1805" spans="1:9" s="3" customFormat="1" x14ac:dyDescent="0.3">
      <c r="A1805" s="3" t="s">
        <v>191</v>
      </c>
      <c r="B1805" s="3" t="s">
        <v>192</v>
      </c>
      <c r="C1805" s="3" t="s">
        <v>60</v>
      </c>
      <c r="D1805" s="3" t="s">
        <v>273</v>
      </c>
      <c r="E1805" s="6">
        <v>0.4777777777777778</v>
      </c>
      <c r="F1805" s="6">
        <v>0.85486111111111107</v>
      </c>
      <c r="G1805" s="3" t="s">
        <v>13</v>
      </c>
      <c r="H1805" s="3" t="s">
        <v>14</v>
      </c>
      <c r="I1805" s="3" t="s">
        <v>21</v>
      </c>
    </row>
    <row r="1806" spans="1:9" s="3" customFormat="1" x14ac:dyDescent="0.3">
      <c r="A1806" s="3" t="s">
        <v>112</v>
      </c>
      <c r="B1806" s="3" t="s">
        <v>113</v>
      </c>
      <c r="C1806" s="3" t="s">
        <v>18</v>
      </c>
      <c r="D1806" s="3" t="s">
        <v>232</v>
      </c>
      <c r="E1806" s="6">
        <v>0.44374999999999998</v>
      </c>
      <c r="F1806" s="6">
        <v>0.75972222222222219</v>
      </c>
      <c r="G1806" s="3" t="s">
        <v>20</v>
      </c>
      <c r="H1806" s="3" t="s">
        <v>14</v>
      </c>
      <c r="I1806" s="3" t="s">
        <v>21</v>
      </c>
    </row>
    <row r="1807" spans="1:9" s="3" customFormat="1" x14ac:dyDescent="0.3">
      <c r="A1807" s="3" t="s">
        <v>9</v>
      </c>
      <c r="B1807" s="3" t="s">
        <v>10</v>
      </c>
      <c r="C1807" s="3" t="s">
        <v>64</v>
      </c>
      <c r="D1807" s="3" t="s">
        <v>356</v>
      </c>
      <c r="E1807" s="6">
        <v>0.43402777777777779</v>
      </c>
      <c r="F1807" s="6">
        <v>0.79861111111111116</v>
      </c>
      <c r="G1807" s="3" t="s">
        <v>20</v>
      </c>
      <c r="H1807" s="3" t="s">
        <v>14</v>
      </c>
      <c r="I1807" s="3" t="s">
        <v>15</v>
      </c>
    </row>
    <row r="1808" spans="1:9" s="3" customFormat="1" x14ac:dyDescent="0.3">
      <c r="A1808" s="3" t="s">
        <v>204</v>
      </c>
      <c r="B1808" s="3" t="s">
        <v>205</v>
      </c>
      <c r="C1808" s="3" t="s">
        <v>64</v>
      </c>
      <c r="D1808" s="3" t="s">
        <v>369</v>
      </c>
      <c r="E1808" s="6"/>
      <c r="F1808" s="6"/>
      <c r="G1808" s="3" t="s">
        <v>44</v>
      </c>
      <c r="H1808" s="3" t="s">
        <v>14</v>
      </c>
      <c r="I1808" s="3" t="s">
        <v>15</v>
      </c>
    </row>
    <row r="1809" spans="1:9" s="3" customFormat="1" x14ac:dyDescent="0.3">
      <c r="A1809" s="3" t="s">
        <v>66</v>
      </c>
      <c r="B1809" s="3" t="s">
        <v>67</v>
      </c>
      <c r="C1809" s="3" t="s">
        <v>60</v>
      </c>
      <c r="D1809" s="3" t="s">
        <v>169</v>
      </c>
      <c r="E1809" s="6"/>
      <c r="F1809" s="6"/>
      <c r="G1809" s="3" t="s">
        <v>44</v>
      </c>
      <c r="H1809" s="3" t="s">
        <v>14</v>
      </c>
      <c r="I1809" s="3" t="s">
        <v>21</v>
      </c>
    </row>
    <row r="1810" spans="1:9" s="3" customFormat="1" x14ac:dyDescent="0.3">
      <c r="A1810" s="3" t="s">
        <v>197</v>
      </c>
      <c r="B1810" s="3" t="s">
        <v>198</v>
      </c>
      <c r="C1810" s="3" t="s">
        <v>60</v>
      </c>
      <c r="D1810" s="3" t="s">
        <v>399</v>
      </c>
      <c r="E1810" s="6"/>
      <c r="F1810" s="6"/>
      <c r="G1810" s="3" t="s">
        <v>44</v>
      </c>
      <c r="H1810" s="3" t="s">
        <v>27</v>
      </c>
      <c r="I1810" s="3" t="s">
        <v>21</v>
      </c>
    </row>
    <row r="1811" spans="1:9" s="3" customFormat="1" x14ac:dyDescent="0.3">
      <c r="A1811" s="3" t="s">
        <v>269</v>
      </c>
      <c r="B1811" s="3" t="s">
        <v>270</v>
      </c>
      <c r="C1811" s="3" t="s">
        <v>42</v>
      </c>
      <c r="D1811" s="3" t="s">
        <v>25</v>
      </c>
      <c r="E1811" s="6">
        <v>0.47291666666666665</v>
      </c>
      <c r="F1811" s="6">
        <v>0.68402777777777779</v>
      </c>
      <c r="G1811" s="3" t="s">
        <v>170</v>
      </c>
      <c r="H1811" s="3" t="s">
        <v>14</v>
      </c>
      <c r="I1811" s="3" t="s">
        <v>15</v>
      </c>
    </row>
    <row r="1812" spans="1:9" s="3" customFormat="1" x14ac:dyDescent="0.3">
      <c r="A1812" s="3" t="s">
        <v>115</v>
      </c>
      <c r="B1812" s="3" t="s">
        <v>116</v>
      </c>
      <c r="C1812" s="3" t="s">
        <v>64</v>
      </c>
      <c r="D1812" s="3" t="s">
        <v>234</v>
      </c>
      <c r="E1812" s="6">
        <v>0.4909722222222222</v>
      </c>
      <c r="F1812" s="6">
        <v>0.77500000000000002</v>
      </c>
      <c r="G1812" s="3" t="s">
        <v>20</v>
      </c>
      <c r="H1812" s="3" t="s">
        <v>14</v>
      </c>
      <c r="I1812" s="3" t="s">
        <v>21</v>
      </c>
    </row>
    <row r="1813" spans="1:9" s="3" customFormat="1" x14ac:dyDescent="0.3">
      <c r="A1813" s="3" t="s">
        <v>93</v>
      </c>
      <c r="B1813" s="3" t="s">
        <v>94</v>
      </c>
      <c r="C1813" s="3" t="s">
        <v>60</v>
      </c>
      <c r="D1813" s="3" t="s">
        <v>393</v>
      </c>
      <c r="E1813" s="6"/>
      <c r="F1813" s="6"/>
      <c r="G1813" s="3" t="s">
        <v>44</v>
      </c>
      <c r="H1813" s="3" t="s">
        <v>27</v>
      </c>
      <c r="I1813" s="3" t="s">
        <v>21</v>
      </c>
    </row>
    <row r="1814" spans="1:9" s="3" customFormat="1" x14ac:dyDescent="0.3">
      <c r="A1814" s="3" t="s">
        <v>69</v>
      </c>
      <c r="B1814" s="3" t="s">
        <v>70</v>
      </c>
      <c r="C1814" s="3" t="s">
        <v>42</v>
      </c>
      <c r="D1814" s="3" t="s">
        <v>281</v>
      </c>
      <c r="E1814" s="6">
        <v>0.45277777777777778</v>
      </c>
      <c r="F1814" s="6">
        <v>0.73611111111111116</v>
      </c>
      <c r="G1814" s="3" t="s">
        <v>13</v>
      </c>
      <c r="H1814" s="3" t="s">
        <v>14</v>
      </c>
      <c r="I1814" s="3" t="s">
        <v>15</v>
      </c>
    </row>
    <row r="1815" spans="1:9" s="3" customFormat="1" x14ac:dyDescent="0.3">
      <c r="A1815" s="3" t="s">
        <v>99</v>
      </c>
      <c r="B1815" s="3" t="s">
        <v>100</v>
      </c>
      <c r="C1815" s="3" t="s">
        <v>42</v>
      </c>
      <c r="D1815" s="3" t="s">
        <v>310</v>
      </c>
      <c r="E1815" s="6">
        <v>0.41180555555555554</v>
      </c>
      <c r="F1815" s="6">
        <v>0.77638888888888891</v>
      </c>
      <c r="G1815" s="3" t="s">
        <v>26</v>
      </c>
      <c r="H1815" s="3" t="s">
        <v>27</v>
      </c>
      <c r="I1815" s="3" t="s">
        <v>21</v>
      </c>
    </row>
    <row r="1816" spans="1:9" s="3" customFormat="1" x14ac:dyDescent="0.3">
      <c r="A1816" s="3" t="s">
        <v>115</v>
      </c>
      <c r="B1816" s="3" t="s">
        <v>116</v>
      </c>
      <c r="C1816" s="3" t="s">
        <v>18</v>
      </c>
      <c r="D1816" s="3" t="s">
        <v>203</v>
      </c>
      <c r="E1816" s="6">
        <v>0.42499999999999999</v>
      </c>
      <c r="F1816" s="6">
        <v>0.72847222222222219</v>
      </c>
      <c r="G1816" s="3" t="s">
        <v>13</v>
      </c>
      <c r="H1816" s="3" t="s">
        <v>27</v>
      </c>
      <c r="I1816" s="3" t="s">
        <v>21</v>
      </c>
    </row>
    <row r="1817" spans="1:9" s="3" customFormat="1" x14ac:dyDescent="0.3">
      <c r="A1817" s="3" t="s">
        <v>236</v>
      </c>
      <c r="B1817" s="3" t="s">
        <v>237</v>
      </c>
      <c r="C1817" s="3" t="s">
        <v>64</v>
      </c>
      <c r="D1817" s="3" t="s">
        <v>80</v>
      </c>
      <c r="E1817" s="6"/>
      <c r="F1817" s="6"/>
      <c r="G1817" s="3" t="s">
        <v>44</v>
      </c>
      <c r="H1817" s="3" t="s">
        <v>14</v>
      </c>
      <c r="I1817" s="3" t="s">
        <v>15</v>
      </c>
    </row>
    <row r="1818" spans="1:9" s="3" customFormat="1" x14ac:dyDescent="0.3">
      <c r="A1818" s="3" t="s">
        <v>236</v>
      </c>
      <c r="B1818" s="3" t="s">
        <v>237</v>
      </c>
      <c r="C1818" s="3" t="s">
        <v>60</v>
      </c>
      <c r="D1818" s="3" t="s">
        <v>212</v>
      </c>
      <c r="E1818" s="6">
        <v>0.42986111111111114</v>
      </c>
      <c r="F1818" s="6">
        <v>0.72430555555555554</v>
      </c>
      <c r="G1818" s="3" t="s">
        <v>20</v>
      </c>
      <c r="H1818" s="3" t="s">
        <v>14</v>
      </c>
      <c r="I1818" s="3" t="s">
        <v>21</v>
      </c>
    </row>
    <row r="1819" spans="1:9" s="3" customFormat="1" x14ac:dyDescent="0.3">
      <c r="A1819" s="3" t="s">
        <v>130</v>
      </c>
      <c r="B1819" s="3" t="s">
        <v>131</v>
      </c>
      <c r="C1819" s="3" t="s">
        <v>18</v>
      </c>
      <c r="D1819" s="3" t="s">
        <v>229</v>
      </c>
      <c r="E1819" s="6">
        <v>0.44791666666666669</v>
      </c>
      <c r="F1819" s="6">
        <v>0.6875</v>
      </c>
      <c r="G1819" s="3" t="s">
        <v>20</v>
      </c>
      <c r="H1819" s="3" t="s">
        <v>14</v>
      </c>
      <c r="I1819" s="3" t="s">
        <v>15</v>
      </c>
    </row>
    <row r="1820" spans="1:9" s="3" customFormat="1" x14ac:dyDescent="0.3">
      <c r="A1820" s="3" t="s">
        <v>99</v>
      </c>
      <c r="B1820" s="3" t="s">
        <v>100</v>
      </c>
      <c r="C1820" s="3" t="s">
        <v>18</v>
      </c>
      <c r="D1820" s="3" t="s">
        <v>393</v>
      </c>
      <c r="E1820" s="6">
        <v>0.38333333333333336</v>
      </c>
      <c r="F1820" s="6">
        <v>0.79513888888888884</v>
      </c>
      <c r="G1820" s="3" t="s">
        <v>170</v>
      </c>
      <c r="H1820" s="3" t="s">
        <v>27</v>
      </c>
      <c r="I1820" s="3" t="s">
        <v>15</v>
      </c>
    </row>
    <row r="1821" spans="1:9" s="3" customFormat="1" x14ac:dyDescent="0.3">
      <c r="A1821" s="3" t="s">
        <v>250</v>
      </c>
      <c r="B1821" s="3" t="s">
        <v>251</v>
      </c>
      <c r="C1821" s="3" t="s">
        <v>42</v>
      </c>
      <c r="D1821" s="3" t="s">
        <v>366</v>
      </c>
      <c r="E1821" s="6"/>
      <c r="F1821" s="6"/>
      <c r="G1821" s="3" t="s">
        <v>44</v>
      </c>
      <c r="H1821" s="3" t="s">
        <v>14</v>
      </c>
      <c r="I1821" s="3" t="s">
        <v>21</v>
      </c>
    </row>
    <row r="1822" spans="1:9" s="3" customFormat="1" x14ac:dyDescent="0.3">
      <c r="A1822" s="3" t="s">
        <v>75</v>
      </c>
      <c r="B1822" s="3" t="s">
        <v>76</v>
      </c>
      <c r="C1822" s="3" t="s">
        <v>24</v>
      </c>
      <c r="D1822" s="3" t="s">
        <v>325</v>
      </c>
      <c r="E1822" s="6"/>
      <c r="F1822" s="6"/>
      <c r="G1822" s="3" t="s">
        <v>44</v>
      </c>
      <c r="H1822" s="3" t="s">
        <v>14</v>
      </c>
      <c r="I1822" s="3" t="s">
        <v>21</v>
      </c>
    </row>
    <row r="1823" spans="1:9" s="3" customFormat="1" x14ac:dyDescent="0.3">
      <c r="A1823" s="3" t="s">
        <v>37</v>
      </c>
      <c r="B1823" s="3" t="s">
        <v>38</v>
      </c>
      <c r="C1823" s="3" t="s">
        <v>18</v>
      </c>
      <c r="D1823" s="3" t="s">
        <v>305</v>
      </c>
      <c r="E1823" s="6">
        <v>0.37777777777777777</v>
      </c>
      <c r="F1823" s="6">
        <v>0.81111111111111112</v>
      </c>
      <c r="G1823" s="3" t="s">
        <v>13</v>
      </c>
      <c r="H1823" s="3" t="s">
        <v>14</v>
      </c>
      <c r="I1823" s="3" t="s">
        <v>15</v>
      </c>
    </row>
    <row r="1824" spans="1:9" s="3" customFormat="1" x14ac:dyDescent="0.3">
      <c r="A1824" s="3" t="s">
        <v>84</v>
      </c>
      <c r="B1824" s="3" t="s">
        <v>85</v>
      </c>
      <c r="C1824" s="3" t="s">
        <v>18</v>
      </c>
      <c r="D1824" s="3" t="s">
        <v>349</v>
      </c>
      <c r="E1824" s="6">
        <v>0.44513888888888886</v>
      </c>
      <c r="F1824" s="6">
        <v>0.86597222222222225</v>
      </c>
      <c r="G1824" s="3" t="s">
        <v>26</v>
      </c>
      <c r="H1824" s="3" t="s">
        <v>27</v>
      </c>
      <c r="I1824" s="3" t="s">
        <v>21</v>
      </c>
    </row>
    <row r="1825" spans="1:9" s="3" customFormat="1" x14ac:dyDescent="0.3">
      <c r="A1825" s="3" t="s">
        <v>191</v>
      </c>
      <c r="B1825" s="3" t="s">
        <v>192</v>
      </c>
      <c r="C1825" s="3" t="s">
        <v>42</v>
      </c>
      <c r="D1825" s="3" t="s">
        <v>261</v>
      </c>
      <c r="E1825" s="6">
        <v>0.34375</v>
      </c>
      <c r="F1825" s="6">
        <v>0.72222222222222221</v>
      </c>
      <c r="G1825" s="3" t="s">
        <v>26</v>
      </c>
      <c r="H1825" s="3" t="s">
        <v>14</v>
      </c>
      <c r="I1825" s="3" t="s">
        <v>21</v>
      </c>
    </row>
    <row r="1826" spans="1:9" s="3" customFormat="1" x14ac:dyDescent="0.3">
      <c r="A1826" s="3" t="s">
        <v>22</v>
      </c>
      <c r="B1826" s="3" t="s">
        <v>23</v>
      </c>
      <c r="C1826" s="3" t="s">
        <v>42</v>
      </c>
      <c r="D1826" s="3" t="s">
        <v>391</v>
      </c>
      <c r="E1826" s="6"/>
      <c r="F1826" s="6"/>
      <c r="G1826" s="3" t="s">
        <v>44</v>
      </c>
      <c r="H1826" s="3" t="s">
        <v>14</v>
      </c>
      <c r="I1826" s="3" t="s">
        <v>21</v>
      </c>
    </row>
    <row r="1827" spans="1:9" s="3" customFormat="1" x14ac:dyDescent="0.3">
      <c r="A1827" s="3" t="s">
        <v>96</v>
      </c>
      <c r="B1827" s="3" t="s">
        <v>97</v>
      </c>
      <c r="C1827" s="3" t="s">
        <v>64</v>
      </c>
      <c r="D1827" s="3" t="s">
        <v>220</v>
      </c>
      <c r="E1827" s="6">
        <v>0.34444444444444444</v>
      </c>
      <c r="F1827" s="6">
        <v>0.77638888888888891</v>
      </c>
      <c r="G1827" s="3" t="s">
        <v>13</v>
      </c>
      <c r="H1827" s="3" t="s">
        <v>14</v>
      </c>
      <c r="I1827" s="3" t="s">
        <v>15</v>
      </c>
    </row>
    <row r="1828" spans="1:9" s="3" customFormat="1" x14ac:dyDescent="0.3">
      <c r="A1828" s="3" t="s">
        <v>130</v>
      </c>
      <c r="B1828" s="3" t="s">
        <v>131</v>
      </c>
      <c r="C1828" s="3" t="s">
        <v>18</v>
      </c>
      <c r="D1828" s="3" t="s">
        <v>353</v>
      </c>
      <c r="E1828" s="6"/>
      <c r="F1828" s="6"/>
      <c r="G1828" s="3" t="s">
        <v>44</v>
      </c>
      <c r="H1828" s="3" t="s">
        <v>27</v>
      </c>
      <c r="I1828" s="3" t="s">
        <v>21</v>
      </c>
    </row>
    <row r="1829" spans="1:9" s="3" customFormat="1" x14ac:dyDescent="0.3">
      <c r="A1829" s="3" t="s">
        <v>246</v>
      </c>
      <c r="B1829" s="3" t="s">
        <v>247</v>
      </c>
      <c r="C1829" s="3" t="s">
        <v>18</v>
      </c>
      <c r="D1829" s="3" t="s">
        <v>416</v>
      </c>
      <c r="E1829" s="6"/>
      <c r="F1829" s="6"/>
      <c r="G1829" s="3" t="s">
        <v>44</v>
      </c>
      <c r="H1829" s="3" t="s">
        <v>14</v>
      </c>
      <c r="I1829" s="3" t="s">
        <v>15</v>
      </c>
    </row>
    <row r="1830" spans="1:9" s="3" customFormat="1" x14ac:dyDescent="0.3">
      <c r="A1830" s="3" t="s">
        <v>315</v>
      </c>
      <c r="B1830" s="3" t="s">
        <v>316</v>
      </c>
      <c r="C1830" s="3" t="s">
        <v>64</v>
      </c>
      <c r="D1830" s="3" t="s">
        <v>344</v>
      </c>
      <c r="E1830" s="6"/>
      <c r="F1830" s="6"/>
      <c r="G1830" s="3" t="s">
        <v>44</v>
      </c>
      <c r="H1830" s="3" t="s">
        <v>14</v>
      </c>
      <c r="I1830" s="3" t="s">
        <v>15</v>
      </c>
    </row>
    <row r="1831" spans="1:9" s="3" customFormat="1" x14ac:dyDescent="0.3">
      <c r="A1831" s="3" t="s">
        <v>146</v>
      </c>
      <c r="B1831" s="3" t="s">
        <v>147</v>
      </c>
      <c r="C1831" s="3" t="s">
        <v>64</v>
      </c>
      <c r="D1831" s="3" t="s">
        <v>327</v>
      </c>
      <c r="E1831" s="6"/>
      <c r="F1831" s="6"/>
      <c r="G1831" s="3" t="s">
        <v>44</v>
      </c>
      <c r="H1831" s="3" t="s">
        <v>27</v>
      </c>
      <c r="I1831" s="3" t="s">
        <v>21</v>
      </c>
    </row>
    <row r="1832" spans="1:9" s="3" customFormat="1" x14ac:dyDescent="0.3">
      <c r="A1832" s="3" t="s">
        <v>134</v>
      </c>
      <c r="B1832" s="3" t="s">
        <v>135</v>
      </c>
      <c r="C1832" s="3" t="s">
        <v>64</v>
      </c>
      <c r="D1832" s="3" t="s">
        <v>305</v>
      </c>
      <c r="E1832" s="6">
        <v>0.44305555555555554</v>
      </c>
      <c r="F1832" s="6">
        <v>0.68680555555555556</v>
      </c>
      <c r="G1832" s="3" t="s">
        <v>13</v>
      </c>
      <c r="H1832" s="3" t="s">
        <v>27</v>
      </c>
      <c r="I1832" s="3" t="s">
        <v>21</v>
      </c>
    </row>
    <row r="1833" spans="1:9" s="3" customFormat="1" x14ac:dyDescent="0.3">
      <c r="A1833" s="3" t="s">
        <v>16</v>
      </c>
      <c r="B1833" s="3" t="s">
        <v>17</v>
      </c>
      <c r="C1833" s="3" t="s">
        <v>60</v>
      </c>
      <c r="D1833" s="3" t="s">
        <v>117</v>
      </c>
      <c r="E1833" s="6">
        <v>0.34444444444444444</v>
      </c>
      <c r="F1833" s="6">
        <v>0.85</v>
      </c>
      <c r="G1833" s="3" t="s">
        <v>20</v>
      </c>
      <c r="H1833" s="3" t="s">
        <v>27</v>
      </c>
      <c r="I1833" s="3" t="s">
        <v>21</v>
      </c>
    </row>
    <row r="1834" spans="1:9" s="3" customFormat="1" x14ac:dyDescent="0.3">
      <c r="A1834" s="3" t="s">
        <v>62</v>
      </c>
      <c r="B1834" s="3" t="s">
        <v>63</v>
      </c>
      <c r="C1834" s="3" t="s">
        <v>18</v>
      </c>
      <c r="D1834" s="3" t="s">
        <v>245</v>
      </c>
      <c r="E1834" s="6">
        <v>0.40625</v>
      </c>
      <c r="F1834" s="6">
        <v>0.73263888888888884</v>
      </c>
      <c r="G1834" s="3" t="s">
        <v>20</v>
      </c>
      <c r="H1834" s="3" t="s">
        <v>14</v>
      </c>
      <c r="I1834" s="3" t="s">
        <v>21</v>
      </c>
    </row>
    <row r="1835" spans="1:9" s="3" customFormat="1" x14ac:dyDescent="0.3">
      <c r="A1835" s="3" t="s">
        <v>31</v>
      </c>
      <c r="B1835" s="3" t="s">
        <v>32</v>
      </c>
      <c r="C1835" s="3" t="s">
        <v>18</v>
      </c>
      <c r="D1835" s="3" t="s">
        <v>378</v>
      </c>
      <c r="E1835" s="6">
        <v>0.46180555555555558</v>
      </c>
      <c r="F1835" s="6">
        <v>0.72083333333333333</v>
      </c>
      <c r="G1835" s="3" t="s">
        <v>20</v>
      </c>
      <c r="H1835" s="3" t="s">
        <v>14</v>
      </c>
      <c r="I1835" s="3" t="s">
        <v>15</v>
      </c>
    </row>
    <row r="1836" spans="1:9" s="3" customFormat="1" x14ac:dyDescent="0.3">
      <c r="A1836" s="3" t="s">
        <v>362</v>
      </c>
      <c r="B1836" s="3" t="s">
        <v>363</v>
      </c>
      <c r="C1836" s="3" t="s">
        <v>42</v>
      </c>
      <c r="D1836" s="3" t="s">
        <v>220</v>
      </c>
      <c r="E1836" s="6">
        <v>0.40069444444444446</v>
      </c>
      <c r="F1836" s="6">
        <v>0.83333333333333337</v>
      </c>
      <c r="G1836" s="3" t="s">
        <v>20</v>
      </c>
      <c r="H1836" s="3" t="s">
        <v>27</v>
      </c>
      <c r="I1836" s="3" t="s">
        <v>15</v>
      </c>
    </row>
    <row r="1837" spans="1:9" s="3" customFormat="1" x14ac:dyDescent="0.3">
      <c r="A1837" s="3" t="s">
        <v>87</v>
      </c>
      <c r="B1837" s="3" t="s">
        <v>88</v>
      </c>
      <c r="C1837" s="3" t="s">
        <v>42</v>
      </c>
      <c r="D1837" s="3" t="s">
        <v>255</v>
      </c>
      <c r="E1837" s="6">
        <v>0.46805555555555556</v>
      </c>
      <c r="F1837" s="6">
        <v>0.74791666666666667</v>
      </c>
      <c r="G1837" s="3" t="s">
        <v>13</v>
      </c>
      <c r="H1837" s="3" t="s">
        <v>14</v>
      </c>
      <c r="I1837" s="3" t="s">
        <v>21</v>
      </c>
    </row>
    <row r="1838" spans="1:9" s="3" customFormat="1" x14ac:dyDescent="0.3">
      <c r="A1838" s="3" t="s">
        <v>28</v>
      </c>
      <c r="B1838" s="3" t="s">
        <v>29</v>
      </c>
      <c r="C1838" s="3" t="s">
        <v>42</v>
      </c>
      <c r="D1838" s="3" t="s">
        <v>186</v>
      </c>
      <c r="E1838" s="6">
        <v>0.47152777777777777</v>
      </c>
      <c r="F1838" s="6">
        <v>0.72777777777777775</v>
      </c>
      <c r="G1838" s="3" t="s">
        <v>13</v>
      </c>
      <c r="H1838" s="3" t="s">
        <v>27</v>
      </c>
      <c r="I1838" s="3" t="s">
        <v>15</v>
      </c>
    </row>
    <row r="1839" spans="1:9" s="3" customFormat="1" x14ac:dyDescent="0.3">
      <c r="A1839" s="3" t="s">
        <v>175</v>
      </c>
      <c r="B1839" s="3" t="s">
        <v>176</v>
      </c>
      <c r="C1839" s="3" t="s">
        <v>18</v>
      </c>
      <c r="D1839" s="3" t="s">
        <v>140</v>
      </c>
      <c r="E1839" s="6">
        <v>0.3659722222222222</v>
      </c>
      <c r="F1839" s="6">
        <v>0.67083333333333328</v>
      </c>
      <c r="G1839" s="3" t="s">
        <v>149</v>
      </c>
      <c r="H1839" s="3" t="s">
        <v>27</v>
      </c>
      <c r="I1839" s="3" t="s">
        <v>15</v>
      </c>
    </row>
    <row r="1840" spans="1:9" s="3" customFormat="1" x14ac:dyDescent="0.3">
      <c r="A1840" s="3" t="s">
        <v>45</v>
      </c>
      <c r="B1840" s="3" t="s">
        <v>46</v>
      </c>
      <c r="C1840" s="3" t="s">
        <v>64</v>
      </c>
      <c r="D1840" s="3" t="s">
        <v>284</v>
      </c>
      <c r="E1840" s="6">
        <v>0.43333333333333335</v>
      </c>
      <c r="F1840" s="6">
        <v>0.72430555555555554</v>
      </c>
      <c r="G1840" s="3" t="s">
        <v>20</v>
      </c>
      <c r="H1840" s="3" t="s">
        <v>27</v>
      </c>
      <c r="I1840" s="3" t="s">
        <v>21</v>
      </c>
    </row>
    <row r="1841" spans="1:9" s="3" customFormat="1" x14ac:dyDescent="0.3">
      <c r="A1841" s="3" t="s">
        <v>269</v>
      </c>
      <c r="B1841" s="3" t="s">
        <v>270</v>
      </c>
      <c r="C1841" s="3" t="s">
        <v>64</v>
      </c>
      <c r="D1841" s="3" t="s">
        <v>173</v>
      </c>
      <c r="E1841" s="6">
        <v>0.46041666666666664</v>
      </c>
      <c r="F1841" s="6">
        <v>0.81874999999999998</v>
      </c>
      <c r="G1841" s="3" t="s">
        <v>20</v>
      </c>
      <c r="H1841" s="3" t="s">
        <v>27</v>
      </c>
      <c r="I1841" s="3" t="s">
        <v>15</v>
      </c>
    </row>
    <row r="1842" spans="1:9" s="3" customFormat="1" x14ac:dyDescent="0.3">
      <c r="A1842" s="3" t="s">
        <v>165</v>
      </c>
      <c r="B1842" s="3" t="s">
        <v>166</v>
      </c>
      <c r="C1842" s="3" t="s">
        <v>60</v>
      </c>
      <c r="D1842" s="3" t="s">
        <v>369</v>
      </c>
      <c r="E1842" s="6">
        <v>0.34097222222222223</v>
      </c>
      <c r="F1842" s="6">
        <v>0.77361111111111114</v>
      </c>
      <c r="G1842" s="3" t="s">
        <v>13</v>
      </c>
      <c r="H1842" s="3" t="s">
        <v>14</v>
      </c>
      <c r="I1842" s="3" t="s">
        <v>15</v>
      </c>
    </row>
    <row r="1843" spans="1:9" s="3" customFormat="1" x14ac:dyDescent="0.3">
      <c r="A1843" s="3" t="s">
        <v>112</v>
      </c>
      <c r="B1843" s="3" t="s">
        <v>113</v>
      </c>
      <c r="C1843" s="3" t="s">
        <v>11</v>
      </c>
      <c r="D1843" s="3" t="s">
        <v>144</v>
      </c>
      <c r="E1843" s="6">
        <v>0.33680555555555558</v>
      </c>
      <c r="F1843" s="6">
        <v>0.84930555555555554</v>
      </c>
      <c r="G1843" s="3" t="s">
        <v>20</v>
      </c>
      <c r="H1843" s="3" t="s">
        <v>14</v>
      </c>
      <c r="I1843" s="3" t="s">
        <v>15</v>
      </c>
    </row>
    <row r="1844" spans="1:9" s="3" customFormat="1" x14ac:dyDescent="0.3">
      <c r="A1844" s="3" t="s">
        <v>269</v>
      </c>
      <c r="B1844" s="3" t="s">
        <v>270</v>
      </c>
      <c r="C1844" s="3" t="s">
        <v>42</v>
      </c>
      <c r="D1844" s="3" t="s">
        <v>370</v>
      </c>
      <c r="E1844" s="6"/>
      <c r="F1844" s="6"/>
      <c r="G1844" s="3" t="s">
        <v>44</v>
      </c>
      <c r="H1844" s="3" t="s">
        <v>14</v>
      </c>
      <c r="I1844" s="3" t="s">
        <v>15</v>
      </c>
    </row>
    <row r="1845" spans="1:9" s="3" customFormat="1" x14ac:dyDescent="0.3">
      <c r="A1845" s="3" t="s">
        <v>269</v>
      </c>
      <c r="B1845" s="3" t="s">
        <v>270</v>
      </c>
      <c r="C1845" s="3" t="s">
        <v>64</v>
      </c>
      <c r="D1845" s="3" t="s">
        <v>77</v>
      </c>
      <c r="E1845" s="6">
        <v>0.43125000000000002</v>
      </c>
      <c r="F1845" s="6">
        <v>0.85763888888888884</v>
      </c>
      <c r="G1845" s="3" t="s">
        <v>20</v>
      </c>
      <c r="H1845" s="3" t="s">
        <v>14</v>
      </c>
      <c r="I1845" s="3" t="s">
        <v>21</v>
      </c>
    </row>
    <row r="1846" spans="1:9" s="3" customFormat="1" x14ac:dyDescent="0.3">
      <c r="A1846" s="3" t="s">
        <v>291</v>
      </c>
      <c r="B1846" s="3" t="s">
        <v>292</v>
      </c>
      <c r="C1846" s="3" t="s">
        <v>64</v>
      </c>
      <c r="D1846" s="3" t="s">
        <v>323</v>
      </c>
      <c r="E1846" s="6">
        <v>0.35902777777777778</v>
      </c>
      <c r="F1846" s="6">
        <v>0.76041666666666663</v>
      </c>
      <c r="G1846" s="3" t="s">
        <v>26</v>
      </c>
      <c r="H1846" s="3" t="s">
        <v>14</v>
      </c>
      <c r="I1846" s="3" t="s">
        <v>21</v>
      </c>
    </row>
    <row r="1847" spans="1:9" s="3" customFormat="1" x14ac:dyDescent="0.3">
      <c r="A1847" s="3" t="s">
        <v>115</v>
      </c>
      <c r="B1847" s="3" t="s">
        <v>116</v>
      </c>
      <c r="C1847" s="3" t="s">
        <v>167</v>
      </c>
      <c r="D1847" s="3" t="s">
        <v>377</v>
      </c>
      <c r="E1847" s="6">
        <v>0.40347222222222223</v>
      </c>
      <c r="F1847" s="6">
        <v>0.7680555555555556</v>
      </c>
      <c r="G1847" s="3" t="s">
        <v>26</v>
      </c>
      <c r="H1847" s="3" t="s">
        <v>14</v>
      </c>
      <c r="I1847" s="3" t="s">
        <v>21</v>
      </c>
    </row>
    <row r="1848" spans="1:9" s="3" customFormat="1" x14ac:dyDescent="0.3">
      <c r="A1848" s="3" t="s">
        <v>187</v>
      </c>
      <c r="B1848" s="3" t="s">
        <v>188</v>
      </c>
      <c r="C1848" s="3" t="s">
        <v>24</v>
      </c>
      <c r="D1848" s="3" t="s">
        <v>140</v>
      </c>
      <c r="E1848" s="6"/>
      <c r="F1848" s="6"/>
      <c r="G1848" s="3" t="s">
        <v>44</v>
      </c>
      <c r="H1848" s="3" t="s">
        <v>27</v>
      </c>
      <c r="I1848" s="3" t="s">
        <v>15</v>
      </c>
    </row>
    <row r="1849" spans="1:9" s="3" customFormat="1" x14ac:dyDescent="0.3">
      <c r="A1849" s="3" t="s">
        <v>157</v>
      </c>
      <c r="B1849" s="3" t="s">
        <v>158</v>
      </c>
      <c r="C1849" s="3" t="s">
        <v>42</v>
      </c>
      <c r="D1849" s="3" t="s">
        <v>408</v>
      </c>
      <c r="E1849" s="6"/>
      <c r="F1849" s="6"/>
      <c r="G1849" s="3" t="s">
        <v>44</v>
      </c>
      <c r="H1849" s="3" t="s">
        <v>27</v>
      </c>
      <c r="I1849" s="3" t="s">
        <v>15</v>
      </c>
    </row>
    <row r="1850" spans="1:9" s="3" customFormat="1" x14ac:dyDescent="0.3">
      <c r="A1850" s="3" t="s">
        <v>171</v>
      </c>
      <c r="B1850" s="3" t="s">
        <v>172</v>
      </c>
      <c r="C1850" s="3" t="s">
        <v>60</v>
      </c>
      <c r="D1850" s="3" t="s">
        <v>101</v>
      </c>
      <c r="E1850" s="6"/>
      <c r="F1850" s="6"/>
      <c r="G1850" s="3" t="s">
        <v>44</v>
      </c>
      <c r="H1850" s="3" t="s">
        <v>14</v>
      </c>
      <c r="I1850" s="3" t="s">
        <v>15</v>
      </c>
    </row>
    <row r="1851" spans="1:9" s="3" customFormat="1" x14ac:dyDescent="0.3">
      <c r="A1851" s="3" t="s">
        <v>62</v>
      </c>
      <c r="B1851" s="3" t="s">
        <v>63</v>
      </c>
      <c r="C1851" s="3" t="s">
        <v>60</v>
      </c>
      <c r="D1851" s="3" t="s">
        <v>394</v>
      </c>
      <c r="E1851" s="6">
        <v>0.41458333333333336</v>
      </c>
      <c r="F1851" s="6">
        <v>0.80972222222222223</v>
      </c>
      <c r="G1851" s="3" t="s">
        <v>20</v>
      </c>
      <c r="H1851" s="3" t="s">
        <v>14</v>
      </c>
      <c r="I1851" s="3" t="s">
        <v>21</v>
      </c>
    </row>
    <row r="1852" spans="1:9" s="3" customFormat="1" x14ac:dyDescent="0.3">
      <c r="A1852" s="3" t="s">
        <v>81</v>
      </c>
      <c r="B1852" s="3" t="s">
        <v>82</v>
      </c>
      <c r="C1852" s="3" t="s">
        <v>64</v>
      </c>
      <c r="D1852" s="3" t="s">
        <v>111</v>
      </c>
      <c r="E1852" s="6">
        <v>0.42499999999999999</v>
      </c>
      <c r="F1852" s="6">
        <v>0.7104166666666667</v>
      </c>
      <c r="G1852" s="3" t="s">
        <v>26</v>
      </c>
      <c r="H1852" s="3" t="s">
        <v>14</v>
      </c>
      <c r="I1852" s="3" t="s">
        <v>21</v>
      </c>
    </row>
    <row r="1853" spans="1:9" s="3" customFormat="1" x14ac:dyDescent="0.3">
      <c r="A1853" s="3" t="s">
        <v>175</v>
      </c>
      <c r="B1853" s="3" t="s">
        <v>176</v>
      </c>
      <c r="C1853" s="3" t="s">
        <v>18</v>
      </c>
      <c r="D1853" s="3" t="s">
        <v>222</v>
      </c>
      <c r="E1853" s="6">
        <v>0.42638888888888887</v>
      </c>
      <c r="F1853" s="6">
        <v>0.70833333333333337</v>
      </c>
      <c r="G1853" s="3" t="s">
        <v>26</v>
      </c>
      <c r="H1853" s="3" t="s">
        <v>27</v>
      </c>
      <c r="I1853" s="3" t="s">
        <v>21</v>
      </c>
    </row>
    <row r="1854" spans="1:9" s="3" customFormat="1" x14ac:dyDescent="0.3">
      <c r="A1854" s="3" t="s">
        <v>194</v>
      </c>
      <c r="B1854" s="3" t="s">
        <v>195</v>
      </c>
      <c r="C1854" s="3" t="s">
        <v>18</v>
      </c>
      <c r="D1854" s="3" t="s">
        <v>148</v>
      </c>
      <c r="E1854" s="6">
        <v>0.38819444444444445</v>
      </c>
      <c r="F1854" s="6">
        <v>0.70347222222222228</v>
      </c>
      <c r="G1854" s="3" t="s">
        <v>26</v>
      </c>
      <c r="H1854" s="3" t="s">
        <v>14</v>
      </c>
      <c r="I1854" s="3" t="s">
        <v>15</v>
      </c>
    </row>
    <row r="1855" spans="1:9" s="3" customFormat="1" x14ac:dyDescent="0.3">
      <c r="A1855" s="3" t="s">
        <v>362</v>
      </c>
      <c r="B1855" s="3" t="s">
        <v>363</v>
      </c>
      <c r="C1855" s="3" t="s">
        <v>24</v>
      </c>
      <c r="D1855" s="3" t="s">
        <v>371</v>
      </c>
      <c r="E1855" s="6">
        <v>0.37361111111111112</v>
      </c>
      <c r="F1855" s="6">
        <v>0.78333333333333333</v>
      </c>
      <c r="G1855" s="3" t="s">
        <v>274</v>
      </c>
      <c r="H1855" s="3" t="s">
        <v>14</v>
      </c>
      <c r="I1855" s="3" t="s">
        <v>15</v>
      </c>
    </row>
    <row r="1856" spans="1:9" s="3" customFormat="1" x14ac:dyDescent="0.3">
      <c r="A1856" s="3" t="s">
        <v>96</v>
      </c>
      <c r="B1856" s="3" t="s">
        <v>97</v>
      </c>
      <c r="C1856" s="3" t="s">
        <v>42</v>
      </c>
      <c r="D1856" s="3" t="s">
        <v>354</v>
      </c>
      <c r="E1856" s="6">
        <v>0.48541666666666666</v>
      </c>
      <c r="F1856" s="6">
        <v>0.76388888888888884</v>
      </c>
      <c r="G1856" s="3" t="s">
        <v>20</v>
      </c>
      <c r="H1856" s="3" t="s">
        <v>14</v>
      </c>
      <c r="I1856" s="3" t="s">
        <v>21</v>
      </c>
    </row>
    <row r="1857" spans="1:9" s="3" customFormat="1" x14ac:dyDescent="0.3">
      <c r="A1857" s="3" t="s">
        <v>130</v>
      </c>
      <c r="B1857" s="3" t="s">
        <v>131</v>
      </c>
      <c r="C1857" s="3" t="s">
        <v>42</v>
      </c>
      <c r="D1857" s="3" t="s">
        <v>332</v>
      </c>
      <c r="E1857" s="6">
        <v>0.46319444444444446</v>
      </c>
      <c r="F1857" s="6">
        <v>0.8618055555555556</v>
      </c>
      <c r="G1857" s="3" t="s">
        <v>26</v>
      </c>
      <c r="H1857" s="3" t="s">
        <v>27</v>
      </c>
      <c r="I1857" s="3" t="s">
        <v>21</v>
      </c>
    </row>
    <row r="1858" spans="1:9" s="3" customFormat="1" x14ac:dyDescent="0.3">
      <c r="A1858" s="3" t="s">
        <v>109</v>
      </c>
      <c r="B1858" s="3" t="s">
        <v>110</v>
      </c>
      <c r="C1858" s="3" t="s">
        <v>24</v>
      </c>
      <c r="D1858" s="3" t="s">
        <v>379</v>
      </c>
      <c r="E1858" s="6"/>
      <c r="F1858" s="6"/>
      <c r="G1858" s="3" t="s">
        <v>44</v>
      </c>
      <c r="H1858" s="3" t="s">
        <v>14</v>
      </c>
      <c r="I1858" s="3" t="s">
        <v>21</v>
      </c>
    </row>
    <row r="1859" spans="1:9" s="3" customFormat="1" x14ac:dyDescent="0.3">
      <c r="A1859" s="3" t="s">
        <v>246</v>
      </c>
      <c r="B1859" s="3" t="s">
        <v>247</v>
      </c>
      <c r="C1859" s="3" t="s">
        <v>18</v>
      </c>
      <c r="D1859" s="3" t="s">
        <v>307</v>
      </c>
      <c r="E1859" s="6">
        <v>0.35972222222222222</v>
      </c>
      <c r="F1859" s="6">
        <v>0.77847222222222223</v>
      </c>
      <c r="G1859" s="3" t="s">
        <v>20</v>
      </c>
      <c r="H1859" s="3" t="s">
        <v>27</v>
      </c>
      <c r="I1859" s="3" t="s">
        <v>21</v>
      </c>
    </row>
    <row r="1860" spans="1:9" s="3" customFormat="1" x14ac:dyDescent="0.3">
      <c r="A1860" s="3" t="s">
        <v>213</v>
      </c>
      <c r="B1860" s="3" t="s">
        <v>214</v>
      </c>
      <c r="C1860" s="3" t="s">
        <v>60</v>
      </c>
      <c r="D1860" s="3" t="s">
        <v>261</v>
      </c>
      <c r="E1860" s="6">
        <v>0.46111111111111114</v>
      </c>
      <c r="F1860" s="6">
        <v>0.68472222222222223</v>
      </c>
      <c r="G1860" s="3" t="s">
        <v>26</v>
      </c>
      <c r="H1860" s="3" t="s">
        <v>27</v>
      </c>
      <c r="I1860" s="3" t="s">
        <v>21</v>
      </c>
    </row>
    <row r="1861" spans="1:9" s="3" customFormat="1" x14ac:dyDescent="0.3">
      <c r="A1861" s="3" t="s">
        <v>194</v>
      </c>
      <c r="B1861" s="3" t="s">
        <v>195</v>
      </c>
      <c r="C1861" s="3" t="s">
        <v>64</v>
      </c>
      <c r="D1861" s="3" t="s">
        <v>232</v>
      </c>
      <c r="E1861" s="6">
        <v>0.34027777777777779</v>
      </c>
      <c r="F1861" s="6">
        <v>0.7944444444444444</v>
      </c>
      <c r="G1861" s="3" t="s">
        <v>13</v>
      </c>
      <c r="H1861" s="3" t="s">
        <v>14</v>
      </c>
      <c r="I1861" s="3" t="s">
        <v>21</v>
      </c>
    </row>
    <row r="1862" spans="1:9" s="3" customFormat="1" x14ac:dyDescent="0.3">
      <c r="A1862" s="3" t="s">
        <v>138</v>
      </c>
      <c r="B1862" s="3" t="s">
        <v>139</v>
      </c>
      <c r="C1862" s="3" t="s">
        <v>60</v>
      </c>
      <c r="D1862" s="3" t="s">
        <v>252</v>
      </c>
      <c r="E1862" s="6"/>
      <c r="F1862" s="6"/>
      <c r="G1862" s="3" t="s">
        <v>44</v>
      </c>
      <c r="H1862" s="3" t="s">
        <v>27</v>
      </c>
      <c r="I1862" s="3" t="s">
        <v>15</v>
      </c>
    </row>
    <row r="1863" spans="1:9" s="3" customFormat="1" x14ac:dyDescent="0.3">
      <c r="A1863" s="3" t="s">
        <v>236</v>
      </c>
      <c r="B1863" s="3" t="s">
        <v>237</v>
      </c>
      <c r="C1863" s="3" t="s">
        <v>42</v>
      </c>
      <c r="D1863" s="3" t="s">
        <v>319</v>
      </c>
      <c r="E1863" s="6">
        <v>0.48125000000000001</v>
      </c>
      <c r="F1863" s="6">
        <v>0.80208333333333337</v>
      </c>
      <c r="G1863" s="3" t="s">
        <v>20</v>
      </c>
      <c r="H1863" s="3" t="s">
        <v>14</v>
      </c>
      <c r="I1863" s="3" t="s">
        <v>21</v>
      </c>
    </row>
    <row r="1864" spans="1:9" s="3" customFormat="1" x14ac:dyDescent="0.3">
      <c r="A1864" s="3" t="s">
        <v>66</v>
      </c>
      <c r="B1864" s="3" t="s">
        <v>67</v>
      </c>
      <c r="C1864" s="3" t="s">
        <v>64</v>
      </c>
      <c r="D1864" s="3" t="s">
        <v>408</v>
      </c>
      <c r="E1864" s="6"/>
      <c r="F1864" s="6"/>
      <c r="G1864" s="3" t="s">
        <v>44</v>
      </c>
      <c r="H1864" s="3" t="s">
        <v>14</v>
      </c>
      <c r="I1864" s="3" t="s">
        <v>15</v>
      </c>
    </row>
    <row r="1865" spans="1:9" s="3" customFormat="1" x14ac:dyDescent="0.3">
      <c r="A1865" s="3" t="s">
        <v>45</v>
      </c>
      <c r="B1865" s="3" t="s">
        <v>46</v>
      </c>
      <c r="C1865" s="3" t="s">
        <v>64</v>
      </c>
      <c r="D1865" s="3" t="s">
        <v>394</v>
      </c>
      <c r="E1865" s="6">
        <v>0.34722222222222221</v>
      </c>
      <c r="F1865" s="6">
        <v>0.75416666666666665</v>
      </c>
      <c r="G1865" s="3" t="s">
        <v>20</v>
      </c>
      <c r="H1865" s="3" t="s">
        <v>27</v>
      </c>
      <c r="I1865" s="3" t="s">
        <v>21</v>
      </c>
    </row>
    <row r="1866" spans="1:9" s="3" customFormat="1" x14ac:dyDescent="0.3">
      <c r="A1866" s="3" t="s">
        <v>78</v>
      </c>
      <c r="B1866" s="3" t="s">
        <v>79</v>
      </c>
      <c r="C1866" s="3" t="s">
        <v>64</v>
      </c>
      <c r="D1866" s="3" t="s">
        <v>215</v>
      </c>
      <c r="E1866" s="6">
        <v>0.35138888888888886</v>
      </c>
      <c r="F1866" s="6">
        <v>0.78680555555555554</v>
      </c>
      <c r="G1866" s="3" t="s">
        <v>13</v>
      </c>
      <c r="H1866" s="3" t="s">
        <v>14</v>
      </c>
      <c r="I1866" s="3" t="s">
        <v>15</v>
      </c>
    </row>
    <row r="1867" spans="1:9" s="3" customFormat="1" x14ac:dyDescent="0.3">
      <c r="A1867" s="3" t="s">
        <v>96</v>
      </c>
      <c r="B1867" s="3" t="s">
        <v>97</v>
      </c>
      <c r="C1867" s="3" t="s">
        <v>64</v>
      </c>
      <c r="D1867" s="3" t="s">
        <v>369</v>
      </c>
      <c r="E1867" s="6"/>
      <c r="F1867" s="6"/>
      <c r="G1867" s="3" t="s">
        <v>44</v>
      </c>
      <c r="H1867" s="3" t="s">
        <v>27</v>
      </c>
      <c r="I1867" s="3" t="s">
        <v>15</v>
      </c>
    </row>
    <row r="1868" spans="1:9" s="3" customFormat="1" x14ac:dyDescent="0.3">
      <c r="A1868" s="3" t="s">
        <v>200</v>
      </c>
      <c r="B1868" s="3" t="s">
        <v>201</v>
      </c>
      <c r="C1868" s="3" t="s">
        <v>24</v>
      </c>
      <c r="D1868" s="3" t="s">
        <v>106</v>
      </c>
      <c r="E1868" s="6">
        <v>0.40902777777777777</v>
      </c>
      <c r="F1868" s="6">
        <v>0.71180555555555558</v>
      </c>
      <c r="G1868" s="3" t="s">
        <v>13</v>
      </c>
      <c r="H1868" s="3" t="s">
        <v>27</v>
      </c>
      <c r="I1868" s="3" t="s">
        <v>15</v>
      </c>
    </row>
    <row r="1869" spans="1:9" s="3" customFormat="1" x14ac:dyDescent="0.3">
      <c r="A1869" s="3" t="s">
        <v>315</v>
      </c>
      <c r="B1869" s="3" t="s">
        <v>316</v>
      </c>
      <c r="C1869" s="3" t="s">
        <v>18</v>
      </c>
      <c r="D1869" s="3" t="s">
        <v>311</v>
      </c>
      <c r="E1869" s="6"/>
      <c r="F1869" s="6"/>
      <c r="G1869" s="3" t="s">
        <v>44</v>
      </c>
      <c r="H1869" s="3" t="s">
        <v>27</v>
      </c>
      <c r="I1869" s="3" t="s">
        <v>21</v>
      </c>
    </row>
    <row r="1870" spans="1:9" s="3" customFormat="1" x14ac:dyDescent="0.3">
      <c r="A1870" s="3" t="s">
        <v>315</v>
      </c>
      <c r="B1870" s="3" t="s">
        <v>316</v>
      </c>
      <c r="C1870" s="3" t="s">
        <v>42</v>
      </c>
      <c r="D1870" s="3" t="s">
        <v>144</v>
      </c>
      <c r="E1870" s="6"/>
      <c r="F1870" s="6"/>
      <c r="G1870" s="3" t="s">
        <v>44</v>
      </c>
      <c r="H1870" s="3" t="s">
        <v>27</v>
      </c>
      <c r="I1870" s="3" t="s">
        <v>21</v>
      </c>
    </row>
    <row r="1871" spans="1:9" s="3" customFormat="1" x14ac:dyDescent="0.3">
      <c r="A1871" s="3" t="s">
        <v>34</v>
      </c>
      <c r="B1871" s="3" t="s">
        <v>35</v>
      </c>
      <c r="C1871" s="3" t="s">
        <v>18</v>
      </c>
      <c r="D1871" s="3" t="s">
        <v>189</v>
      </c>
      <c r="E1871" s="6">
        <v>0.4861111111111111</v>
      </c>
      <c r="F1871" s="6">
        <v>0.79027777777777775</v>
      </c>
      <c r="G1871" s="3" t="s">
        <v>20</v>
      </c>
      <c r="H1871" s="3" t="s">
        <v>14</v>
      </c>
      <c r="I1871" s="3" t="s">
        <v>21</v>
      </c>
    </row>
    <row r="1872" spans="1:9" s="3" customFormat="1" x14ac:dyDescent="0.3">
      <c r="A1872" s="3" t="s">
        <v>90</v>
      </c>
      <c r="B1872" s="3" t="s">
        <v>91</v>
      </c>
      <c r="C1872" s="3" t="s">
        <v>24</v>
      </c>
      <c r="D1872" s="3" t="s">
        <v>393</v>
      </c>
      <c r="E1872" s="6">
        <v>0.42986111111111114</v>
      </c>
      <c r="F1872" s="6">
        <v>0.67986111111111114</v>
      </c>
      <c r="G1872" s="3" t="s">
        <v>20</v>
      </c>
      <c r="H1872" s="3" t="s">
        <v>14</v>
      </c>
      <c r="I1872" s="3" t="s">
        <v>15</v>
      </c>
    </row>
    <row r="1873" spans="1:9" s="3" customFormat="1" x14ac:dyDescent="0.3">
      <c r="A1873" s="3" t="s">
        <v>224</v>
      </c>
      <c r="B1873" s="3" t="s">
        <v>225</v>
      </c>
      <c r="C1873" s="3" t="s">
        <v>64</v>
      </c>
      <c r="D1873" s="3" t="s">
        <v>174</v>
      </c>
      <c r="E1873" s="6">
        <v>0.40486111111111112</v>
      </c>
      <c r="F1873" s="6">
        <v>0.75624999999999998</v>
      </c>
      <c r="G1873" s="3" t="s">
        <v>13</v>
      </c>
      <c r="H1873" s="3" t="s">
        <v>27</v>
      </c>
      <c r="I1873" s="3" t="s">
        <v>15</v>
      </c>
    </row>
    <row r="1874" spans="1:9" s="3" customFormat="1" x14ac:dyDescent="0.3">
      <c r="A1874" s="3" t="s">
        <v>28</v>
      </c>
      <c r="B1874" s="3" t="s">
        <v>29</v>
      </c>
      <c r="C1874" s="3" t="s">
        <v>18</v>
      </c>
      <c r="D1874" s="3" t="s">
        <v>354</v>
      </c>
      <c r="E1874" s="6"/>
      <c r="F1874" s="6"/>
      <c r="G1874" s="3" t="s">
        <v>44</v>
      </c>
      <c r="H1874" s="3" t="s">
        <v>14</v>
      </c>
      <c r="I1874" s="3" t="s">
        <v>21</v>
      </c>
    </row>
    <row r="1875" spans="1:9" s="3" customFormat="1" x14ac:dyDescent="0.3">
      <c r="A1875" s="3" t="s">
        <v>37</v>
      </c>
      <c r="B1875" s="3" t="s">
        <v>38</v>
      </c>
      <c r="C1875" s="3" t="s">
        <v>60</v>
      </c>
      <c r="D1875" s="3" t="s">
        <v>145</v>
      </c>
      <c r="E1875" s="6">
        <v>0.43611111111111112</v>
      </c>
      <c r="F1875" s="6">
        <v>0.77361111111111114</v>
      </c>
      <c r="G1875" s="3" t="s">
        <v>274</v>
      </c>
      <c r="H1875" s="3" t="s">
        <v>27</v>
      </c>
      <c r="I1875" s="3" t="s">
        <v>15</v>
      </c>
    </row>
    <row r="1876" spans="1:9" s="3" customFormat="1" x14ac:dyDescent="0.3">
      <c r="A1876" s="3" t="s">
        <v>81</v>
      </c>
      <c r="B1876" s="3" t="s">
        <v>82</v>
      </c>
      <c r="C1876" s="3" t="s">
        <v>24</v>
      </c>
      <c r="D1876" s="3" t="s">
        <v>348</v>
      </c>
      <c r="E1876" s="6"/>
      <c r="F1876" s="6"/>
      <c r="G1876" s="3" t="s">
        <v>44</v>
      </c>
      <c r="H1876" s="3" t="s">
        <v>27</v>
      </c>
      <c r="I1876" s="3" t="s">
        <v>21</v>
      </c>
    </row>
    <row r="1877" spans="1:9" s="3" customFormat="1" x14ac:dyDescent="0.3">
      <c r="A1877" s="3" t="s">
        <v>96</v>
      </c>
      <c r="B1877" s="3" t="s">
        <v>97</v>
      </c>
      <c r="C1877" s="3" t="s">
        <v>127</v>
      </c>
      <c r="D1877" s="3" t="s">
        <v>356</v>
      </c>
      <c r="E1877" s="6">
        <v>0.36666666666666664</v>
      </c>
      <c r="F1877" s="6">
        <v>0.70208333333333328</v>
      </c>
      <c r="G1877" s="3" t="s">
        <v>26</v>
      </c>
      <c r="H1877" s="3" t="s">
        <v>27</v>
      </c>
      <c r="I1877" s="3" t="s">
        <v>15</v>
      </c>
    </row>
    <row r="1878" spans="1:9" s="3" customFormat="1" x14ac:dyDescent="0.3">
      <c r="A1878" s="3" t="s">
        <v>69</v>
      </c>
      <c r="B1878" s="3" t="s">
        <v>70</v>
      </c>
      <c r="C1878" s="3" t="s">
        <v>60</v>
      </c>
      <c r="D1878" s="3" t="s">
        <v>366</v>
      </c>
      <c r="E1878" s="6">
        <v>0.49861111111111112</v>
      </c>
      <c r="F1878" s="6">
        <v>0.68611111111111112</v>
      </c>
      <c r="G1878" s="3" t="s">
        <v>13</v>
      </c>
      <c r="H1878" s="3" t="s">
        <v>27</v>
      </c>
      <c r="I1878" s="3" t="s">
        <v>15</v>
      </c>
    </row>
    <row r="1879" spans="1:9" s="3" customFormat="1" x14ac:dyDescent="0.3">
      <c r="A1879" s="3" t="s">
        <v>197</v>
      </c>
      <c r="B1879" s="3" t="s">
        <v>198</v>
      </c>
      <c r="C1879" s="3" t="s">
        <v>60</v>
      </c>
      <c r="D1879" s="3" t="s">
        <v>410</v>
      </c>
      <c r="E1879" s="6">
        <v>0.37361111111111112</v>
      </c>
      <c r="F1879" s="6">
        <v>0.72777777777777775</v>
      </c>
      <c r="G1879" s="3" t="s">
        <v>20</v>
      </c>
      <c r="H1879" s="3" t="s">
        <v>27</v>
      </c>
      <c r="I1879" s="3" t="s">
        <v>15</v>
      </c>
    </row>
    <row r="1880" spans="1:9" s="3" customFormat="1" x14ac:dyDescent="0.3">
      <c r="A1880" s="3" t="s">
        <v>291</v>
      </c>
      <c r="B1880" s="3" t="s">
        <v>292</v>
      </c>
      <c r="C1880" s="3" t="s">
        <v>42</v>
      </c>
      <c r="D1880" s="3" t="s">
        <v>342</v>
      </c>
      <c r="E1880" s="6"/>
      <c r="F1880" s="6"/>
      <c r="G1880" s="3" t="s">
        <v>44</v>
      </c>
      <c r="H1880" s="3" t="s">
        <v>14</v>
      </c>
      <c r="I1880" s="3" t="s">
        <v>15</v>
      </c>
    </row>
    <row r="1881" spans="1:9" s="3" customFormat="1" x14ac:dyDescent="0.3">
      <c r="A1881" s="3" t="s">
        <v>16</v>
      </c>
      <c r="B1881" s="3" t="s">
        <v>17</v>
      </c>
      <c r="C1881" s="3" t="s">
        <v>60</v>
      </c>
      <c r="D1881" s="3" t="s">
        <v>327</v>
      </c>
      <c r="E1881" s="6"/>
      <c r="F1881" s="6"/>
      <c r="G1881" s="3" t="s">
        <v>44</v>
      </c>
      <c r="H1881" s="3" t="s">
        <v>14</v>
      </c>
      <c r="I1881" s="3" t="s">
        <v>15</v>
      </c>
    </row>
    <row r="1882" spans="1:9" s="3" customFormat="1" x14ac:dyDescent="0.3">
      <c r="A1882" s="3" t="s">
        <v>315</v>
      </c>
      <c r="B1882" s="3" t="s">
        <v>316</v>
      </c>
      <c r="C1882" s="3" t="s">
        <v>42</v>
      </c>
      <c r="D1882" s="3" t="s">
        <v>177</v>
      </c>
      <c r="E1882" s="6"/>
      <c r="F1882" s="6"/>
      <c r="G1882" s="3" t="s">
        <v>44</v>
      </c>
      <c r="H1882" s="3" t="s">
        <v>14</v>
      </c>
      <c r="I1882" s="3" t="s">
        <v>15</v>
      </c>
    </row>
    <row r="1883" spans="1:9" s="3" customFormat="1" x14ac:dyDescent="0.3">
      <c r="A1883" s="3" t="s">
        <v>81</v>
      </c>
      <c r="B1883" s="3" t="s">
        <v>82</v>
      </c>
      <c r="C1883" s="3" t="s">
        <v>24</v>
      </c>
      <c r="D1883" s="3" t="s">
        <v>168</v>
      </c>
      <c r="E1883" s="6">
        <v>0.37152777777777779</v>
      </c>
      <c r="F1883" s="6">
        <v>0.82222222222222219</v>
      </c>
      <c r="G1883" s="3" t="s">
        <v>26</v>
      </c>
      <c r="H1883" s="3" t="s">
        <v>14</v>
      </c>
      <c r="I1883" s="3" t="s">
        <v>15</v>
      </c>
    </row>
    <row r="1884" spans="1:9" s="3" customFormat="1" x14ac:dyDescent="0.3">
      <c r="A1884" s="3" t="s">
        <v>16</v>
      </c>
      <c r="B1884" s="3" t="s">
        <v>17</v>
      </c>
      <c r="C1884" s="3" t="s">
        <v>42</v>
      </c>
      <c r="D1884" s="3" t="s">
        <v>230</v>
      </c>
      <c r="E1884" s="6">
        <v>0.46250000000000002</v>
      </c>
      <c r="F1884" s="6">
        <v>0.66666666666666663</v>
      </c>
      <c r="G1884" s="3" t="s">
        <v>20</v>
      </c>
      <c r="H1884" s="3" t="s">
        <v>27</v>
      </c>
      <c r="I1884" s="3" t="s">
        <v>15</v>
      </c>
    </row>
    <row r="1885" spans="1:9" s="3" customFormat="1" x14ac:dyDescent="0.3">
      <c r="A1885" s="3" t="s">
        <v>122</v>
      </c>
      <c r="B1885" s="3" t="s">
        <v>123</v>
      </c>
      <c r="C1885" s="3" t="s">
        <v>24</v>
      </c>
      <c r="D1885" s="3" t="s">
        <v>160</v>
      </c>
      <c r="E1885" s="6">
        <v>0.39513888888888887</v>
      </c>
      <c r="F1885" s="6">
        <v>0.79166666666666663</v>
      </c>
      <c r="G1885" s="3" t="s">
        <v>20</v>
      </c>
      <c r="H1885" s="3" t="s">
        <v>27</v>
      </c>
      <c r="I1885" s="3" t="s">
        <v>21</v>
      </c>
    </row>
    <row r="1886" spans="1:9" s="3" customFormat="1" x14ac:dyDescent="0.3">
      <c r="A1886" s="3" t="s">
        <v>236</v>
      </c>
      <c r="B1886" s="3" t="s">
        <v>237</v>
      </c>
      <c r="C1886" s="3" t="s">
        <v>64</v>
      </c>
      <c r="D1886" s="3" t="s">
        <v>341</v>
      </c>
      <c r="E1886" s="6"/>
      <c r="F1886" s="6"/>
      <c r="G1886" s="3" t="s">
        <v>44</v>
      </c>
      <c r="H1886" s="3" t="s">
        <v>27</v>
      </c>
      <c r="I1886" s="3" t="s">
        <v>15</v>
      </c>
    </row>
    <row r="1887" spans="1:9" s="3" customFormat="1" x14ac:dyDescent="0.3">
      <c r="A1887" s="3" t="s">
        <v>75</v>
      </c>
      <c r="B1887" s="3" t="s">
        <v>76</v>
      </c>
      <c r="C1887" s="3" t="s">
        <v>42</v>
      </c>
      <c r="D1887" s="3" t="s">
        <v>255</v>
      </c>
      <c r="E1887" s="6">
        <v>0.34305555555555556</v>
      </c>
      <c r="F1887" s="6">
        <v>0.72916666666666663</v>
      </c>
      <c r="G1887" s="3" t="s">
        <v>13</v>
      </c>
      <c r="H1887" s="3" t="s">
        <v>14</v>
      </c>
      <c r="I1887" s="3" t="s">
        <v>15</v>
      </c>
    </row>
    <row r="1888" spans="1:9" s="3" customFormat="1" x14ac:dyDescent="0.3">
      <c r="A1888" s="3" t="s">
        <v>200</v>
      </c>
      <c r="B1888" s="3" t="s">
        <v>201</v>
      </c>
      <c r="C1888" s="3" t="s">
        <v>143</v>
      </c>
      <c r="D1888" s="3" t="s">
        <v>417</v>
      </c>
      <c r="E1888" s="6">
        <v>0.45624999999999999</v>
      </c>
      <c r="F1888" s="6">
        <v>0.80555555555555558</v>
      </c>
      <c r="G1888" s="3" t="s">
        <v>13</v>
      </c>
      <c r="H1888" s="3" t="s">
        <v>14</v>
      </c>
      <c r="I1888" s="3" t="s">
        <v>21</v>
      </c>
    </row>
    <row r="1889" spans="1:9" s="3" customFormat="1" x14ac:dyDescent="0.3">
      <c r="A1889" s="3" t="s">
        <v>269</v>
      </c>
      <c r="B1889" s="3" t="s">
        <v>270</v>
      </c>
      <c r="C1889" s="3" t="s">
        <v>18</v>
      </c>
      <c r="D1889" s="3" t="s">
        <v>333</v>
      </c>
      <c r="E1889" s="6"/>
      <c r="F1889" s="6"/>
      <c r="G1889" s="3" t="s">
        <v>51</v>
      </c>
      <c r="H1889" s="3" t="s">
        <v>27</v>
      </c>
      <c r="I1889" s="3" t="s">
        <v>21</v>
      </c>
    </row>
    <row r="1890" spans="1:9" s="3" customFormat="1" x14ac:dyDescent="0.3">
      <c r="A1890" s="3" t="s">
        <v>34</v>
      </c>
      <c r="B1890" s="3" t="s">
        <v>35</v>
      </c>
      <c r="C1890" s="3" t="s">
        <v>64</v>
      </c>
      <c r="D1890" s="3" t="s">
        <v>234</v>
      </c>
      <c r="E1890" s="6">
        <v>0.4</v>
      </c>
      <c r="F1890" s="6">
        <v>0.67847222222222225</v>
      </c>
      <c r="G1890" s="3" t="s">
        <v>13</v>
      </c>
      <c r="H1890" s="3" t="s">
        <v>14</v>
      </c>
      <c r="I1890" s="3" t="s">
        <v>21</v>
      </c>
    </row>
    <row r="1891" spans="1:9" s="3" customFormat="1" x14ac:dyDescent="0.3">
      <c r="A1891" s="3" t="s">
        <v>191</v>
      </c>
      <c r="B1891" s="3" t="s">
        <v>192</v>
      </c>
      <c r="C1891" s="3" t="s">
        <v>24</v>
      </c>
      <c r="D1891" s="3" t="s">
        <v>212</v>
      </c>
      <c r="E1891" s="6"/>
      <c r="F1891" s="6"/>
      <c r="G1891" s="3" t="s">
        <v>44</v>
      </c>
      <c r="H1891" s="3" t="s">
        <v>14</v>
      </c>
      <c r="I1891" s="3" t="s">
        <v>15</v>
      </c>
    </row>
    <row r="1892" spans="1:9" s="3" customFormat="1" x14ac:dyDescent="0.3">
      <c r="A1892" s="3" t="s">
        <v>204</v>
      </c>
      <c r="B1892" s="3" t="s">
        <v>205</v>
      </c>
      <c r="C1892" s="3" t="s">
        <v>42</v>
      </c>
      <c r="D1892" s="3" t="s">
        <v>263</v>
      </c>
      <c r="E1892" s="6">
        <v>0.37569444444444444</v>
      </c>
      <c r="F1892" s="6">
        <v>0.83611111111111114</v>
      </c>
      <c r="G1892" s="3" t="s">
        <v>13</v>
      </c>
      <c r="H1892" s="3" t="s">
        <v>14</v>
      </c>
      <c r="I1892" s="3" t="s">
        <v>15</v>
      </c>
    </row>
    <row r="1893" spans="1:9" s="3" customFormat="1" x14ac:dyDescent="0.3">
      <c r="A1893" s="3" t="s">
        <v>112</v>
      </c>
      <c r="B1893" s="3" t="s">
        <v>113</v>
      </c>
      <c r="C1893" s="3" t="s">
        <v>24</v>
      </c>
      <c r="D1893" s="3" t="s">
        <v>126</v>
      </c>
      <c r="E1893" s="6"/>
      <c r="F1893" s="6"/>
      <c r="G1893" s="3" t="s">
        <v>44</v>
      </c>
      <c r="H1893" s="3" t="s">
        <v>27</v>
      </c>
      <c r="I1893" s="3" t="s">
        <v>15</v>
      </c>
    </row>
    <row r="1894" spans="1:9" s="3" customFormat="1" x14ac:dyDescent="0.3">
      <c r="A1894" s="3" t="s">
        <v>338</v>
      </c>
      <c r="B1894" s="3" t="s">
        <v>339</v>
      </c>
      <c r="C1894" s="3" t="s">
        <v>60</v>
      </c>
      <c r="D1894" s="3" t="s">
        <v>33</v>
      </c>
      <c r="E1894" s="6">
        <v>0.49375000000000002</v>
      </c>
      <c r="F1894" s="6">
        <v>0.74513888888888891</v>
      </c>
      <c r="G1894" s="3" t="s">
        <v>26</v>
      </c>
      <c r="H1894" s="3" t="s">
        <v>14</v>
      </c>
      <c r="I1894" s="3" t="s">
        <v>21</v>
      </c>
    </row>
    <row r="1895" spans="1:9" s="3" customFormat="1" x14ac:dyDescent="0.3">
      <c r="A1895" s="3" t="s">
        <v>9</v>
      </c>
      <c r="B1895" s="3" t="s">
        <v>10</v>
      </c>
      <c r="C1895" s="3" t="s">
        <v>24</v>
      </c>
      <c r="D1895" s="3" t="s">
        <v>340</v>
      </c>
      <c r="E1895" s="6">
        <v>0.48819444444444443</v>
      </c>
      <c r="F1895" s="6">
        <v>0.85624999999999996</v>
      </c>
      <c r="G1895" s="3" t="s">
        <v>13</v>
      </c>
      <c r="H1895" s="3" t="s">
        <v>14</v>
      </c>
      <c r="I1895" s="3" t="s">
        <v>15</v>
      </c>
    </row>
    <row r="1896" spans="1:9" s="3" customFormat="1" x14ac:dyDescent="0.3">
      <c r="A1896" s="3" t="s">
        <v>52</v>
      </c>
      <c r="B1896" s="3" t="s">
        <v>53</v>
      </c>
      <c r="C1896" s="3" t="s">
        <v>64</v>
      </c>
      <c r="D1896" s="3" t="s">
        <v>61</v>
      </c>
      <c r="E1896" s="6">
        <v>0.46250000000000002</v>
      </c>
      <c r="F1896" s="6">
        <v>0.81458333333333333</v>
      </c>
      <c r="G1896" s="3" t="s">
        <v>20</v>
      </c>
      <c r="H1896" s="3" t="s">
        <v>14</v>
      </c>
      <c r="I1896" s="3" t="s">
        <v>21</v>
      </c>
    </row>
    <row r="1897" spans="1:9" s="3" customFormat="1" x14ac:dyDescent="0.3">
      <c r="A1897" s="3" t="s">
        <v>52</v>
      </c>
      <c r="B1897" s="3" t="s">
        <v>53</v>
      </c>
      <c r="C1897" s="3" t="s">
        <v>18</v>
      </c>
      <c r="D1897" s="3" t="s">
        <v>160</v>
      </c>
      <c r="E1897" s="6">
        <v>0.35625000000000001</v>
      </c>
      <c r="F1897" s="6">
        <v>0.80625000000000002</v>
      </c>
      <c r="G1897" s="3" t="s">
        <v>20</v>
      </c>
      <c r="H1897" s="3" t="s">
        <v>27</v>
      </c>
      <c r="I1897" s="3" t="s">
        <v>15</v>
      </c>
    </row>
    <row r="1898" spans="1:9" s="3" customFormat="1" x14ac:dyDescent="0.3">
      <c r="A1898" s="3" t="s">
        <v>171</v>
      </c>
      <c r="B1898" s="3" t="s">
        <v>172</v>
      </c>
      <c r="C1898" s="3" t="s">
        <v>18</v>
      </c>
      <c r="D1898" s="3" t="s">
        <v>148</v>
      </c>
      <c r="E1898" s="6">
        <v>0.45069444444444445</v>
      </c>
      <c r="F1898" s="6">
        <v>0.82916666666666672</v>
      </c>
      <c r="G1898" s="3" t="s">
        <v>13</v>
      </c>
      <c r="H1898" s="3" t="s">
        <v>14</v>
      </c>
      <c r="I1898" s="3" t="s">
        <v>15</v>
      </c>
    </row>
    <row r="1899" spans="1:9" s="3" customFormat="1" x14ac:dyDescent="0.3">
      <c r="A1899" s="3" t="s">
        <v>362</v>
      </c>
      <c r="B1899" s="3" t="s">
        <v>363</v>
      </c>
      <c r="C1899" s="3" t="s">
        <v>143</v>
      </c>
      <c r="D1899" s="3" t="s">
        <v>252</v>
      </c>
      <c r="E1899" s="6">
        <v>0.36666666666666664</v>
      </c>
      <c r="F1899" s="6">
        <v>0.87152777777777779</v>
      </c>
      <c r="G1899" s="3" t="s">
        <v>13</v>
      </c>
      <c r="H1899" s="3" t="s">
        <v>27</v>
      </c>
      <c r="I1899" s="3" t="s">
        <v>15</v>
      </c>
    </row>
    <row r="1900" spans="1:9" s="3" customFormat="1" x14ac:dyDescent="0.3">
      <c r="A1900" s="3" t="s">
        <v>16</v>
      </c>
      <c r="B1900" s="3" t="s">
        <v>17</v>
      </c>
      <c r="C1900" s="3" t="s">
        <v>24</v>
      </c>
      <c r="D1900" s="3" t="s">
        <v>206</v>
      </c>
      <c r="E1900" s="6"/>
      <c r="F1900" s="6"/>
      <c r="G1900" s="3" t="s">
        <v>44</v>
      </c>
      <c r="H1900" s="3" t="s">
        <v>27</v>
      </c>
      <c r="I1900" s="3" t="s">
        <v>15</v>
      </c>
    </row>
    <row r="1901" spans="1:9" s="3" customFormat="1" x14ac:dyDescent="0.3">
      <c r="A1901" s="3" t="s">
        <v>154</v>
      </c>
      <c r="B1901" s="3" t="s">
        <v>155</v>
      </c>
      <c r="C1901" s="3" t="s">
        <v>24</v>
      </c>
      <c r="D1901" s="3" t="s">
        <v>277</v>
      </c>
      <c r="E1901" s="6">
        <v>0.47847222222222224</v>
      </c>
      <c r="F1901" s="6">
        <v>0.86736111111111114</v>
      </c>
      <c r="G1901" s="3" t="s">
        <v>20</v>
      </c>
      <c r="H1901" s="3" t="s">
        <v>27</v>
      </c>
      <c r="I1901" s="3" t="s">
        <v>15</v>
      </c>
    </row>
    <row r="1902" spans="1:9" s="3" customFormat="1" x14ac:dyDescent="0.3">
      <c r="A1902" s="3" t="s">
        <v>45</v>
      </c>
      <c r="B1902" s="3" t="s">
        <v>46</v>
      </c>
      <c r="C1902" s="3" t="s">
        <v>18</v>
      </c>
      <c r="D1902" s="3" t="s">
        <v>111</v>
      </c>
      <c r="E1902" s="6"/>
      <c r="F1902" s="6"/>
      <c r="G1902" s="3" t="s">
        <v>44</v>
      </c>
      <c r="H1902" s="3" t="s">
        <v>27</v>
      </c>
      <c r="I1902" s="3" t="s">
        <v>21</v>
      </c>
    </row>
    <row r="1903" spans="1:9" s="3" customFormat="1" x14ac:dyDescent="0.3">
      <c r="A1903" s="3" t="s">
        <v>141</v>
      </c>
      <c r="B1903" s="3" t="s">
        <v>142</v>
      </c>
      <c r="C1903" s="3" t="s">
        <v>64</v>
      </c>
      <c r="D1903" s="3" t="s">
        <v>65</v>
      </c>
      <c r="E1903" s="6">
        <v>0.4826388888888889</v>
      </c>
      <c r="F1903" s="6">
        <v>0.72847222222222219</v>
      </c>
      <c r="G1903" s="3" t="s">
        <v>26</v>
      </c>
      <c r="H1903" s="3" t="s">
        <v>14</v>
      </c>
      <c r="I1903" s="3" t="s">
        <v>21</v>
      </c>
    </row>
    <row r="1904" spans="1:9" s="3" customFormat="1" x14ac:dyDescent="0.3">
      <c r="A1904" s="3" t="s">
        <v>66</v>
      </c>
      <c r="B1904" s="3" t="s">
        <v>67</v>
      </c>
      <c r="C1904" s="3" t="s">
        <v>18</v>
      </c>
      <c r="D1904" s="3" t="s">
        <v>402</v>
      </c>
      <c r="E1904" s="6">
        <v>0.39027777777777778</v>
      </c>
      <c r="F1904" s="6">
        <v>0.75763888888888886</v>
      </c>
      <c r="G1904" s="3" t="s">
        <v>13</v>
      </c>
      <c r="H1904" s="3" t="s">
        <v>14</v>
      </c>
      <c r="I1904" s="3" t="s">
        <v>15</v>
      </c>
    </row>
    <row r="1905" spans="1:9" s="3" customFormat="1" x14ac:dyDescent="0.3">
      <c r="A1905" s="3" t="s">
        <v>34</v>
      </c>
      <c r="B1905" s="3" t="s">
        <v>35</v>
      </c>
      <c r="C1905" s="3" t="s">
        <v>60</v>
      </c>
      <c r="D1905" s="3" t="s">
        <v>162</v>
      </c>
      <c r="E1905" s="6">
        <v>0.43333333333333335</v>
      </c>
      <c r="F1905" s="6">
        <v>0.81180555555555556</v>
      </c>
      <c r="G1905" s="3" t="s">
        <v>13</v>
      </c>
      <c r="H1905" s="3" t="s">
        <v>27</v>
      </c>
      <c r="I1905" s="3" t="s">
        <v>21</v>
      </c>
    </row>
    <row r="1906" spans="1:9" s="3" customFormat="1" x14ac:dyDescent="0.3">
      <c r="A1906" s="3" t="s">
        <v>48</v>
      </c>
      <c r="B1906" s="3" t="s">
        <v>49</v>
      </c>
      <c r="C1906" s="3" t="s">
        <v>18</v>
      </c>
      <c r="D1906" s="3" t="s">
        <v>133</v>
      </c>
      <c r="E1906" s="6">
        <v>0.44722222222222224</v>
      </c>
      <c r="F1906" s="6">
        <v>0.83125000000000004</v>
      </c>
      <c r="G1906" s="3" t="s">
        <v>26</v>
      </c>
      <c r="H1906" s="3" t="s">
        <v>27</v>
      </c>
      <c r="I1906" s="3" t="s">
        <v>21</v>
      </c>
    </row>
    <row r="1907" spans="1:9" s="3" customFormat="1" x14ac:dyDescent="0.3">
      <c r="A1907" s="3" t="s">
        <v>224</v>
      </c>
      <c r="B1907" s="3" t="s">
        <v>225</v>
      </c>
      <c r="C1907" s="3" t="s">
        <v>64</v>
      </c>
      <c r="D1907" s="3" t="s">
        <v>391</v>
      </c>
      <c r="E1907" s="6"/>
      <c r="F1907" s="6"/>
      <c r="G1907" s="3" t="s">
        <v>44</v>
      </c>
      <c r="H1907" s="3" t="s">
        <v>14</v>
      </c>
      <c r="I1907" s="3" t="s">
        <v>21</v>
      </c>
    </row>
    <row r="1908" spans="1:9" s="3" customFormat="1" x14ac:dyDescent="0.3">
      <c r="A1908" s="3" t="s">
        <v>146</v>
      </c>
      <c r="B1908" s="3" t="s">
        <v>147</v>
      </c>
      <c r="C1908" s="3" t="s">
        <v>18</v>
      </c>
      <c r="D1908" s="3" t="s">
        <v>371</v>
      </c>
      <c r="E1908" s="6">
        <v>0.44374999999999998</v>
      </c>
      <c r="F1908" s="6">
        <v>0.73888888888888893</v>
      </c>
      <c r="G1908" s="3" t="s">
        <v>20</v>
      </c>
      <c r="H1908" s="3" t="s">
        <v>27</v>
      </c>
      <c r="I1908" s="3" t="s">
        <v>21</v>
      </c>
    </row>
    <row r="1909" spans="1:9" s="3" customFormat="1" x14ac:dyDescent="0.3">
      <c r="A1909" s="3" t="s">
        <v>81</v>
      </c>
      <c r="B1909" s="3" t="s">
        <v>82</v>
      </c>
      <c r="C1909" s="3" t="s">
        <v>18</v>
      </c>
      <c r="D1909" s="3" t="s">
        <v>288</v>
      </c>
      <c r="E1909" s="6">
        <v>0.39861111111111114</v>
      </c>
      <c r="F1909" s="6">
        <v>0.72986111111111107</v>
      </c>
      <c r="G1909" s="3" t="s">
        <v>26</v>
      </c>
      <c r="H1909" s="3" t="s">
        <v>27</v>
      </c>
      <c r="I1909" s="3" t="s">
        <v>15</v>
      </c>
    </row>
    <row r="1910" spans="1:9" s="3" customFormat="1" x14ac:dyDescent="0.3">
      <c r="A1910" s="3" t="s">
        <v>216</v>
      </c>
      <c r="B1910" s="3" t="s">
        <v>217</v>
      </c>
      <c r="C1910" s="3" t="s">
        <v>18</v>
      </c>
      <c r="D1910" s="3" t="s">
        <v>283</v>
      </c>
      <c r="E1910" s="6">
        <v>0.39027777777777778</v>
      </c>
      <c r="F1910" s="6">
        <v>0.71458333333333335</v>
      </c>
      <c r="G1910" s="3" t="s">
        <v>26</v>
      </c>
      <c r="H1910" s="3" t="s">
        <v>27</v>
      </c>
      <c r="I1910" s="3" t="s">
        <v>15</v>
      </c>
    </row>
    <row r="1911" spans="1:9" s="3" customFormat="1" x14ac:dyDescent="0.3">
      <c r="A1911" s="3" t="s">
        <v>48</v>
      </c>
      <c r="B1911" s="3" t="s">
        <v>49</v>
      </c>
      <c r="C1911" s="3" t="s">
        <v>24</v>
      </c>
      <c r="D1911" s="3" t="s">
        <v>262</v>
      </c>
      <c r="E1911" s="6"/>
      <c r="F1911" s="6"/>
      <c r="G1911" s="3" t="s">
        <v>44</v>
      </c>
      <c r="H1911" s="3" t="s">
        <v>14</v>
      </c>
      <c r="I1911" s="3" t="s">
        <v>21</v>
      </c>
    </row>
    <row r="1912" spans="1:9" s="3" customFormat="1" x14ac:dyDescent="0.3">
      <c r="A1912" s="3" t="s">
        <v>62</v>
      </c>
      <c r="B1912" s="3" t="s">
        <v>63</v>
      </c>
      <c r="C1912" s="3" t="s">
        <v>24</v>
      </c>
      <c r="D1912" s="3" t="s">
        <v>68</v>
      </c>
      <c r="E1912" s="6">
        <v>0.36527777777777776</v>
      </c>
      <c r="F1912" s="6">
        <v>0.72430555555555554</v>
      </c>
      <c r="G1912" s="3" t="s">
        <v>13</v>
      </c>
      <c r="H1912" s="3" t="s">
        <v>14</v>
      </c>
      <c r="I1912" s="3" t="s">
        <v>21</v>
      </c>
    </row>
    <row r="1913" spans="1:9" s="3" customFormat="1" x14ac:dyDescent="0.3">
      <c r="A1913" s="3" t="s">
        <v>52</v>
      </c>
      <c r="B1913" s="3" t="s">
        <v>53</v>
      </c>
      <c r="C1913" s="3" t="s">
        <v>60</v>
      </c>
      <c r="D1913" s="3" t="s">
        <v>352</v>
      </c>
      <c r="E1913" s="6">
        <v>0.42777777777777776</v>
      </c>
      <c r="F1913" s="6">
        <v>0.77638888888888891</v>
      </c>
      <c r="G1913" s="3" t="s">
        <v>125</v>
      </c>
      <c r="H1913" s="3" t="s">
        <v>14</v>
      </c>
      <c r="I1913" s="3" t="s">
        <v>21</v>
      </c>
    </row>
    <row r="1914" spans="1:9" s="3" customFormat="1" x14ac:dyDescent="0.3">
      <c r="A1914" s="3" t="s">
        <v>138</v>
      </c>
      <c r="B1914" s="3" t="s">
        <v>139</v>
      </c>
      <c r="C1914" s="3" t="s">
        <v>64</v>
      </c>
      <c r="D1914" s="3" t="s">
        <v>273</v>
      </c>
      <c r="E1914" s="6">
        <v>0.4375</v>
      </c>
      <c r="F1914" s="6">
        <v>0.68402777777777779</v>
      </c>
      <c r="G1914" s="3" t="s">
        <v>26</v>
      </c>
      <c r="H1914" s="3" t="s">
        <v>27</v>
      </c>
      <c r="I1914" s="3" t="s">
        <v>15</v>
      </c>
    </row>
    <row r="1915" spans="1:9" s="3" customFormat="1" x14ac:dyDescent="0.3">
      <c r="A1915" s="3" t="s">
        <v>52</v>
      </c>
      <c r="B1915" s="3" t="s">
        <v>53</v>
      </c>
      <c r="C1915" s="3" t="s">
        <v>42</v>
      </c>
      <c r="D1915" s="3" t="s">
        <v>144</v>
      </c>
      <c r="E1915" s="6"/>
      <c r="F1915" s="6"/>
      <c r="G1915" s="3" t="s">
        <v>44</v>
      </c>
      <c r="H1915" s="3" t="s">
        <v>27</v>
      </c>
      <c r="I1915" s="3" t="s">
        <v>21</v>
      </c>
    </row>
    <row r="1916" spans="1:9" s="3" customFormat="1" x14ac:dyDescent="0.3">
      <c r="A1916" s="3" t="s">
        <v>81</v>
      </c>
      <c r="B1916" s="3" t="s">
        <v>82</v>
      </c>
      <c r="C1916" s="3" t="s">
        <v>64</v>
      </c>
      <c r="D1916" s="3" t="s">
        <v>144</v>
      </c>
      <c r="E1916" s="6">
        <v>0.37638888888888888</v>
      </c>
      <c r="F1916" s="6">
        <v>0.74652777777777779</v>
      </c>
      <c r="G1916" s="3" t="s">
        <v>13</v>
      </c>
      <c r="H1916" s="3" t="s">
        <v>27</v>
      </c>
      <c r="I1916" s="3" t="s">
        <v>21</v>
      </c>
    </row>
    <row r="1917" spans="1:9" s="3" customFormat="1" x14ac:dyDescent="0.3">
      <c r="A1917" s="3" t="s">
        <v>122</v>
      </c>
      <c r="B1917" s="3" t="s">
        <v>123</v>
      </c>
      <c r="C1917" s="3" t="s">
        <v>64</v>
      </c>
      <c r="D1917" s="3" t="s">
        <v>358</v>
      </c>
      <c r="E1917" s="6">
        <v>0.40416666666666667</v>
      </c>
      <c r="F1917" s="6">
        <v>0.86597222222222225</v>
      </c>
      <c r="G1917" s="3" t="s">
        <v>13</v>
      </c>
      <c r="H1917" s="3" t="s">
        <v>27</v>
      </c>
      <c r="I1917" s="3" t="s">
        <v>21</v>
      </c>
    </row>
    <row r="1918" spans="1:9" s="3" customFormat="1" x14ac:dyDescent="0.3">
      <c r="A1918" s="3" t="s">
        <v>246</v>
      </c>
      <c r="B1918" s="3" t="s">
        <v>247</v>
      </c>
      <c r="C1918" s="3" t="s">
        <v>60</v>
      </c>
      <c r="D1918" s="3" t="s">
        <v>288</v>
      </c>
      <c r="E1918" s="6">
        <v>0.4861111111111111</v>
      </c>
      <c r="F1918" s="6">
        <v>0.82222222222222219</v>
      </c>
      <c r="G1918" s="3" t="s">
        <v>26</v>
      </c>
      <c r="H1918" s="3" t="s">
        <v>27</v>
      </c>
      <c r="I1918" s="3" t="s">
        <v>21</v>
      </c>
    </row>
    <row r="1919" spans="1:9" s="3" customFormat="1" x14ac:dyDescent="0.3">
      <c r="A1919" s="3" t="s">
        <v>138</v>
      </c>
      <c r="B1919" s="3" t="s">
        <v>139</v>
      </c>
      <c r="C1919" s="3" t="s">
        <v>64</v>
      </c>
      <c r="D1919" s="3" t="s">
        <v>299</v>
      </c>
      <c r="E1919" s="6">
        <v>0.34652777777777777</v>
      </c>
      <c r="F1919" s="6">
        <v>0.86944444444444446</v>
      </c>
      <c r="G1919" s="3" t="s">
        <v>20</v>
      </c>
      <c r="H1919" s="3" t="s">
        <v>14</v>
      </c>
      <c r="I1919" s="3" t="s">
        <v>21</v>
      </c>
    </row>
    <row r="1920" spans="1:9" s="3" customFormat="1" x14ac:dyDescent="0.3">
      <c r="A1920" s="3" t="s">
        <v>28</v>
      </c>
      <c r="B1920" s="3" t="s">
        <v>29</v>
      </c>
      <c r="C1920" s="3" t="s">
        <v>60</v>
      </c>
      <c r="D1920" s="3" t="s">
        <v>278</v>
      </c>
      <c r="E1920" s="6">
        <v>0.42569444444444443</v>
      </c>
      <c r="F1920" s="6">
        <v>0.8569444444444444</v>
      </c>
      <c r="G1920" s="3" t="s">
        <v>13</v>
      </c>
      <c r="H1920" s="3" t="s">
        <v>27</v>
      </c>
      <c r="I1920" s="3" t="s">
        <v>21</v>
      </c>
    </row>
    <row r="1921" spans="1:9" s="3" customFormat="1" x14ac:dyDescent="0.3">
      <c r="A1921" s="3" t="s">
        <v>87</v>
      </c>
      <c r="B1921" s="3" t="s">
        <v>88</v>
      </c>
      <c r="C1921" s="3" t="s">
        <v>60</v>
      </c>
      <c r="D1921" s="3" t="s">
        <v>228</v>
      </c>
      <c r="E1921" s="6">
        <v>0.42986111111111114</v>
      </c>
      <c r="F1921" s="6">
        <v>0.84791666666666665</v>
      </c>
      <c r="G1921" s="3" t="s">
        <v>26</v>
      </c>
      <c r="H1921" s="3" t="s">
        <v>27</v>
      </c>
      <c r="I1921" s="3" t="s">
        <v>15</v>
      </c>
    </row>
    <row r="1922" spans="1:9" s="3" customFormat="1" x14ac:dyDescent="0.3">
      <c r="A1922" s="3" t="s">
        <v>84</v>
      </c>
      <c r="B1922" s="3" t="s">
        <v>85</v>
      </c>
      <c r="C1922" s="3" t="s">
        <v>60</v>
      </c>
      <c r="D1922" s="3" t="s">
        <v>47</v>
      </c>
      <c r="E1922" s="6">
        <v>0.36041666666666666</v>
      </c>
      <c r="F1922" s="6">
        <v>0.7729166666666667</v>
      </c>
      <c r="G1922" s="3" t="s">
        <v>20</v>
      </c>
      <c r="H1922" s="3" t="s">
        <v>14</v>
      </c>
      <c r="I1922" s="3" t="s">
        <v>15</v>
      </c>
    </row>
    <row r="1923" spans="1:9" s="3" customFormat="1" x14ac:dyDescent="0.3">
      <c r="A1923" s="3" t="s">
        <v>66</v>
      </c>
      <c r="B1923" s="3" t="s">
        <v>67</v>
      </c>
      <c r="C1923" s="3" t="s">
        <v>64</v>
      </c>
      <c r="D1923" s="3" t="s">
        <v>376</v>
      </c>
      <c r="E1923" s="6">
        <v>0.43472222222222223</v>
      </c>
      <c r="F1923" s="6">
        <v>0.80486111111111114</v>
      </c>
      <c r="G1923" s="3" t="s">
        <v>26</v>
      </c>
      <c r="H1923" s="3" t="s">
        <v>14</v>
      </c>
      <c r="I1923" s="3" t="s">
        <v>15</v>
      </c>
    </row>
    <row r="1924" spans="1:9" s="3" customFormat="1" x14ac:dyDescent="0.3">
      <c r="A1924" s="3" t="s">
        <v>96</v>
      </c>
      <c r="B1924" s="3" t="s">
        <v>97</v>
      </c>
      <c r="C1924" s="3" t="s">
        <v>60</v>
      </c>
      <c r="D1924" s="3" t="s">
        <v>406</v>
      </c>
      <c r="E1924" s="6">
        <v>0.38819444444444445</v>
      </c>
      <c r="F1924" s="6">
        <v>0.82291666666666663</v>
      </c>
      <c r="G1924" s="3" t="s">
        <v>26</v>
      </c>
      <c r="H1924" s="3" t="s">
        <v>27</v>
      </c>
      <c r="I1924" s="3" t="s">
        <v>15</v>
      </c>
    </row>
    <row r="1925" spans="1:9" s="3" customFormat="1" x14ac:dyDescent="0.3">
      <c r="A1925" s="3" t="s">
        <v>22</v>
      </c>
      <c r="B1925" s="3" t="s">
        <v>23</v>
      </c>
      <c r="C1925" s="3" t="s">
        <v>42</v>
      </c>
      <c r="D1925" s="3" t="s">
        <v>129</v>
      </c>
      <c r="E1925" s="6">
        <v>0.41875000000000001</v>
      </c>
      <c r="F1925" s="6">
        <v>0.85763888888888884</v>
      </c>
      <c r="G1925" s="3" t="s">
        <v>26</v>
      </c>
      <c r="H1925" s="3" t="s">
        <v>27</v>
      </c>
      <c r="I1925" s="3" t="s">
        <v>15</v>
      </c>
    </row>
    <row r="1926" spans="1:9" s="3" customFormat="1" x14ac:dyDescent="0.3">
      <c r="A1926" s="3" t="s">
        <v>22</v>
      </c>
      <c r="B1926" s="3" t="s">
        <v>23</v>
      </c>
      <c r="C1926" s="3" t="s">
        <v>24</v>
      </c>
      <c r="D1926" s="3" t="s">
        <v>223</v>
      </c>
      <c r="E1926" s="6">
        <v>0.4861111111111111</v>
      </c>
      <c r="F1926" s="6">
        <v>0.77152777777777781</v>
      </c>
      <c r="G1926" s="3" t="s">
        <v>13</v>
      </c>
      <c r="H1926" s="3" t="s">
        <v>27</v>
      </c>
      <c r="I1926" s="3" t="s">
        <v>15</v>
      </c>
    </row>
    <row r="1927" spans="1:9" s="3" customFormat="1" x14ac:dyDescent="0.3">
      <c r="A1927" s="3" t="s">
        <v>246</v>
      </c>
      <c r="B1927" s="3" t="s">
        <v>247</v>
      </c>
      <c r="C1927" s="3" t="s">
        <v>42</v>
      </c>
      <c r="D1927" s="3" t="s">
        <v>404</v>
      </c>
      <c r="E1927" s="6">
        <v>0.48541666666666666</v>
      </c>
      <c r="F1927" s="6">
        <v>0.83472222222222225</v>
      </c>
      <c r="G1927" s="3" t="s">
        <v>26</v>
      </c>
      <c r="H1927" s="3" t="s">
        <v>27</v>
      </c>
      <c r="I1927" s="3" t="s">
        <v>15</v>
      </c>
    </row>
    <row r="1928" spans="1:9" s="3" customFormat="1" x14ac:dyDescent="0.3">
      <c r="A1928" s="3" t="s">
        <v>197</v>
      </c>
      <c r="B1928" s="3" t="s">
        <v>198</v>
      </c>
      <c r="C1928" s="3" t="s">
        <v>64</v>
      </c>
      <c r="D1928" s="3" t="s">
        <v>267</v>
      </c>
      <c r="E1928" s="6"/>
      <c r="F1928" s="6"/>
      <c r="G1928" s="3" t="s">
        <v>44</v>
      </c>
      <c r="H1928" s="3" t="s">
        <v>14</v>
      </c>
      <c r="I1928" s="3" t="s">
        <v>15</v>
      </c>
    </row>
    <row r="1929" spans="1:9" s="3" customFormat="1" x14ac:dyDescent="0.3">
      <c r="A1929" s="3" t="s">
        <v>87</v>
      </c>
      <c r="B1929" s="3" t="s">
        <v>88</v>
      </c>
      <c r="C1929" s="3" t="s">
        <v>64</v>
      </c>
      <c r="D1929" s="3" t="s">
        <v>180</v>
      </c>
      <c r="E1929" s="6">
        <v>0.41388888888888886</v>
      </c>
      <c r="F1929" s="6">
        <v>0.73402777777777772</v>
      </c>
      <c r="G1929" s="3" t="s">
        <v>26</v>
      </c>
      <c r="H1929" s="3" t="s">
        <v>27</v>
      </c>
      <c r="I1929" s="3" t="s">
        <v>21</v>
      </c>
    </row>
    <row r="1930" spans="1:9" s="3" customFormat="1" x14ac:dyDescent="0.3">
      <c r="A1930" s="3" t="s">
        <v>236</v>
      </c>
      <c r="B1930" s="3" t="s">
        <v>237</v>
      </c>
      <c r="C1930" s="3" t="s">
        <v>60</v>
      </c>
      <c r="D1930" s="3" t="s">
        <v>324</v>
      </c>
      <c r="E1930" s="6"/>
      <c r="F1930" s="6"/>
      <c r="G1930" s="3" t="s">
        <v>44</v>
      </c>
      <c r="H1930" s="3" t="s">
        <v>27</v>
      </c>
      <c r="I1930" s="3" t="s">
        <v>15</v>
      </c>
    </row>
    <row r="1931" spans="1:9" s="3" customFormat="1" x14ac:dyDescent="0.3">
      <c r="A1931" s="3" t="s">
        <v>58</v>
      </c>
      <c r="B1931" s="3" t="s">
        <v>59</v>
      </c>
      <c r="C1931" s="3" t="s">
        <v>18</v>
      </c>
      <c r="D1931" s="3" t="s">
        <v>396</v>
      </c>
      <c r="E1931" s="6"/>
      <c r="F1931" s="6"/>
      <c r="G1931" s="3" t="s">
        <v>44</v>
      </c>
      <c r="H1931" s="3" t="s">
        <v>14</v>
      </c>
      <c r="I1931" s="3" t="s">
        <v>21</v>
      </c>
    </row>
    <row r="1932" spans="1:9" s="3" customFormat="1" x14ac:dyDescent="0.3">
      <c r="A1932" s="3" t="s">
        <v>78</v>
      </c>
      <c r="B1932" s="3" t="s">
        <v>79</v>
      </c>
      <c r="C1932" s="3" t="s">
        <v>24</v>
      </c>
      <c r="D1932" s="3" t="s">
        <v>71</v>
      </c>
      <c r="E1932" s="6"/>
      <c r="F1932" s="6"/>
      <c r="G1932" s="3" t="s">
        <v>44</v>
      </c>
      <c r="H1932" s="3" t="s">
        <v>27</v>
      </c>
      <c r="I1932" s="3" t="s">
        <v>21</v>
      </c>
    </row>
    <row r="1933" spans="1:9" s="3" customFormat="1" x14ac:dyDescent="0.3">
      <c r="A1933" s="3" t="s">
        <v>31</v>
      </c>
      <c r="B1933" s="3" t="s">
        <v>32</v>
      </c>
      <c r="C1933" s="3" t="s">
        <v>24</v>
      </c>
      <c r="D1933" s="3" t="s">
        <v>386</v>
      </c>
      <c r="E1933" s="6">
        <v>0.46736111111111112</v>
      </c>
      <c r="F1933" s="6">
        <v>0.72638888888888886</v>
      </c>
      <c r="G1933" s="3" t="s">
        <v>13</v>
      </c>
      <c r="H1933" s="3" t="s">
        <v>27</v>
      </c>
      <c r="I1933" s="3" t="s">
        <v>15</v>
      </c>
    </row>
    <row r="1934" spans="1:9" s="3" customFormat="1" x14ac:dyDescent="0.3">
      <c r="A1934" s="3" t="s">
        <v>204</v>
      </c>
      <c r="B1934" s="3" t="s">
        <v>205</v>
      </c>
      <c r="C1934" s="3" t="s">
        <v>64</v>
      </c>
      <c r="D1934" s="3" t="s">
        <v>145</v>
      </c>
      <c r="E1934" s="6">
        <v>0.36180555555555555</v>
      </c>
      <c r="F1934" s="6">
        <v>0.83402777777777781</v>
      </c>
      <c r="G1934" s="3" t="s">
        <v>13</v>
      </c>
      <c r="H1934" s="3" t="s">
        <v>27</v>
      </c>
      <c r="I1934" s="3" t="s">
        <v>15</v>
      </c>
    </row>
    <row r="1935" spans="1:9" s="3" customFormat="1" x14ac:dyDescent="0.3">
      <c r="A1935" s="3" t="s">
        <v>141</v>
      </c>
      <c r="B1935" s="3" t="s">
        <v>142</v>
      </c>
      <c r="C1935" s="3" t="s">
        <v>18</v>
      </c>
      <c r="D1935" s="3" t="s">
        <v>253</v>
      </c>
      <c r="E1935" s="6">
        <v>0.3576388888888889</v>
      </c>
      <c r="F1935" s="6">
        <v>0.81041666666666667</v>
      </c>
      <c r="G1935" s="3" t="s">
        <v>26</v>
      </c>
      <c r="H1935" s="3" t="s">
        <v>14</v>
      </c>
      <c r="I1935" s="3" t="s">
        <v>21</v>
      </c>
    </row>
    <row r="1936" spans="1:9" s="3" customFormat="1" x14ac:dyDescent="0.3">
      <c r="A1936" s="3" t="s">
        <v>250</v>
      </c>
      <c r="B1936" s="3" t="s">
        <v>251</v>
      </c>
      <c r="C1936" s="3" t="s">
        <v>64</v>
      </c>
      <c r="D1936" s="3" t="s">
        <v>389</v>
      </c>
      <c r="E1936" s="6">
        <v>0.38680555555555557</v>
      </c>
      <c r="F1936" s="6">
        <v>0.72291666666666665</v>
      </c>
      <c r="G1936" s="3" t="s">
        <v>13</v>
      </c>
      <c r="H1936" s="3" t="s">
        <v>27</v>
      </c>
      <c r="I1936" s="3" t="s">
        <v>15</v>
      </c>
    </row>
    <row r="1937" spans="1:9" s="3" customFormat="1" x14ac:dyDescent="0.3">
      <c r="A1937" s="3" t="s">
        <v>96</v>
      </c>
      <c r="B1937" s="3" t="s">
        <v>97</v>
      </c>
      <c r="C1937" s="3" t="s">
        <v>24</v>
      </c>
      <c r="D1937" s="3" t="s">
        <v>371</v>
      </c>
      <c r="E1937" s="6">
        <v>0.41319444444444442</v>
      </c>
      <c r="F1937" s="6">
        <v>0.78055555555555556</v>
      </c>
      <c r="G1937" s="3" t="s">
        <v>26</v>
      </c>
      <c r="H1937" s="3" t="s">
        <v>27</v>
      </c>
      <c r="I1937" s="3" t="s">
        <v>21</v>
      </c>
    </row>
    <row r="1938" spans="1:9" s="3" customFormat="1" x14ac:dyDescent="0.3">
      <c r="A1938" s="3" t="s">
        <v>150</v>
      </c>
      <c r="B1938" s="3" t="s">
        <v>151</v>
      </c>
      <c r="C1938" s="3" t="s">
        <v>24</v>
      </c>
      <c r="D1938" s="3" t="s">
        <v>330</v>
      </c>
      <c r="E1938" s="6"/>
      <c r="F1938" s="6"/>
      <c r="G1938" s="3" t="s">
        <v>44</v>
      </c>
      <c r="H1938" s="3" t="s">
        <v>14</v>
      </c>
      <c r="I1938" s="3" t="s">
        <v>15</v>
      </c>
    </row>
    <row r="1939" spans="1:9" s="3" customFormat="1" x14ac:dyDescent="0.3">
      <c r="A1939" s="3" t="s">
        <v>138</v>
      </c>
      <c r="B1939" s="3" t="s">
        <v>139</v>
      </c>
      <c r="C1939" s="3" t="s">
        <v>64</v>
      </c>
      <c r="D1939" s="3" t="s">
        <v>299</v>
      </c>
      <c r="E1939" s="6">
        <v>0.47013888888888888</v>
      </c>
      <c r="F1939" s="6">
        <v>0.6875</v>
      </c>
      <c r="G1939" s="3" t="s">
        <v>26</v>
      </c>
      <c r="H1939" s="3" t="s">
        <v>27</v>
      </c>
      <c r="I1939" s="3" t="s">
        <v>21</v>
      </c>
    </row>
    <row r="1940" spans="1:9" s="3" customFormat="1" x14ac:dyDescent="0.3">
      <c r="A1940" s="3" t="s">
        <v>338</v>
      </c>
      <c r="B1940" s="3" t="s">
        <v>339</v>
      </c>
      <c r="C1940" s="3" t="s">
        <v>42</v>
      </c>
      <c r="D1940" s="3" t="s">
        <v>326</v>
      </c>
      <c r="E1940" s="6">
        <v>0.36458333333333331</v>
      </c>
      <c r="F1940" s="6">
        <v>0.86597222222222225</v>
      </c>
      <c r="G1940" s="3" t="s">
        <v>20</v>
      </c>
      <c r="H1940" s="3" t="s">
        <v>14</v>
      </c>
      <c r="I1940" s="3" t="s">
        <v>15</v>
      </c>
    </row>
    <row r="1941" spans="1:9" s="3" customFormat="1" x14ac:dyDescent="0.3">
      <c r="A1941" s="3" t="s">
        <v>338</v>
      </c>
      <c r="B1941" s="3" t="s">
        <v>339</v>
      </c>
      <c r="C1941" s="3" t="s">
        <v>24</v>
      </c>
      <c r="D1941" s="3" t="s">
        <v>219</v>
      </c>
      <c r="E1941" s="6">
        <v>0.41666666666666669</v>
      </c>
      <c r="F1941" s="6">
        <v>0.84791666666666665</v>
      </c>
      <c r="G1941" s="3" t="s">
        <v>125</v>
      </c>
      <c r="H1941" s="3" t="s">
        <v>14</v>
      </c>
      <c r="I1941" s="3" t="s">
        <v>21</v>
      </c>
    </row>
    <row r="1942" spans="1:9" s="3" customFormat="1" x14ac:dyDescent="0.3">
      <c r="A1942" s="3" t="s">
        <v>146</v>
      </c>
      <c r="B1942" s="3" t="s">
        <v>147</v>
      </c>
      <c r="C1942" s="3" t="s">
        <v>18</v>
      </c>
      <c r="D1942" s="3" t="s">
        <v>347</v>
      </c>
      <c r="E1942" s="6"/>
      <c r="F1942" s="6"/>
      <c r="G1942" s="3" t="s">
        <v>44</v>
      </c>
      <c r="H1942" s="3" t="s">
        <v>27</v>
      </c>
      <c r="I1942" s="3" t="s">
        <v>15</v>
      </c>
    </row>
    <row r="1943" spans="1:9" s="3" customFormat="1" x14ac:dyDescent="0.3">
      <c r="A1943" s="3" t="s">
        <v>40</v>
      </c>
      <c r="B1943" s="3" t="s">
        <v>41</v>
      </c>
      <c r="C1943" s="3" t="s">
        <v>64</v>
      </c>
      <c r="D1943" s="3" t="s">
        <v>276</v>
      </c>
      <c r="E1943" s="6">
        <v>0.44305555555555554</v>
      </c>
      <c r="F1943" s="6">
        <v>0.74444444444444446</v>
      </c>
      <c r="G1943" s="3" t="s">
        <v>13</v>
      </c>
      <c r="H1943" s="3" t="s">
        <v>27</v>
      </c>
      <c r="I1943" s="3" t="s">
        <v>15</v>
      </c>
    </row>
    <row r="1944" spans="1:9" s="3" customFormat="1" x14ac:dyDescent="0.3">
      <c r="A1944" s="3" t="s">
        <v>200</v>
      </c>
      <c r="B1944" s="3" t="s">
        <v>201</v>
      </c>
      <c r="C1944" s="3" t="s">
        <v>64</v>
      </c>
      <c r="D1944" s="3" t="s">
        <v>318</v>
      </c>
      <c r="E1944" s="6">
        <v>0.40763888888888888</v>
      </c>
      <c r="F1944" s="6">
        <v>0.81111111111111112</v>
      </c>
      <c r="G1944" s="3" t="s">
        <v>20</v>
      </c>
      <c r="H1944" s="3" t="s">
        <v>27</v>
      </c>
      <c r="I1944" s="3" t="s">
        <v>15</v>
      </c>
    </row>
    <row r="1945" spans="1:9" s="3" customFormat="1" x14ac:dyDescent="0.3">
      <c r="A1945" s="3" t="s">
        <v>34</v>
      </c>
      <c r="B1945" s="3" t="s">
        <v>35</v>
      </c>
      <c r="C1945" s="3" t="s">
        <v>24</v>
      </c>
      <c r="D1945" s="3" t="s">
        <v>332</v>
      </c>
      <c r="E1945" s="6">
        <v>0.38472222222222224</v>
      </c>
      <c r="F1945" s="6">
        <v>0.84791666666666665</v>
      </c>
      <c r="G1945" s="3" t="s">
        <v>13</v>
      </c>
      <c r="H1945" s="3" t="s">
        <v>27</v>
      </c>
      <c r="I1945" s="3" t="s">
        <v>21</v>
      </c>
    </row>
    <row r="1946" spans="1:9" s="3" customFormat="1" x14ac:dyDescent="0.3">
      <c r="A1946" s="3" t="s">
        <v>81</v>
      </c>
      <c r="B1946" s="3" t="s">
        <v>82</v>
      </c>
      <c r="C1946" s="3" t="s">
        <v>24</v>
      </c>
      <c r="D1946" s="3" t="s">
        <v>233</v>
      </c>
      <c r="E1946" s="6">
        <v>0.49513888888888891</v>
      </c>
      <c r="F1946" s="6">
        <v>0.67708333333333337</v>
      </c>
      <c r="G1946" s="3" t="s">
        <v>20</v>
      </c>
      <c r="H1946" s="3" t="s">
        <v>27</v>
      </c>
      <c r="I1946" s="3" t="s">
        <v>15</v>
      </c>
    </row>
    <row r="1947" spans="1:9" s="3" customFormat="1" x14ac:dyDescent="0.3">
      <c r="A1947" s="3" t="s">
        <v>34</v>
      </c>
      <c r="B1947" s="3" t="s">
        <v>35</v>
      </c>
      <c r="C1947" s="3" t="s">
        <v>64</v>
      </c>
      <c r="D1947" s="3" t="s">
        <v>39</v>
      </c>
      <c r="E1947" s="6">
        <v>0.48749999999999999</v>
      </c>
      <c r="F1947" s="6">
        <v>0.67361111111111116</v>
      </c>
      <c r="G1947" s="3" t="s">
        <v>26</v>
      </c>
      <c r="H1947" s="3" t="s">
        <v>14</v>
      </c>
      <c r="I1947" s="3" t="s">
        <v>21</v>
      </c>
    </row>
    <row r="1948" spans="1:9" s="3" customFormat="1" x14ac:dyDescent="0.3">
      <c r="A1948" s="3" t="s">
        <v>62</v>
      </c>
      <c r="B1948" s="3" t="s">
        <v>63</v>
      </c>
      <c r="C1948" s="3" t="s">
        <v>42</v>
      </c>
      <c r="D1948" s="3" t="s">
        <v>405</v>
      </c>
      <c r="E1948" s="6"/>
      <c r="F1948" s="6"/>
      <c r="G1948" s="3" t="s">
        <v>44</v>
      </c>
      <c r="H1948" s="3" t="s">
        <v>27</v>
      </c>
      <c r="I1948" s="3" t="s">
        <v>15</v>
      </c>
    </row>
    <row r="1949" spans="1:9" s="3" customFormat="1" x14ac:dyDescent="0.3">
      <c r="A1949" s="3" t="s">
        <v>165</v>
      </c>
      <c r="B1949" s="3" t="s">
        <v>166</v>
      </c>
      <c r="C1949" s="3" t="s">
        <v>60</v>
      </c>
      <c r="D1949" s="3" t="s">
        <v>297</v>
      </c>
      <c r="E1949" s="6">
        <v>0.41736111111111113</v>
      </c>
      <c r="F1949" s="6">
        <v>0.70972222222222225</v>
      </c>
      <c r="G1949" s="3" t="s">
        <v>13</v>
      </c>
      <c r="H1949" s="3" t="s">
        <v>27</v>
      </c>
      <c r="I1949" s="3" t="s">
        <v>21</v>
      </c>
    </row>
    <row r="1950" spans="1:9" s="3" customFormat="1" x14ac:dyDescent="0.3">
      <c r="A1950" s="3" t="s">
        <v>130</v>
      </c>
      <c r="B1950" s="3" t="s">
        <v>131</v>
      </c>
      <c r="C1950" s="3" t="s">
        <v>42</v>
      </c>
      <c r="D1950" s="3" t="s">
        <v>314</v>
      </c>
      <c r="E1950" s="6">
        <v>0.49027777777777776</v>
      </c>
      <c r="F1950" s="6">
        <v>0.73055555555555551</v>
      </c>
      <c r="G1950" s="3" t="s">
        <v>20</v>
      </c>
      <c r="H1950" s="3" t="s">
        <v>14</v>
      </c>
      <c r="I1950" s="3" t="s">
        <v>21</v>
      </c>
    </row>
    <row r="1951" spans="1:9" s="3" customFormat="1" x14ac:dyDescent="0.3">
      <c r="A1951" s="3" t="s">
        <v>72</v>
      </c>
      <c r="B1951" s="3" t="s">
        <v>73</v>
      </c>
      <c r="C1951" s="3" t="s">
        <v>42</v>
      </c>
      <c r="D1951" s="3" t="s">
        <v>230</v>
      </c>
      <c r="E1951" s="6">
        <v>0.34375</v>
      </c>
      <c r="F1951" s="6">
        <v>0.81111111111111112</v>
      </c>
      <c r="G1951" s="3" t="s">
        <v>20</v>
      </c>
      <c r="H1951" s="3" t="s">
        <v>27</v>
      </c>
      <c r="I1951" s="3" t="s">
        <v>15</v>
      </c>
    </row>
    <row r="1952" spans="1:9" s="3" customFormat="1" x14ac:dyDescent="0.3">
      <c r="A1952" s="3" t="s">
        <v>58</v>
      </c>
      <c r="B1952" s="3" t="s">
        <v>59</v>
      </c>
      <c r="C1952" s="3" t="s">
        <v>60</v>
      </c>
      <c r="D1952" s="3" t="s">
        <v>327</v>
      </c>
      <c r="E1952" s="6">
        <v>0.43402777777777779</v>
      </c>
      <c r="F1952" s="6">
        <v>0.77430555555555558</v>
      </c>
      <c r="G1952" s="3" t="s">
        <v>13</v>
      </c>
      <c r="H1952" s="3" t="s">
        <v>27</v>
      </c>
      <c r="I1952" s="3" t="s">
        <v>15</v>
      </c>
    </row>
    <row r="1953" spans="1:9" s="3" customFormat="1" x14ac:dyDescent="0.3">
      <c r="A1953" s="3" t="s">
        <v>146</v>
      </c>
      <c r="B1953" s="3" t="s">
        <v>147</v>
      </c>
      <c r="C1953" s="3" t="s">
        <v>42</v>
      </c>
      <c r="D1953" s="3" t="s">
        <v>359</v>
      </c>
      <c r="E1953" s="6"/>
      <c r="F1953" s="6"/>
      <c r="G1953" s="3" t="s">
        <v>44</v>
      </c>
      <c r="H1953" s="3" t="s">
        <v>27</v>
      </c>
      <c r="I1953" s="3" t="s">
        <v>21</v>
      </c>
    </row>
    <row r="1954" spans="1:9" s="3" customFormat="1" x14ac:dyDescent="0.3">
      <c r="A1954" s="3" t="s">
        <v>16</v>
      </c>
      <c r="B1954" s="3" t="s">
        <v>17</v>
      </c>
      <c r="C1954" s="3" t="s">
        <v>60</v>
      </c>
      <c r="D1954" s="3" t="s">
        <v>360</v>
      </c>
      <c r="E1954" s="6">
        <v>0.38333333333333336</v>
      </c>
      <c r="F1954" s="6">
        <v>0.85277777777777775</v>
      </c>
      <c r="G1954" s="3" t="s">
        <v>13</v>
      </c>
      <c r="H1954" s="3" t="s">
        <v>14</v>
      </c>
      <c r="I1954" s="3" t="s">
        <v>15</v>
      </c>
    </row>
    <row r="1955" spans="1:9" s="3" customFormat="1" x14ac:dyDescent="0.3">
      <c r="A1955" s="3" t="s">
        <v>194</v>
      </c>
      <c r="B1955" s="3" t="s">
        <v>195</v>
      </c>
      <c r="C1955" s="3" t="s">
        <v>42</v>
      </c>
      <c r="D1955" s="3" t="s">
        <v>174</v>
      </c>
      <c r="E1955" s="6">
        <v>0.49444444444444446</v>
      </c>
      <c r="F1955" s="6">
        <v>0.82708333333333328</v>
      </c>
      <c r="G1955" s="3" t="s">
        <v>26</v>
      </c>
      <c r="H1955" s="3" t="s">
        <v>27</v>
      </c>
      <c r="I1955" s="3" t="s">
        <v>21</v>
      </c>
    </row>
    <row r="1956" spans="1:9" s="3" customFormat="1" x14ac:dyDescent="0.3">
      <c r="A1956" s="3" t="s">
        <v>119</v>
      </c>
      <c r="B1956" s="3" t="s">
        <v>120</v>
      </c>
      <c r="C1956" s="3" t="s">
        <v>24</v>
      </c>
      <c r="D1956" s="3" t="s">
        <v>162</v>
      </c>
      <c r="E1956" s="6">
        <v>0.33541666666666664</v>
      </c>
      <c r="F1956" s="6">
        <v>0.74236111111111114</v>
      </c>
      <c r="G1956" s="3" t="s">
        <v>26</v>
      </c>
      <c r="H1956" s="3" t="s">
        <v>14</v>
      </c>
      <c r="I1956" s="3" t="s">
        <v>15</v>
      </c>
    </row>
    <row r="1957" spans="1:9" s="3" customFormat="1" x14ac:dyDescent="0.3">
      <c r="A1957" s="3" t="s">
        <v>66</v>
      </c>
      <c r="B1957" s="3" t="s">
        <v>67</v>
      </c>
      <c r="C1957" s="3" t="s">
        <v>24</v>
      </c>
      <c r="D1957" s="3" t="s">
        <v>284</v>
      </c>
      <c r="E1957" s="6">
        <v>0.46041666666666664</v>
      </c>
      <c r="F1957" s="6">
        <v>0.82638888888888884</v>
      </c>
      <c r="G1957" s="3" t="s">
        <v>26</v>
      </c>
      <c r="H1957" s="3" t="s">
        <v>27</v>
      </c>
      <c r="I1957" s="3" t="s">
        <v>15</v>
      </c>
    </row>
    <row r="1958" spans="1:9" s="3" customFormat="1" x14ac:dyDescent="0.3">
      <c r="A1958" s="3" t="s">
        <v>112</v>
      </c>
      <c r="B1958" s="3" t="s">
        <v>113</v>
      </c>
      <c r="C1958" s="3" t="s">
        <v>18</v>
      </c>
      <c r="D1958" s="3" t="s">
        <v>320</v>
      </c>
      <c r="E1958" s="6">
        <v>0.46597222222222223</v>
      </c>
      <c r="F1958" s="6">
        <v>0.76180555555555551</v>
      </c>
      <c r="G1958" s="3" t="s">
        <v>20</v>
      </c>
      <c r="H1958" s="3" t="s">
        <v>27</v>
      </c>
      <c r="I1958" s="3" t="s">
        <v>21</v>
      </c>
    </row>
    <row r="1959" spans="1:9" s="3" customFormat="1" x14ac:dyDescent="0.3">
      <c r="A1959" s="3" t="s">
        <v>157</v>
      </c>
      <c r="B1959" s="3" t="s">
        <v>158</v>
      </c>
      <c r="C1959" s="3" t="s">
        <v>64</v>
      </c>
      <c r="D1959" s="3" t="s">
        <v>311</v>
      </c>
      <c r="E1959" s="6">
        <v>0.47152777777777777</v>
      </c>
      <c r="F1959" s="6">
        <v>0.74027777777777781</v>
      </c>
      <c r="G1959" s="3" t="s">
        <v>13</v>
      </c>
      <c r="H1959" s="3" t="s">
        <v>27</v>
      </c>
      <c r="I1959" s="3" t="s">
        <v>15</v>
      </c>
    </row>
    <row r="1960" spans="1:9" s="3" customFormat="1" x14ac:dyDescent="0.3">
      <c r="A1960" s="3" t="s">
        <v>246</v>
      </c>
      <c r="B1960" s="3" t="s">
        <v>247</v>
      </c>
      <c r="C1960" s="3" t="s">
        <v>64</v>
      </c>
      <c r="D1960" s="3" t="s">
        <v>406</v>
      </c>
      <c r="E1960" s="6"/>
      <c r="F1960" s="6"/>
      <c r="G1960" s="3" t="s">
        <v>44</v>
      </c>
      <c r="H1960" s="3" t="s">
        <v>27</v>
      </c>
      <c r="I1960" s="3" t="s">
        <v>15</v>
      </c>
    </row>
    <row r="1961" spans="1:9" s="3" customFormat="1" x14ac:dyDescent="0.3">
      <c r="A1961" s="3" t="s">
        <v>291</v>
      </c>
      <c r="B1961" s="3" t="s">
        <v>292</v>
      </c>
      <c r="C1961" s="3" t="s">
        <v>42</v>
      </c>
      <c r="D1961" s="3" t="s">
        <v>50</v>
      </c>
      <c r="E1961" s="6">
        <v>0.45624999999999999</v>
      </c>
      <c r="F1961" s="6">
        <v>0.81111111111111112</v>
      </c>
      <c r="G1961" s="3" t="s">
        <v>20</v>
      </c>
      <c r="H1961" s="3" t="s">
        <v>14</v>
      </c>
      <c r="I1961" s="3" t="s">
        <v>21</v>
      </c>
    </row>
    <row r="1962" spans="1:9" s="3" customFormat="1" x14ac:dyDescent="0.3">
      <c r="A1962" s="3" t="s">
        <v>150</v>
      </c>
      <c r="B1962" s="3" t="s">
        <v>151</v>
      </c>
      <c r="C1962" s="3" t="s">
        <v>24</v>
      </c>
      <c r="D1962" s="3" t="s">
        <v>382</v>
      </c>
      <c r="E1962" s="6">
        <v>0.40138888888888891</v>
      </c>
      <c r="F1962" s="6">
        <v>0.71319444444444446</v>
      </c>
      <c r="G1962" s="3" t="s">
        <v>170</v>
      </c>
      <c r="H1962" s="3" t="s">
        <v>27</v>
      </c>
      <c r="I1962" s="3" t="s">
        <v>15</v>
      </c>
    </row>
    <row r="1963" spans="1:9" s="3" customFormat="1" x14ac:dyDescent="0.3">
      <c r="A1963" s="3" t="s">
        <v>338</v>
      </c>
      <c r="B1963" s="3" t="s">
        <v>339</v>
      </c>
      <c r="C1963" s="3" t="s">
        <v>64</v>
      </c>
      <c r="D1963" s="3" t="s">
        <v>61</v>
      </c>
      <c r="E1963" s="6">
        <v>0.33750000000000002</v>
      </c>
      <c r="F1963" s="6">
        <v>0.77361111111111114</v>
      </c>
      <c r="G1963" s="3" t="s">
        <v>13</v>
      </c>
      <c r="H1963" s="3" t="s">
        <v>14</v>
      </c>
      <c r="I1963" s="3" t="s">
        <v>15</v>
      </c>
    </row>
    <row r="1964" spans="1:9" s="3" customFormat="1" x14ac:dyDescent="0.3">
      <c r="A1964" s="3" t="s">
        <v>69</v>
      </c>
      <c r="B1964" s="3" t="s">
        <v>70</v>
      </c>
      <c r="C1964" s="3" t="s">
        <v>24</v>
      </c>
      <c r="D1964" s="3" t="s">
        <v>111</v>
      </c>
      <c r="E1964" s="6"/>
      <c r="F1964" s="6"/>
      <c r="G1964" s="3" t="s">
        <v>44</v>
      </c>
      <c r="H1964" s="3" t="s">
        <v>14</v>
      </c>
      <c r="I1964" s="3" t="s">
        <v>15</v>
      </c>
    </row>
    <row r="1965" spans="1:9" s="3" customFormat="1" x14ac:dyDescent="0.3">
      <c r="A1965" s="3" t="s">
        <v>200</v>
      </c>
      <c r="B1965" s="3" t="s">
        <v>201</v>
      </c>
      <c r="C1965" s="3" t="s">
        <v>64</v>
      </c>
      <c r="D1965" s="3" t="s">
        <v>371</v>
      </c>
      <c r="E1965" s="6">
        <v>0.47361111111111109</v>
      </c>
      <c r="F1965" s="6">
        <v>0.68402777777777779</v>
      </c>
      <c r="G1965" s="3" t="s">
        <v>20</v>
      </c>
      <c r="H1965" s="3" t="s">
        <v>14</v>
      </c>
      <c r="I1965" s="3" t="s">
        <v>15</v>
      </c>
    </row>
    <row r="1966" spans="1:9" s="3" customFormat="1" x14ac:dyDescent="0.3">
      <c r="A1966" s="3" t="s">
        <v>55</v>
      </c>
      <c r="B1966" s="3" t="s">
        <v>56</v>
      </c>
      <c r="C1966" s="3" t="s">
        <v>42</v>
      </c>
      <c r="D1966" s="3" t="s">
        <v>221</v>
      </c>
      <c r="E1966" s="6">
        <v>0.41597222222222224</v>
      </c>
      <c r="F1966" s="6">
        <v>0.86458333333333337</v>
      </c>
      <c r="G1966" s="3" t="s">
        <v>20</v>
      </c>
      <c r="H1966" s="3" t="s">
        <v>14</v>
      </c>
      <c r="I1966" s="3" t="s">
        <v>21</v>
      </c>
    </row>
    <row r="1967" spans="1:9" s="3" customFormat="1" x14ac:dyDescent="0.3">
      <c r="A1967" s="3" t="s">
        <v>16</v>
      </c>
      <c r="B1967" s="3" t="s">
        <v>17</v>
      </c>
      <c r="C1967" s="3" t="s">
        <v>42</v>
      </c>
      <c r="D1967" s="3" t="s">
        <v>126</v>
      </c>
      <c r="E1967" s="6"/>
      <c r="F1967" s="6"/>
      <c r="G1967" s="3" t="s">
        <v>44</v>
      </c>
      <c r="H1967" s="3" t="s">
        <v>27</v>
      </c>
      <c r="I1967" s="3" t="s">
        <v>15</v>
      </c>
    </row>
    <row r="1968" spans="1:9" s="3" customFormat="1" x14ac:dyDescent="0.3">
      <c r="A1968" s="3" t="s">
        <v>40</v>
      </c>
      <c r="B1968" s="3" t="s">
        <v>41</v>
      </c>
      <c r="C1968" s="3" t="s">
        <v>18</v>
      </c>
      <c r="D1968" s="3" t="s">
        <v>415</v>
      </c>
      <c r="E1968" s="6">
        <v>0.34305555555555556</v>
      </c>
      <c r="F1968" s="6">
        <v>0.79027777777777775</v>
      </c>
      <c r="G1968" s="3" t="s">
        <v>26</v>
      </c>
      <c r="H1968" s="3" t="s">
        <v>27</v>
      </c>
      <c r="I1968" s="3" t="s">
        <v>21</v>
      </c>
    </row>
    <row r="1969" spans="1:9" s="3" customFormat="1" x14ac:dyDescent="0.3">
      <c r="A1969" s="3" t="s">
        <v>250</v>
      </c>
      <c r="B1969" s="3" t="s">
        <v>251</v>
      </c>
      <c r="C1969" s="3" t="s">
        <v>64</v>
      </c>
      <c r="D1969" s="3" t="s">
        <v>196</v>
      </c>
      <c r="E1969" s="6">
        <v>0.37569444444444444</v>
      </c>
      <c r="F1969" s="6">
        <v>0.86597222222222225</v>
      </c>
      <c r="G1969" s="3" t="s">
        <v>170</v>
      </c>
      <c r="H1969" s="3" t="s">
        <v>27</v>
      </c>
      <c r="I1969" s="3" t="s">
        <v>21</v>
      </c>
    </row>
    <row r="1970" spans="1:9" s="3" customFormat="1" x14ac:dyDescent="0.3">
      <c r="A1970" s="3" t="s">
        <v>187</v>
      </c>
      <c r="B1970" s="3" t="s">
        <v>188</v>
      </c>
      <c r="C1970" s="3" t="s">
        <v>18</v>
      </c>
      <c r="D1970" s="3" t="s">
        <v>311</v>
      </c>
      <c r="E1970" s="6">
        <v>0.33888888888888891</v>
      </c>
      <c r="F1970" s="6">
        <v>0.80277777777777781</v>
      </c>
      <c r="G1970" s="3" t="s">
        <v>13</v>
      </c>
      <c r="H1970" s="3" t="s">
        <v>14</v>
      </c>
      <c r="I1970" s="3" t="s">
        <v>15</v>
      </c>
    </row>
    <row r="1971" spans="1:9" s="3" customFormat="1" x14ac:dyDescent="0.3">
      <c r="A1971" s="3" t="s">
        <v>109</v>
      </c>
      <c r="B1971" s="3" t="s">
        <v>110</v>
      </c>
      <c r="C1971" s="3" t="s">
        <v>60</v>
      </c>
      <c r="D1971" s="3" t="s">
        <v>65</v>
      </c>
      <c r="E1971" s="6">
        <v>0.40902777777777777</v>
      </c>
      <c r="F1971" s="6">
        <v>0.71527777777777779</v>
      </c>
      <c r="G1971" s="3" t="s">
        <v>13</v>
      </c>
      <c r="H1971" s="3" t="s">
        <v>14</v>
      </c>
      <c r="I1971" s="3" t="s">
        <v>15</v>
      </c>
    </row>
    <row r="1972" spans="1:9" s="3" customFormat="1" x14ac:dyDescent="0.3">
      <c r="A1972" s="3" t="s">
        <v>291</v>
      </c>
      <c r="B1972" s="3" t="s">
        <v>292</v>
      </c>
      <c r="C1972" s="3" t="s">
        <v>24</v>
      </c>
      <c r="D1972" s="3" t="s">
        <v>364</v>
      </c>
      <c r="E1972" s="6">
        <v>0.45555555555555555</v>
      </c>
      <c r="F1972" s="6">
        <v>0.76597222222222228</v>
      </c>
      <c r="G1972" s="3" t="s">
        <v>13</v>
      </c>
      <c r="H1972" s="3" t="s">
        <v>27</v>
      </c>
      <c r="I1972" s="3" t="s">
        <v>21</v>
      </c>
    </row>
    <row r="1973" spans="1:9" s="3" customFormat="1" x14ac:dyDescent="0.3">
      <c r="A1973" s="3" t="s">
        <v>134</v>
      </c>
      <c r="B1973" s="3" t="s">
        <v>135</v>
      </c>
      <c r="C1973" s="3" t="s">
        <v>60</v>
      </c>
      <c r="D1973" s="3" t="s">
        <v>178</v>
      </c>
      <c r="E1973" s="6">
        <v>0.35486111111111113</v>
      </c>
      <c r="F1973" s="6">
        <v>0.84583333333333333</v>
      </c>
      <c r="G1973" s="3" t="s">
        <v>13</v>
      </c>
      <c r="H1973" s="3" t="s">
        <v>27</v>
      </c>
      <c r="I1973" s="3" t="s">
        <v>21</v>
      </c>
    </row>
    <row r="1974" spans="1:9" s="3" customFormat="1" x14ac:dyDescent="0.3">
      <c r="A1974" s="3" t="s">
        <v>75</v>
      </c>
      <c r="B1974" s="3" t="s">
        <v>76</v>
      </c>
      <c r="C1974" s="3" t="s">
        <v>42</v>
      </c>
      <c r="D1974" s="3" t="s">
        <v>383</v>
      </c>
      <c r="E1974" s="6">
        <v>0.46736111111111112</v>
      </c>
      <c r="F1974" s="6">
        <v>0.75069444444444444</v>
      </c>
      <c r="G1974" s="3" t="s">
        <v>26</v>
      </c>
      <c r="H1974" s="3" t="s">
        <v>27</v>
      </c>
      <c r="I1974" s="3" t="s">
        <v>15</v>
      </c>
    </row>
    <row r="1975" spans="1:9" s="3" customFormat="1" x14ac:dyDescent="0.3">
      <c r="A1975" s="3" t="s">
        <v>250</v>
      </c>
      <c r="B1975" s="3" t="s">
        <v>251</v>
      </c>
      <c r="C1975" s="3" t="s">
        <v>24</v>
      </c>
      <c r="D1975" s="3" t="s">
        <v>282</v>
      </c>
      <c r="E1975" s="6">
        <v>0.33958333333333335</v>
      </c>
      <c r="F1975" s="6">
        <v>0.81805555555555554</v>
      </c>
      <c r="G1975" s="3" t="s">
        <v>20</v>
      </c>
      <c r="H1975" s="3" t="s">
        <v>14</v>
      </c>
      <c r="I1975" s="3" t="s">
        <v>15</v>
      </c>
    </row>
    <row r="1976" spans="1:9" s="3" customFormat="1" x14ac:dyDescent="0.3">
      <c r="A1976" s="3" t="s">
        <v>154</v>
      </c>
      <c r="B1976" s="3" t="s">
        <v>155</v>
      </c>
      <c r="C1976" s="3" t="s">
        <v>18</v>
      </c>
      <c r="D1976" s="3" t="s">
        <v>106</v>
      </c>
      <c r="E1976" s="6">
        <v>0.49444444444444446</v>
      </c>
      <c r="F1976" s="6">
        <v>0.67569444444444449</v>
      </c>
      <c r="G1976" s="3" t="s">
        <v>26</v>
      </c>
      <c r="H1976" s="3" t="s">
        <v>27</v>
      </c>
      <c r="I1976" s="3" t="s">
        <v>15</v>
      </c>
    </row>
    <row r="1977" spans="1:9" s="3" customFormat="1" x14ac:dyDescent="0.3">
      <c r="A1977" s="3" t="s">
        <v>250</v>
      </c>
      <c r="B1977" s="3" t="s">
        <v>251</v>
      </c>
      <c r="C1977" s="3" t="s">
        <v>18</v>
      </c>
      <c r="D1977" s="3" t="s">
        <v>267</v>
      </c>
      <c r="E1977" s="6">
        <v>0.36527777777777776</v>
      </c>
      <c r="F1977" s="6">
        <v>0.8354166666666667</v>
      </c>
      <c r="G1977" s="3" t="s">
        <v>26</v>
      </c>
      <c r="H1977" s="3" t="s">
        <v>14</v>
      </c>
      <c r="I1977" s="3" t="s">
        <v>15</v>
      </c>
    </row>
    <row r="1978" spans="1:9" s="3" customFormat="1" x14ac:dyDescent="0.3">
      <c r="A1978" s="3" t="s">
        <v>9</v>
      </c>
      <c r="B1978" s="3" t="s">
        <v>10</v>
      </c>
      <c r="C1978" s="3" t="s">
        <v>64</v>
      </c>
      <c r="D1978" s="3" t="s">
        <v>378</v>
      </c>
      <c r="E1978" s="6"/>
      <c r="F1978" s="6"/>
      <c r="G1978" s="3" t="s">
        <v>44</v>
      </c>
      <c r="H1978" s="3" t="s">
        <v>14</v>
      </c>
      <c r="I1978" s="3" t="s">
        <v>15</v>
      </c>
    </row>
    <row r="1979" spans="1:9" s="3" customFormat="1" x14ac:dyDescent="0.3">
      <c r="A1979" s="3" t="s">
        <v>37</v>
      </c>
      <c r="B1979" s="3" t="s">
        <v>38</v>
      </c>
      <c r="C1979" s="3" t="s">
        <v>18</v>
      </c>
      <c r="D1979" s="3" t="s">
        <v>366</v>
      </c>
      <c r="E1979" s="6">
        <v>0.4909722222222222</v>
      </c>
      <c r="F1979" s="6">
        <v>0.85624999999999996</v>
      </c>
      <c r="G1979" s="3" t="s">
        <v>20</v>
      </c>
      <c r="H1979" s="3" t="s">
        <v>14</v>
      </c>
      <c r="I1979" s="3" t="s">
        <v>15</v>
      </c>
    </row>
    <row r="1980" spans="1:9" s="3" customFormat="1" x14ac:dyDescent="0.3">
      <c r="A1980" s="3" t="s">
        <v>138</v>
      </c>
      <c r="B1980" s="3" t="s">
        <v>139</v>
      </c>
      <c r="C1980" s="3" t="s">
        <v>64</v>
      </c>
      <c r="D1980" s="3" t="s">
        <v>206</v>
      </c>
      <c r="E1980" s="6"/>
      <c r="F1980" s="6"/>
      <c r="G1980" s="3" t="s">
        <v>44</v>
      </c>
      <c r="H1980" s="3" t="s">
        <v>14</v>
      </c>
      <c r="I1980" s="3" t="s">
        <v>15</v>
      </c>
    </row>
    <row r="1981" spans="1:9" s="3" customFormat="1" x14ac:dyDescent="0.3">
      <c r="A1981" s="3" t="s">
        <v>62</v>
      </c>
      <c r="B1981" s="3" t="s">
        <v>63</v>
      </c>
      <c r="C1981" s="3" t="s">
        <v>18</v>
      </c>
      <c r="D1981" s="3" t="s">
        <v>388</v>
      </c>
      <c r="E1981" s="6">
        <v>0.34652777777777777</v>
      </c>
      <c r="F1981" s="6">
        <v>0.84583333333333333</v>
      </c>
      <c r="G1981" s="3" t="s">
        <v>13</v>
      </c>
      <c r="H1981" s="3" t="s">
        <v>14</v>
      </c>
      <c r="I1981" s="3" t="s">
        <v>21</v>
      </c>
    </row>
    <row r="1982" spans="1:9" s="3" customFormat="1" x14ac:dyDescent="0.3">
      <c r="A1982" s="3" t="s">
        <v>213</v>
      </c>
      <c r="B1982" s="3" t="s">
        <v>214</v>
      </c>
      <c r="C1982" s="3" t="s">
        <v>42</v>
      </c>
      <c r="D1982" s="3" t="s">
        <v>272</v>
      </c>
      <c r="E1982" s="6">
        <v>0.41875000000000001</v>
      </c>
      <c r="F1982" s="6">
        <v>0.7055555555555556</v>
      </c>
      <c r="G1982" s="3" t="s">
        <v>20</v>
      </c>
      <c r="H1982" s="3" t="s">
        <v>27</v>
      </c>
      <c r="I1982" s="3" t="s">
        <v>15</v>
      </c>
    </row>
    <row r="1983" spans="1:9" s="3" customFormat="1" x14ac:dyDescent="0.3">
      <c r="A1983" s="3" t="s">
        <v>93</v>
      </c>
      <c r="B1983" s="3" t="s">
        <v>94</v>
      </c>
      <c r="C1983" s="3" t="s">
        <v>64</v>
      </c>
      <c r="D1983" s="3" t="s">
        <v>218</v>
      </c>
      <c r="E1983" s="6">
        <v>0.36388888888888887</v>
      </c>
      <c r="F1983" s="6">
        <v>0.74236111111111114</v>
      </c>
      <c r="G1983" s="3" t="s">
        <v>26</v>
      </c>
      <c r="H1983" s="3" t="s">
        <v>27</v>
      </c>
      <c r="I1983" s="3" t="s">
        <v>15</v>
      </c>
    </row>
    <row r="1984" spans="1:9" s="3" customFormat="1" x14ac:dyDescent="0.3">
      <c r="A1984" s="3" t="s">
        <v>37</v>
      </c>
      <c r="B1984" s="3" t="s">
        <v>38</v>
      </c>
      <c r="C1984" s="3" t="s">
        <v>18</v>
      </c>
      <c r="D1984" s="3" t="s">
        <v>415</v>
      </c>
      <c r="E1984" s="6">
        <v>0.35833333333333334</v>
      </c>
      <c r="F1984" s="6">
        <v>0.79027777777777775</v>
      </c>
      <c r="G1984" s="3" t="s">
        <v>13</v>
      </c>
      <c r="H1984" s="3" t="s">
        <v>14</v>
      </c>
      <c r="I1984" s="3" t="s">
        <v>21</v>
      </c>
    </row>
    <row r="1985" spans="1:9" s="3" customFormat="1" x14ac:dyDescent="0.3">
      <c r="A1985" s="3" t="s">
        <v>236</v>
      </c>
      <c r="B1985" s="3" t="s">
        <v>237</v>
      </c>
      <c r="C1985" s="3" t="s">
        <v>64</v>
      </c>
      <c r="D1985" s="3" t="s">
        <v>256</v>
      </c>
      <c r="E1985" s="6">
        <v>0.375</v>
      </c>
      <c r="F1985" s="6">
        <v>0.84375</v>
      </c>
      <c r="G1985" s="3" t="s">
        <v>20</v>
      </c>
      <c r="H1985" s="3" t="s">
        <v>27</v>
      </c>
      <c r="I1985" s="3" t="s">
        <v>15</v>
      </c>
    </row>
    <row r="1986" spans="1:9" s="3" customFormat="1" x14ac:dyDescent="0.3">
      <c r="A1986" s="3" t="s">
        <v>96</v>
      </c>
      <c r="B1986" s="3" t="s">
        <v>97</v>
      </c>
      <c r="C1986" s="3" t="s">
        <v>24</v>
      </c>
      <c r="D1986" s="3" t="s">
        <v>303</v>
      </c>
      <c r="E1986" s="6">
        <v>0.37708333333333333</v>
      </c>
      <c r="F1986" s="6">
        <v>0.71736111111111112</v>
      </c>
      <c r="G1986" s="3" t="s">
        <v>13</v>
      </c>
      <c r="H1986" s="3" t="s">
        <v>14</v>
      </c>
      <c r="I1986" s="3" t="s">
        <v>21</v>
      </c>
    </row>
    <row r="1987" spans="1:9" s="3" customFormat="1" x14ac:dyDescent="0.3">
      <c r="A1987" s="3" t="s">
        <v>31</v>
      </c>
      <c r="B1987" s="3" t="s">
        <v>32</v>
      </c>
      <c r="C1987" s="3" t="s">
        <v>60</v>
      </c>
      <c r="D1987" s="3" t="s">
        <v>25</v>
      </c>
      <c r="E1987" s="6"/>
      <c r="F1987" s="6"/>
      <c r="G1987" s="3" t="s">
        <v>44</v>
      </c>
      <c r="H1987" s="3" t="s">
        <v>27</v>
      </c>
      <c r="I1987" s="3" t="s">
        <v>21</v>
      </c>
    </row>
    <row r="1988" spans="1:9" s="3" customFormat="1" x14ac:dyDescent="0.3">
      <c r="A1988" s="3" t="s">
        <v>187</v>
      </c>
      <c r="B1988" s="3" t="s">
        <v>188</v>
      </c>
      <c r="C1988" s="3" t="s">
        <v>64</v>
      </c>
      <c r="D1988" s="3" t="s">
        <v>80</v>
      </c>
      <c r="E1988" s="6">
        <v>0.38055555555555554</v>
      </c>
      <c r="F1988" s="6">
        <v>0.69930555555555551</v>
      </c>
      <c r="G1988" s="3" t="s">
        <v>13</v>
      </c>
      <c r="H1988" s="3" t="s">
        <v>14</v>
      </c>
      <c r="I1988" s="3" t="s">
        <v>21</v>
      </c>
    </row>
    <row r="1989" spans="1:9" s="3" customFormat="1" x14ac:dyDescent="0.3">
      <c r="A1989" s="3" t="s">
        <v>93</v>
      </c>
      <c r="B1989" s="3" t="s">
        <v>94</v>
      </c>
      <c r="C1989" s="3" t="s">
        <v>24</v>
      </c>
      <c r="D1989" s="3" t="s">
        <v>379</v>
      </c>
      <c r="E1989" s="6"/>
      <c r="F1989" s="6"/>
      <c r="G1989" s="3" t="s">
        <v>44</v>
      </c>
      <c r="H1989" s="3" t="s">
        <v>14</v>
      </c>
      <c r="I1989" s="3" t="s">
        <v>15</v>
      </c>
    </row>
    <row r="1990" spans="1:9" s="3" customFormat="1" x14ac:dyDescent="0.3">
      <c r="A1990" s="3" t="s">
        <v>146</v>
      </c>
      <c r="B1990" s="3" t="s">
        <v>147</v>
      </c>
      <c r="C1990" s="3" t="s">
        <v>18</v>
      </c>
      <c r="D1990" s="3" t="s">
        <v>19</v>
      </c>
      <c r="E1990" s="6">
        <v>0.46458333333333335</v>
      </c>
      <c r="F1990" s="6">
        <v>0.83472222222222225</v>
      </c>
      <c r="G1990" s="3" t="s">
        <v>125</v>
      </c>
      <c r="H1990" s="3" t="s">
        <v>27</v>
      </c>
      <c r="I1990" s="3" t="s">
        <v>21</v>
      </c>
    </row>
    <row r="1991" spans="1:9" s="3" customFormat="1" x14ac:dyDescent="0.3">
      <c r="A1991" s="3" t="s">
        <v>115</v>
      </c>
      <c r="B1991" s="3" t="s">
        <v>116</v>
      </c>
      <c r="C1991" s="3" t="s">
        <v>18</v>
      </c>
      <c r="D1991" s="3" t="s">
        <v>47</v>
      </c>
      <c r="E1991" s="6">
        <v>0.40138888888888891</v>
      </c>
      <c r="F1991" s="6">
        <v>0.80625000000000002</v>
      </c>
      <c r="G1991" s="3" t="s">
        <v>20</v>
      </c>
      <c r="H1991" s="3" t="s">
        <v>27</v>
      </c>
      <c r="I1991" s="3" t="s">
        <v>15</v>
      </c>
    </row>
    <row r="1992" spans="1:9" s="3" customFormat="1" x14ac:dyDescent="0.3">
      <c r="A1992" s="3" t="s">
        <v>165</v>
      </c>
      <c r="B1992" s="3" t="s">
        <v>166</v>
      </c>
      <c r="C1992" s="3" t="s">
        <v>42</v>
      </c>
      <c r="D1992" s="3" t="s">
        <v>364</v>
      </c>
      <c r="E1992" s="6">
        <v>0.38263888888888886</v>
      </c>
      <c r="F1992" s="6">
        <v>0.68541666666666667</v>
      </c>
      <c r="G1992" s="3" t="s">
        <v>26</v>
      </c>
      <c r="H1992" s="3" t="s">
        <v>27</v>
      </c>
      <c r="I1992" s="3" t="s">
        <v>21</v>
      </c>
    </row>
    <row r="1993" spans="1:9" s="3" customFormat="1" x14ac:dyDescent="0.3">
      <c r="A1993" s="3" t="s">
        <v>93</v>
      </c>
      <c r="B1993" s="3" t="s">
        <v>94</v>
      </c>
      <c r="C1993" s="3" t="s">
        <v>24</v>
      </c>
      <c r="D1993" s="3" t="s">
        <v>47</v>
      </c>
      <c r="E1993" s="6">
        <v>0.39652777777777776</v>
      </c>
      <c r="F1993" s="6">
        <v>0.69166666666666665</v>
      </c>
      <c r="G1993" s="3" t="s">
        <v>13</v>
      </c>
      <c r="H1993" s="3" t="s">
        <v>27</v>
      </c>
      <c r="I1993" s="3" t="s">
        <v>15</v>
      </c>
    </row>
    <row r="1994" spans="1:9" s="3" customFormat="1" x14ac:dyDescent="0.3">
      <c r="A1994" s="3" t="s">
        <v>55</v>
      </c>
      <c r="B1994" s="3" t="s">
        <v>56</v>
      </c>
      <c r="C1994" s="3" t="s">
        <v>24</v>
      </c>
      <c r="D1994" s="3" t="s">
        <v>235</v>
      </c>
      <c r="E1994" s="6">
        <v>0.36805555555555558</v>
      </c>
      <c r="F1994" s="6">
        <v>0.71666666666666667</v>
      </c>
      <c r="G1994" s="3" t="s">
        <v>20</v>
      </c>
      <c r="H1994" s="3" t="s">
        <v>27</v>
      </c>
      <c r="I1994" s="3" t="s">
        <v>15</v>
      </c>
    </row>
    <row r="1995" spans="1:9" s="3" customFormat="1" x14ac:dyDescent="0.3">
      <c r="A1995" s="3" t="s">
        <v>48</v>
      </c>
      <c r="B1995" s="3" t="s">
        <v>49</v>
      </c>
      <c r="C1995" s="3" t="s">
        <v>42</v>
      </c>
      <c r="D1995" s="3" t="s">
        <v>30</v>
      </c>
      <c r="E1995" s="6">
        <v>0.48333333333333334</v>
      </c>
      <c r="F1995" s="6">
        <v>0.69027777777777777</v>
      </c>
      <c r="G1995" s="3" t="s">
        <v>13</v>
      </c>
      <c r="H1995" s="3" t="s">
        <v>14</v>
      </c>
      <c r="I1995" s="3" t="s">
        <v>15</v>
      </c>
    </row>
    <row r="1996" spans="1:9" s="3" customFormat="1" x14ac:dyDescent="0.3">
      <c r="A1996" s="3" t="s">
        <v>191</v>
      </c>
      <c r="B1996" s="3" t="s">
        <v>192</v>
      </c>
      <c r="C1996" s="3" t="s">
        <v>24</v>
      </c>
      <c r="D1996" s="3" t="s">
        <v>160</v>
      </c>
      <c r="E1996" s="6">
        <v>0.4</v>
      </c>
      <c r="F1996" s="6">
        <v>0.72222222222222221</v>
      </c>
      <c r="G1996" s="3" t="s">
        <v>13</v>
      </c>
      <c r="H1996" s="3" t="s">
        <v>27</v>
      </c>
      <c r="I1996" s="3" t="s">
        <v>21</v>
      </c>
    </row>
    <row r="1997" spans="1:9" s="3" customFormat="1" x14ac:dyDescent="0.3">
      <c r="A1997" s="3" t="s">
        <v>58</v>
      </c>
      <c r="B1997" s="3" t="s">
        <v>59</v>
      </c>
      <c r="C1997" s="3" t="s">
        <v>127</v>
      </c>
      <c r="D1997" s="3" t="s">
        <v>359</v>
      </c>
      <c r="E1997" s="6">
        <v>0.39513888888888887</v>
      </c>
      <c r="F1997" s="6">
        <v>0.8305555555555556</v>
      </c>
      <c r="G1997" s="3" t="s">
        <v>26</v>
      </c>
      <c r="H1997" s="3" t="s">
        <v>27</v>
      </c>
      <c r="I1997" s="3" t="s">
        <v>21</v>
      </c>
    </row>
    <row r="1998" spans="1:9" s="3" customFormat="1" x14ac:dyDescent="0.3">
      <c r="A1998" s="3" t="s">
        <v>55</v>
      </c>
      <c r="B1998" s="3" t="s">
        <v>56</v>
      </c>
      <c r="C1998" s="3" t="s">
        <v>42</v>
      </c>
      <c r="D1998" s="3" t="s">
        <v>282</v>
      </c>
      <c r="E1998" s="6"/>
      <c r="F1998" s="6"/>
      <c r="G1998" s="3" t="s">
        <v>44</v>
      </c>
      <c r="H1998" s="3" t="s">
        <v>14</v>
      </c>
      <c r="I1998" s="3" t="s">
        <v>15</v>
      </c>
    </row>
    <row r="1999" spans="1:9" s="3" customFormat="1" x14ac:dyDescent="0.3">
      <c r="A1999" s="3" t="s">
        <v>269</v>
      </c>
      <c r="B1999" s="3" t="s">
        <v>270</v>
      </c>
      <c r="C1999" s="3" t="s">
        <v>42</v>
      </c>
      <c r="D1999" s="3" t="s">
        <v>335</v>
      </c>
      <c r="E1999" s="6">
        <v>0.46736111111111112</v>
      </c>
      <c r="F1999" s="6">
        <v>0.82361111111111107</v>
      </c>
      <c r="G1999" s="3" t="s">
        <v>26</v>
      </c>
      <c r="H1999" s="3" t="s">
        <v>14</v>
      </c>
      <c r="I1999" s="3" t="s">
        <v>21</v>
      </c>
    </row>
    <row r="2000" spans="1:9" s="3" customFormat="1" x14ac:dyDescent="0.3">
      <c r="A2000" s="3" t="s">
        <v>216</v>
      </c>
      <c r="B2000" s="3" t="s">
        <v>217</v>
      </c>
      <c r="C2000" s="3" t="s">
        <v>60</v>
      </c>
      <c r="D2000" s="3" t="s">
        <v>174</v>
      </c>
      <c r="E2000" s="6">
        <v>0.41736111111111113</v>
      </c>
      <c r="F2000" s="6">
        <v>0.71388888888888891</v>
      </c>
      <c r="G2000" s="3" t="s">
        <v>125</v>
      </c>
      <c r="H2000" s="3" t="s">
        <v>14</v>
      </c>
      <c r="I2000" s="3" t="s">
        <v>15</v>
      </c>
    </row>
    <row r="2001" spans="1:9" s="3" customFormat="1" x14ac:dyDescent="0.3">
      <c r="A2001" s="3" t="s">
        <v>112</v>
      </c>
      <c r="B2001" s="3" t="s">
        <v>113</v>
      </c>
      <c r="C2001" s="3" t="s">
        <v>42</v>
      </c>
      <c r="D2001" s="3" t="s">
        <v>153</v>
      </c>
      <c r="E2001" s="6">
        <v>0.4375</v>
      </c>
      <c r="F2001" s="6">
        <v>0.72152777777777777</v>
      </c>
      <c r="G2001" s="3" t="s">
        <v>20</v>
      </c>
      <c r="H2001" s="3" t="s">
        <v>14</v>
      </c>
      <c r="I2001" s="3" t="s">
        <v>15</v>
      </c>
    </row>
    <row r="2002" spans="1:9" s="3" customFormat="1" x14ac:dyDescent="0.3">
      <c r="A2002" s="3" t="s">
        <v>40</v>
      </c>
      <c r="B2002" s="3" t="s">
        <v>41</v>
      </c>
      <c r="C2002" s="3" t="s">
        <v>64</v>
      </c>
      <c r="D2002" s="3" t="s">
        <v>181</v>
      </c>
      <c r="E2002" s="6">
        <v>0.45208333333333334</v>
      </c>
      <c r="F2002" s="6">
        <v>0.86250000000000004</v>
      </c>
      <c r="G2002" s="3" t="s">
        <v>13</v>
      </c>
      <c r="H2002" s="3" t="s">
        <v>27</v>
      </c>
      <c r="I2002" s="3" t="s">
        <v>15</v>
      </c>
    </row>
    <row r="2003" spans="1:9" s="3" customFormat="1" x14ac:dyDescent="0.3">
      <c r="A2003" s="3" t="s">
        <v>269</v>
      </c>
      <c r="B2003" s="3" t="s">
        <v>270</v>
      </c>
      <c r="C2003" s="3" t="s">
        <v>42</v>
      </c>
      <c r="D2003" s="3" t="s">
        <v>181</v>
      </c>
      <c r="E2003" s="6"/>
      <c r="F2003" s="6"/>
      <c r="G2003" s="3" t="s">
        <v>44</v>
      </c>
      <c r="H2003" s="3" t="s">
        <v>27</v>
      </c>
      <c r="I2003" s="3" t="s">
        <v>15</v>
      </c>
    </row>
    <row r="2004" spans="1:9" s="3" customFormat="1" x14ac:dyDescent="0.3">
      <c r="A2004" s="3" t="s">
        <v>130</v>
      </c>
      <c r="B2004" s="3" t="s">
        <v>131</v>
      </c>
      <c r="C2004" s="3" t="s">
        <v>42</v>
      </c>
      <c r="D2004" s="3" t="s">
        <v>313</v>
      </c>
      <c r="E2004" s="6">
        <v>0.33541666666666664</v>
      </c>
      <c r="F2004" s="6">
        <v>0.82361111111111107</v>
      </c>
      <c r="G2004" s="3" t="s">
        <v>26</v>
      </c>
      <c r="H2004" s="3" t="s">
        <v>27</v>
      </c>
      <c r="I2004" s="3" t="s">
        <v>21</v>
      </c>
    </row>
    <row r="2005" spans="1:9" s="3" customFormat="1" x14ac:dyDescent="0.3">
      <c r="A2005" s="3" t="s">
        <v>200</v>
      </c>
      <c r="B2005" s="3" t="s">
        <v>201</v>
      </c>
      <c r="C2005" s="3" t="s">
        <v>64</v>
      </c>
      <c r="D2005" s="3" t="s">
        <v>349</v>
      </c>
      <c r="E2005" s="6">
        <v>0.34027777777777779</v>
      </c>
      <c r="F2005" s="6">
        <v>0.70347222222222228</v>
      </c>
      <c r="G2005" s="3" t="s">
        <v>26</v>
      </c>
      <c r="H2005" s="3" t="s">
        <v>14</v>
      </c>
      <c r="I2005" s="3" t="s">
        <v>21</v>
      </c>
    </row>
    <row r="2006" spans="1:9" s="3" customFormat="1" x14ac:dyDescent="0.3">
      <c r="A2006" s="3" t="s">
        <v>246</v>
      </c>
      <c r="B2006" s="3" t="s">
        <v>247</v>
      </c>
      <c r="C2006" s="3" t="s">
        <v>18</v>
      </c>
      <c r="D2006" s="3" t="s">
        <v>299</v>
      </c>
      <c r="E2006" s="6">
        <v>0.4201388888888889</v>
      </c>
      <c r="F2006" s="6">
        <v>0.75972222222222219</v>
      </c>
      <c r="G2006" s="3" t="s">
        <v>20</v>
      </c>
      <c r="H2006" s="3" t="s">
        <v>14</v>
      </c>
      <c r="I2006" s="3" t="s">
        <v>15</v>
      </c>
    </row>
    <row r="2007" spans="1:9" s="3" customFormat="1" x14ac:dyDescent="0.3">
      <c r="A2007" s="3" t="s">
        <v>72</v>
      </c>
      <c r="B2007" s="3" t="s">
        <v>73</v>
      </c>
      <c r="C2007" s="3" t="s">
        <v>60</v>
      </c>
      <c r="D2007" s="3" t="s">
        <v>334</v>
      </c>
      <c r="E2007" s="6">
        <v>0.42222222222222222</v>
      </c>
      <c r="F2007" s="6">
        <v>0.8208333333333333</v>
      </c>
      <c r="G2007" s="3" t="s">
        <v>20</v>
      </c>
      <c r="H2007" s="3" t="s">
        <v>14</v>
      </c>
      <c r="I2007" s="3" t="s">
        <v>21</v>
      </c>
    </row>
    <row r="2008" spans="1:9" s="3" customFormat="1" x14ac:dyDescent="0.3">
      <c r="A2008" s="3" t="s">
        <v>45</v>
      </c>
      <c r="B2008" s="3" t="s">
        <v>46</v>
      </c>
      <c r="C2008" s="3" t="s">
        <v>60</v>
      </c>
      <c r="D2008" s="3" t="s">
        <v>199</v>
      </c>
      <c r="E2008" s="6">
        <v>0.38124999999999998</v>
      </c>
      <c r="F2008" s="6">
        <v>0.78194444444444444</v>
      </c>
      <c r="G2008" s="3" t="s">
        <v>20</v>
      </c>
      <c r="H2008" s="3" t="s">
        <v>27</v>
      </c>
      <c r="I2008" s="3" t="s">
        <v>21</v>
      </c>
    </row>
    <row r="2009" spans="1:9" s="3" customFormat="1" x14ac:dyDescent="0.3">
      <c r="A2009" s="3" t="s">
        <v>200</v>
      </c>
      <c r="B2009" s="3" t="s">
        <v>201</v>
      </c>
      <c r="C2009" s="3" t="s">
        <v>18</v>
      </c>
      <c r="D2009" s="3" t="s">
        <v>260</v>
      </c>
      <c r="E2009" s="6">
        <v>0.38055555555555554</v>
      </c>
      <c r="F2009" s="6">
        <v>0.84375</v>
      </c>
      <c r="G2009" s="3" t="s">
        <v>26</v>
      </c>
      <c r="H2009" s="3" t="s">
        <v>14</v>
      </c>
      <c r="I2009" s="3" t="s">
        <v>21</v>
      </c>
    </row>
    <row r="2010" spans="1:9" s="3" customFormat="1" x14ac:dyDescent="0.3">
      <c r="A2010" s="3" t="s">
        <v>269</v>
      </c>
      <c r="B2010" s="3" t="s">
        <v>270</v>
      </c>
      <c r="C2010" s="3" t="s">
        <v>42</v>
      </c>
      <c r="D2010" s="3" t="s">
        <v>275</v>
      </c>
      <c r="E2010" s="6">
        <v>0.49444444444444446</v>
      </c>
      <c r="F2010" s="6">
        <v>0.84930555555555554</v>
      </c>
      <c r="G2010" s="3" t="s">
        <v>20</v>
      </c>
      <c r="H2010" s="3" t="s">
        <v>14</v>
      </c>
      <c r="I2010" s="3" t="s">
        <v>21</v>
      </c>
    </row>
    <row r="2011" spans="1:9" s="3" customFormat="1" x14ac:dyDescent="0.3">
      <c r="A2011" s="3" t="s">
        <v>16</v>
      </c>
      <c r="B2011" s="3" t="s">
        <v>17</v>
      </c>
      <c r="C2011" s="3" t="s">
        <v>239</v>
      </c>
      <c r="D2011" s="3" t="s">
        <v>137</v>
      </c>
      <c r="E2011" s="6">
        <v>0.39374999999999999</v>
      </c>
      <c r="F2011" s="6">
        <v>0.70486111111111116</v>
      </c>
      <c r="G2011" s="3" t="s">
        <v>20</v>
      </c>
      <c r="H2011" s="3" t="s">
        <v>14</v>
      </c>
      <c r="I2011" s="3" t="s">
        <v>21</v>
      </c>
    </row>
    <row r="2012" spans="1:9" s="3" customFormat="1" x14ac:dyDescent="0.3">
      <c r="A2012" s="3" t="s">
        <v>150</v>
      </c>
      <c r="B2012" s="3" t="s">
        <v>151</v>
      </c>
      <c r="C2012" s="3" t="s">
        <v>60</v>
      </c>
      <c r="D2012" s="3" t="s">
        <v>305</v>
      </c>
      <c r="E2012" s="6"/>
      <c r="F2012" s="6"/>
      <c r="G2012" s="3" t="s">
        <v>44</v>
      </c>
      <c r="H2012" s="3" t="s">
        <v>14</v>
      </c>
      <c r="I2012" s="3" t="s">
        <v>21</v>
      </c>
    </row>
    <row r="2013" spans="1:9" s="3" customFormat="1" x14ac:dyDescent="0.3">
      <c r="A2013" s="3" t="s">
        <v>37</v>
      </c>
      <c r="B2013" s="3" t="s">
        <v>38</v>
      </c>
      <c r="C2013" s="3" t="s">
        <v>24</v>
      </c>
      <c r="D2013" s="3" t="s">
        <v>140</v>
      </c>
      <c r="E2013" s="6"/>
      <c r="F2013" s="6"/>
      <c r="G2013" s="3" t="s">
        <v>44</v>
      </c>
      <c r="H2013" s="3" t="s">
        <v>14</v>
      </c>
      <c r="I2013" s="3" t="s">
        <v>21</v>
      </c>
    </row>
    <row r="2014" spans="1:9" s="3" customFormat="1" x14ac:dyDescent="0.3">
      <c r="A2014" s="3" t="s">
        <v>150</v>
      </c>
      <c r="B2014" s="3" t="s">
        <v>151</v>
      </c>
      <c r="C2014" s="3" t="s">
        <v>24</v>
      </c>
      <c r="D2014" s="3" t="s">
        <v>245</v>
      </c>
      <c r="E2014" s="6">
        <v>0.48749999999999999</v>
      </c>
      <c r="F2014" s="6">
        <v>0.85555555555555551</v>
      </c>
      <c r="G2014" s="3" t="s">
        <v>20</v>
      </c>
      <c r="H2014" s="3" t="s">
        <v>14</v>
      </c>
      <c r="I2014" s="3" t="s">
        <v>21</v>
      </c>
    </row>
    <row r="2015" spans="1:9" s="3" customFormat="1" x14ac:dyDescent="0.3">
      <c r="A2015" s="3" t="s">
        <v>55</v>
      </c>
      <c r="B2015" s="3" t="s">
        <v>56</v>
      </c>
      <c r="C2015" s="3" t="s">
        <v>18</v>
      </c>
      <c r="D2015" s="3" t="s">
        <v>245</v>
      </c>
      <c r="E2015" s="6"/>
      <c r="F2015" s="6"/>
      <c r="G2015" s="3" t="s">
        <v>44</v>
      </c>
      <c r="H2015" s="3" t="s">
        <v>27</v>
      </c>
      <c r="I2015" s="3" t="s">
        <v>21</v>
      </c>
    </row>
    <row r="2016" spans="1:9" s="3" customFormat="1" x14ac:dyDescent="0.3">
      <c r="A2016" s="3" t="s">
        <v>154</v>
      </c>
      <c r="B2016" s="3" t="s">
        <v>155</v>
      </c>
      <c r="C2016" s="3" t="s">
        <v>42</v>
      </c>
      <c r="D2016" s="3" t="s">
        <v>227</v>
      </c>
      <c r="E2016" s="6"/>
      <c r="F2016" s="6"/>
      <c r="G2016" s="3" t="s">
        <v>44</v>
      </c>
      <c r="H2016" s="3" t="s">
        <v>27</v>
      </c>
      <c r="I2016" s="3" t="s">
        <v>21</v>
      </c>
    </row>
    <row r="2017" spans="1:9" s="3" customFormat="1" x14ac:dyDescent="0.3">
      <c r="A2017" s="3" t="s">
        <v>224</v>
      </c>
      <c r="B2017" s="3" t="s">
        <v>225</v>
      </c>
      <c r="C2017" s="3" t="s">
        <v>24</v>
      </c>
      <c r="D2017" s="3" t="s">
        <v>320</v>
      </c>
      <c r="E2017" s="6">
        <v>0.41319444444444442</v>
      </c>
      <c r="F2017" s="6">
        <v>0.69097222222222221</v>
      </c>
      <c r="G2017" s="3" t="s">
        <v>26</v>
      </c>
      <c r="H2017" s="3" t="s">
        <v>14</v>
      </c>
      <c r="I2017" s="3" t="s">
        <v>15</v>
      </c>
    </row>
    <row r="2018" spans="1:9" s="3" customFormat="1" x14ac:dyDescent="0.3">
      <c r="A2018" s="3" t="s">
        <v>146</v>
      </c>
      <c r="B2018" s="3" t="s">
        <v>147</v>
      </c>
      <c r="C2018" s="3" t="s">
        <v>60</v>
      </c>
      <c r="D2018" s="3" t="s">
        <v>95</v>
      </c>
      <c r="E2018" s="6"/>
      <c r="F2018" s="6"/>
      <c r="G2018" s="3" t="s">
        <v>44</v>
      </c>
      <c r="H2018" s="3" t="s">
        <v>27</v>
      </c>
      <c r="I2018" s="3" t="s">
        <v>21</v>
      </c>
    </row>
    <row r="2019" spans="1:9" s="3" customFormat="1" x14ac:dyDescent="0.3">
      <c r="A2019" s="3" t="s">
        <v>22</v>
      </c>
      <c r="B2019" s="3" t="s">
        <v>23</v>
      </c>
      <c r="C2019" s="3" t="s">
        <v>42</v>
      </c>
      <c r="D2019" s="3" t="s">
        <v>278</v>
      </c>
      <c r="E2019" s="6"/>
      <c r="F2019" s="6"/>
      <c r="G2019" s="3" t="s">
        <v>44</v>
      </c>
      <c r="H2019" s="3" t="s">
        <v>27</v>
      </c>
      <c r="I2019" s="3" t="s">
        <v>21</v>
      </c>
    </row>
    <row r="2020" spans="1:9" s="3" customFormat="1" x14ac:dyDescent="0.3">
      <c r="A2020" s="3" t="s">
        <v>31</v>
      </c>
      <c r="B2020" s="3" t="s">
        <v>32</v>
      </c>
      <c r="C2020" s="3" t="s">
        <v>60</v>
      </c>
      <c r="D2020" s="3" t="s">
        <v>307</v>
      </c>
      <c r="E2020" s="6">
        <v>0.37638888888888888</v>
      </c>
      <c r="F2020" s="6">
        <v>0.81944444444444442</v>
      </c>
      <c r="G2020" s="3" t="s">
        <v>125</v>
      </c>
      <c r="H2020" s="3" t="s">
        <v>14</v>
      </c>
      <c r="I2020" s="3" t="s">
        <v>21</v>
      </c>
    </row>
    <row r="2021" spans="1:9" s="3" customFormat="1" x14ac:dyDescent="0.3">
      <c r="A2021" s="3" t="s">
        <v>48</v>
      </c>
      <c r="B2021" s="3" t="s">
        <v>49</v>
      </c>
      <c r="C2021" s="3" t="s">
        <v>24</v>
      </c>
      <c r="D2021" s="3" t="s">
        <v>294</v>
      </c>
      <c r="E2021" s="6">
        <v>0.34305555555555556</v>
      </c>
      <c r="F2021" s="6">
        <v>0.7319444444444444</v>
      </c>
      <c r="G2021" s="3" t="s">
        <v>26</v>
      </c>
      <c r="H2021" s="3" t="s">
        <v>14</v>
      </c>
      <c r="I2021" s="3" t="s">
        <v>21</v>
      </c>
    </row>
    <row r="2022" spans="1:9" s="3" customFormat="1" x14ac:dyDescent="0.3">
      <c r="A2022" s="3" t="s">
        <v>78</v>
      </c>
      <c r="B2022" s="3" t="s">
        <v>79</v>
      </c>
      <c r="C2022" s="3" t="s">
        <v>42</v>
      </c>
      <c r="D2022" s="3" t="s">
        <v>373</v>
      </c>
      <c r="E2022" s="6"/>
      <c r="F2022" s="6"/>
      <c r="G2022" s="3" t="s">
        <v>44</v>
      </c>
      <c r="H2022" s="3" t="s">
        <v>14</v>
      </c>
      <c r="I2022" s="3" t="s">
        <v>21</v>
      </c>
    </row>
    <row r="2023" spans="1:9" s="3" customFormat="1" x14ac:dyDescent="0.3">
      <c r="A2023" s="3" t="s">
        <v>362</v>
      </c>
      <c r="B2023" s="3" t="s">
        <v>363</v>
      </c>
      <c r="C2023" s="3" t="s">
        <v>24</v>
      </c>
      <c r="D2023" s="3" t="s">
        <v>352</v>
      </c>
      <c r="E2023" s="6">
        <v>0.43541666666666667</v>
      </c>
      <c r="F2023" s="6">
        <v>0.82499999999999996</v>
      </c>
      <c r="G2023" s="3" t="s">
        <v>20</v>
      </c>
      <c r="H2023" s="3" t="s">
        <v>27</v>
      </c>
      <c r="I2023" s="3" t="s">
        <v>21</v>
      </c>
    </row>
    <row r="2024" spans="1:9" s="3" customFormat="1" x14ac:dyDescent="0.3">
      <c r="A2024" s="3" t="s">
        <v>204</v>
      </c>
      <c r="B2024" s="3" t="s">
        <v>205</v>
      </c>
      <c r="C2024" s="3" t="s">
        <v>42</v>
      </c>
      <c r="D2024" s="3" t="s">
        <v>410</v>
      </c>
      <c r="E2024" s="6">
        <v>0.43194444444444446</v>
      </c>
      <c r="F2024" s="6">
        <v>0.73124999999999996</v>
      </c>
      <c r="G2024" s="3" t="s">
        <v>20</v>
      </c>
      <c r="H2024" s="3" t="s">
        <v>27</v>
      </c>
      <c r="I2024" s="3" t="s">
        <v>15</v>
      </c>
    </row>
    <row r="2025" spans="1:9" s="3" customFormat="1" x14ac:dyDescent="0.3">
      <c r="A2025" s="3" t="s">
        <v>171</v>
      </c>
      <c r="B2025" s="3" t="s">
        <v>172</v>
      </c>
      <c r="C2025" s="3" t="s">
        <v>64</v>
      </c>
      <c r="D2025" s="3" t="s">
        <v>352</v>
      </c>
      <c r="E2025" s="6">
        <v>0.40277777777777779</v>
      </c>
      <c r="F2025" s="6">
        <v>0.81388888888888888</v>
      </c>
      <c r="G2025" s="3" t="s">
        <v>13</v>
      </c>
      <c r="H2025" s="3" t="s">
        <v>14</v>
      </c>
      <c r="I2025" s="3" t="s">
        <v>15</v>
      </c>
    </row>
    <row r="2026" spans="1:9" s="3" customFormat="1" x14ac:dyDescent="0.3">
      <c r="A2026" s="3" t="s">
        <v>200</v>
      </c>
      <c r="B2026" s="3" t="s">
        <v>201</v>
      </c>
      <c r="C2026" s="3" t="s">
        <v>24</v>
      </c>
      <c r="D2026" s="3" t="s">
        <v>255</v>
      </c>
      <c r="E2026" s="6">
        <v>0.41597222222222224</v>
      </c>
      <c r="F2026" s="6">
        <v>0.85902777777777772</v>
      </c>
      <c r="G2026" s="3" t="s">
        <v>26</v>
      </c>
      <c r="H2026" s="3" t="s">
        <v>14</v>
      </c>
      <c r="I2026" s="3" t="s">
        <v>15</v>
      </c>
    </row>
    <row r="2027" spans="1:9" s="3" customFormat="1" x14ac:dyDescent="0.3">
      <c r="A2027" s="3" t="s">
        <v>291</v>
      </c>
      <c r="B2027" s="3" t="s">
        <v>292</v>
      </c>
      <c r="C2027" s="3" t="s">
        <v>42</v>
      </c>
      <c r="D2027" s="3" t="s">
        <v>298</v>
      </c>
      <c r="E2027" s="6">
        <v>0.41041666666666665</v>
      </c>
      <c r="F2027" s="6">
        <v>0.70416666666666672</v>
      </c>
      <c r="G2027" s="3" t="s">
        <v>26</v>
      </c>
      <c r="H2027" s="3" t="s">
        <v>27</v>
      </c>
      <c r="I2027" s="3" t="s">
        <v>15</v>
      </c>
    </row>
    <row r="2028" spans="1:9" s="3" customFormat="1" x14ac:dyDescent="0.3">
      <c r="A2028" s="3" t="s">
        <v>99</v>
      </c>
      <c r="B2028" s="3" t="s">
        <v>100</v>
      </c>
      <c r="C2028" s="3" t="s">
        <v>24</v>
      </c>
      <c r="D2028" s="3" t="s">
        <v>369</v>
      </c>
      <c r="E2028" s="6">
        <v>0.48680555555555555</v>
      </c>
      <c r="F2028" s="6">
        <v>0.72013888888888888</v>
      </c>
      <c r="G2028" s="3" t="s">
        <v>125</v>
      </c>
      <c r="H2028" s="3" t="s">
        <v>14</v>
      </c>
      <c r="I2028" s="3" t="s">
        <v>21</v>
      </c>
    </row>
    <row r="2029" spans="1:9" s="3" customFormat="1" x14ac:dyDescent="0.3">
      <c r="A2029" s="3" t="s">
        <v>291</v>
      </c>
      <c r="B2029" s="3" t="s">
        <v>292</v>
      </c>
      <c r="C2029" s="3" t="s">
        <v>64</v>
      </c>
      <c r="D2029" s="3" t="s">
        <v>218</v>
      </c>
      <c r="E2029" s="6">
        <v>0.48958333333333331</v>
      </c>
      <c r="F2029" s="6">
        <v>0.81805555555555554</v>
      </c>
      <c r="G2029" s="3" t="s">
        <v>26</v>
      </c>
      <c r="H2029" s="3" t="s">
        <v>14</v>
      </c>
      <c r="I2029" s="3" t="s">
        <v>21</v>
      </c>
    </row>
    <row r="2030" spans="1:9" s="3" customFormat="1" x14ac:dyDescent="0.3">
      <c r="A2030" s="3" t="s">
        <v>112</v>
      </c>
      <c r="B2030" s="3" t="s">
        <v>113</v>
      </c>
      <c r="C2030" s="3" t="s">
        <v>64</v>
      </c>
      <c r="D2030" s="3" t="s">
        <v>230</v>
      </c>
      <c r="E2030" s="6">
        <v>0.37916666666666665</v>
      </c>
      <c r="F2030" s="6">
        <v>0.76527777777777772</v>
      </c>
      <c r="G2030" s="3" t="s">
        <v>13</v>
      </c>
      <c r="H2030" s="3" t="s">
        <v>14</v>
      </c>
      <c r="I2030" s="3" t="s">
        <v>15</v>
      </c>
    </row>
    <row r="2031" spans="1:9" s="3" customFormat="1" x14ac:dyDescent="0.3">
      <c r="A2031" s="3" t="s">
        <v>66</v>
      </c>
      <c r="B2031" s="3" t="s">
        <v>67</v>
      </c>
      <c r="C2031" s="3" t="s">
        <v>60</v>
      </c>
      <c r="D2031" s="3" t="s">
        <v>376</v>
      </c>
      <c r="E2031" s="6">
        <v>0.4777777777777778</v>
      </c>
      <c r="F2031" s="6">
        <v>0.67777777777777781</v>
      </c>
      <c r="G2031" s="3" t="s">
        <v>26</v>
      </c>
      <c r="H2031" s="3" t="s">
        <v>27</v>
      </c>
      <c r="I2031" s="3" t="s">
        <v>15</v>
      </c>
    </row>
    <row r="2032" spans="1:9" s="3" customFormat="1" x14ac:dyDescent="0.3">
      <c r="A2032" s="3" t="s">
        <v>224</v>
      </c>
      <c r="B2032" s="3" t="s">
        <v>225</v>
      </c>
      <c r="C2032" s="3" t="s">
        <v>24</v>
      </c>
      <c r="D2032" s="3" t="s">
        <v>235</v>
      </c>
      <c r="E2032" s="6"/>
      <c r="F2032" s="6"/>
      <c r="G2032" s="3" t="s">
        <v>44</v>
      </c>
      <c r="H2032" s="3" t="s">
        <v>27</v>
      </c>
      <c r="I2032" s="3" t="s">
        <v>15</v>
      </c>
    </row>
    <row r="2033" spans="1:9" s="3" customFormat="1" x14ac:dyDescent="0.3">
      <c r="A2033" s="3" t="s">
        <v>130</v>
      </c>
      <c r="B2033" s="3" t="s">
        <v>131</v>
      </c>
      <c r="C2033" s="3" t="s">
        <v>239</v>
      </c>
      <c r="D2033" s="3" t="s">
        <v>181</v>
      </c>
      <c r="E2033" s="6"/>
      <c r="F2033" s="6"/>
      <c r="G2033" s="3" t="s">
        <v>44</v>
      </c>
      <c r="H2033" s="3" t="s">
        <v>27</v>
      </c>
      <c r="I2033" s="3" t="s">
        <v>21</v>
      </c>
    </row>
    <row r="2034" spans="1:9" s="3" customFormat="1" x14ac:dyDescent="0.3">
      <c r="A2034" s="3" t="s">
        <v>28</v>
      </c>
      <c r="B2034" s="3" t="s">
        <v>29</v>
      </c>
      <c r="C2034" s="3" t="s">
        <v>18</v>
      </c>
      <c r="D2034" s="3" t="s">
        <v>377</v>
      </c>
      <c r="E2034" s="6"/>
      <c r="F2034" s="6"/>
      <c r="G2034" s="3" t="s">
        <v>44</v>
      </c>
      <c r="H2034" s="3" t="s">
        <v>14</v>
      </c>
      <c r="I2034" s="3" t="s">
        <v>15</v>
      </c>
    </row>
    <row r="2035" spans="1:9" s="3" customFormat="1" x14ac:dyDescent="0.3">
      <c r="A2035" s="3" t="s">
        <v>69</v>
      </c>
      <c r="B2035" s="3" t="s">
        <v>70</v>
      </c>
      <c r="C2035" s="3" t="s">
        <v>42</v>
      </c>
      <c r="D2035" s="3" t="s">
        <v>98</v>
      </c>
      <c r="E2035" s="6"/>
      <c r="F2035" s="6"/>
      <c r="G2035" s="3" t="s">
        <v>44</v>
      </c>
      <c r="H2035" s="3" t="s">
        <v>14</v>
      </c>
      <c r="I2035" s="3" t="s">
        <v>21</v>
      </c>
    </row>
    <row r="2036" spans="1:9" s="3" customFormat="1" x14ac:dyDescent="0.3">
      <c r="A2036" s="3" t="s">
        <v>315</v>
      </c>
      <c r="B2036" s="3" t="s">
        <v>316</v>
      </c>
      <c r="C2036" s="3" t="s">
        <v>64</v>
      </c>
      <c r="D2036" s="3" t="s">
        <v>95</v>
      </c>
      <c r="E2036" s="6"/>
      <c r="F2036" s="6"/>
      <c r="G2036" s="3" t="s">
        <v>44</v>
      </c>
      <c r="H2036" s="3" t="s">
        <v>27</v>
      </c>
      <c r="I2036" s="3" t="s">
        <v>15</v>
      </c>
    </row>
    <row r="2037" spans="1:9" s="3" customFormat="1" x14ac:dyDescent="0.3">
      <c r="A2037" s="3" t="s">
        <v>28</v>
      </c>
      <c r="B2037" s="3" t="s">
        <v>29</v>
      </c>
      <c r="C2037" s="3" t="s">
        <v>64</v>
      </c>
      <c r="D2037" s="3" t="s">
        <v>108</v>
      </c>
      <c r="E2037" s="6"/>
      <c r="F2037" s="6"/>
      <c r="G2037" s="3" t="s">
        <v>44</v>
      </c>
      <c r="H2037" s="3" t="s">
        <v>27</v>
      </c>
      <c r="I2037" s="3" t="s">
        <v>15</v>
      </c>
    </row>
    <row r="2038" spans="1:9" s="3" customFormat="1" x14ac:dyDescent="0.3">
      <c r="A2038" s="3" t="s">
        <v>269</v>
      </c>
      <c r="B2038" s="3" t="s">
        <v>270</v>
      </c>
      <c r="C2038" s="3" t="s">
        <v>42</v>
      </c>
      <c r="D2038" s="3" t="s">
        <v>242</v>
      </c>
      <c r="E2038" s="6">
        <v>0.44166666666666665</v>
      </c>
      <c r="F2038" s="6">
        <v>0.81180555555555556</v>
      </c>
      <c r="G2038" s="3" t="s">
        <v>13</v>
      </c>
      <c r="H2038" s="3" t="s">
        <v>14</v>
      </c>
      <c r="I2038" s="3" t="s">
        <v>15</v>
      </c>
    </row>
    <row r="2039" spans="1:9" s="3" customFormat="1" x14ac:dyDescent="0.3">
      <c r="A2039" s="3" t="s">
        <v>194</v>
      </c>
      <c r="B2039" s="3" t="s">
        <v>195</v>
      </c>
      <c r="C2039" s="3" t="s">
        <v>24</v>
      </c>
      <c r="D2039" s="3" t="s">
        <v>203</v>
      </c>
      <c r="E2039" s="6">
        <v>0.35694444444444445</v>
      </c>
      <c r="F2039" s="6">
        <v>0.8666666666666667</v>
      </c>
      <c r="G2039" s="3" t="s">
        <v>13</v>
      </c>
      <c r="H2039" s="3" t="s">
        <v>27</v>
      </c>
      <c r="I2039" s="3" t="s">
        <v>21</v>
      </c>
    </row>
    <row r="2040" spans="1:9" s="3" customFormat="1" x14ac:dyDescent="0.3">
      <c r="A2040" s="3" t="s">
        <v>122</v>
      </c>
      <c r="B2040" s="3" t="s">
        <v>123</v>
      </c>
      <c r="C2040" s="3" t="s">
        <v>42</v>
      </c>
      <c r="D2040" s="3" t="s">
        <v>180</v>
      </c>
      <c r="E2040" s="6">
        <v>0.38333333333333336</v>
      </c>
      <c r="F2040" s="6">
        <v>0.82013888888888886</v>
      </c>
      <c r="G2040" s="3" t="s">
        <v>170</v>
      </c>
      <c r="H2040" s="3" t="s">
        <v>27</v>
      </c>
      <c r="I2040" s="3" t="s">
        <v>15</v>
      </c>
    </row>
    <row r="2041" spans="1:9" s="3" customFormat="1" x14ac:dyDescent="0.3">
      <c r="A2041" s="3" t="s">
        <v>130</v>
      </c>
      <c r="B2041" s="3" t="s">
        <v>131</v>
      </c>
      <c r="C2041" s="3" t="s">
        <v>239</v>
      </c>
      <c r="D2041" s="3" t="s">
        <v>299</v>
      </c>
      <c r="E2041" s="6">
        <v>0.45416666666666666</v>
      </c>
      <c r="F2041" s="6">
        <v>0.74027777777777781</v>
      </c>
      <c r="G2041" s="3" t="s">
        <v>13</v>
      </c>
      <c r="H2041" s="3" t="s">
        <v>27</v>
      </c>
      <c r="I2041" s="3" t="s">
        <v>21</v>
      </c>
    </row>
    <row r="2042" spans="1:9" s="3" customFormat="1" x14ac:dyDescent="0.3">
      <c r="A2042" s="3" t="s">
        <v>134</v>
      </c>
      <c r="B2042" s="3" t="s">
        <v>135</v>
      </c>
      <c r="C2042" s="3" t="s">
        <v>42</v>
      </c>
      <c r="D2042" s="3" t="s">
        <v>281</v>
      </c>
      <c r="E2042" s="6"/>
      <c r="F2042" s="6"/>
      <c r="G2042" s="3" t="s">
        <v>44</v>
      </c>
      <c r="H2042" s="3" t="s">
        <v>27</v>
      </c>
      <c r="I2042" s="3" t="s">
        <v>21</v>
      </c>
    </row>
    <row r="2043" spans="1:9" s="3" customFormat="1" x14ac:dyDescent="0.3">
      <c r="A2043" s="3" t="s">
        <v>213</v>
      </c>
      <c r="B2043" s="3" t="s">
        <v>214</v>
      </c>
      <c r="C2043" s="3" t="s">
        <v>24</v>
      </c>
      <c r="D2043" s="3" t="s">
        <v>140</v>
      </c>
      <c r="E2043" s="6">
        <v>0.36458333333333331</v>
      </c>
      <c r="F2043" s="6">
        <v>0.78888888888888886</v>
      </c>
      <c r="G2043" s="3" t="s">
        <v>13</v>
      </c>
      <c r="H2043" s="3" t="s">
        <v>14</v>
      </c>
      <c r="I2043" s="3" t="s">
        <v>15</v>
      </c>
    </row>
    <row r="2044" spans="1:9" s="3" customFormat="1" x14ac:dyDescent="0.3">
      <c r="A2044" s="3" t="s">
        <v>146</v>
      </c>
      <c r="B2044" s="3" t="s">
        <v>147</v>
      </c>
      <c r="C2044" s="3" t="s">
        <v>11</v>
      </c>
      <c r="D2044" s="3" t="s">
        <v>332</v>
      </c>
      <c r="E2044" s="6"/>
      <c r="F2044" s="6"/>
      <c r="G2044" s="3" t="s">
        <v>44</v>
      </c>
      <c r="H2044" s="3" t="s">
        <v>27</v>
      </c>
      <c r="I2044" s="3" t="s">
        <v>15</v>
      </c>
    </row>
    <row r="2045" spans="1:9" s="3" customFormat="1" x14ac:dyDescent="0.3">
      <c r="A2045" s="3" t="s">
        <v>48</v>
      </c>
      <c r="B2045" s="3" t="s">
        <v>49</v>
      </c>
      <c r="C2045" s="3" t="s">
        <v>64</v>
      </c>
      <c r="D2045" s="3" t="s">
        <v>126</v>
      </c>
      <c r="E2045" s="6">
        <v>0.38333333333333336</v>
      </c>
      <c r="F2045" s="6">
        <v>0.67500000000000004</v>
      </c>
      <c r="G2045" s="3" t="s">
        <v>20</v>
      </c>
      <c r="H2045" s="3" t="s">
        <v>14</v>
      </c>
      <c r="I2045" s="3" t="s">
        <v>21</v>
      </c>
    </row>
    <row r="2046" spans="1:9" s="3" customFormat="1" x14ac:dyDescent="0.3">
      <c r="A2046" s="3" t="s">
        <v>197</v>
      </c>
      <c r="B2046" s="3" t="s">
        <v>198</v>
      </c>
      <c r="C2046" s="3" t="s">
        <v>42</v>
      </c>
      <c r="D2046" s="3" t="s">
        <v>336</v>
      </c>
      <c r="E2046" s="6">
        <v>0.43055555555555558</v>
      </c>
      <c r="F2046" s="6">
        <v>0.68263888888888891</v>
      </c>
      <c r="G2046" s="3" t="s">
        <v>13</v>
      </c>
      <c r="H2046" s="3" t="s">
        <v>27</v>
      </c>
      <c r="I2046" s="3" t="s">
        <v>15</v>
      </c>
    </row>
    <row r="2047" spans="1:9" s="3" customFormat="1" x14ac:dyDescent="0.3">
      <c r="A2047" s="3" t="s">
        <v>204</v>
      </c>
      <c r="B2047" s="3" t="s">
        <v>205</v>
      </c>
      <c r="C2047" s="3" t="s">
        <v>42</v>
      </c>
      <c r="D2047" s="3" t="s">
        <v>124</v>
      </c>
      <c r="E2047" s="6"/>
      <c r="F2047" s="6"/>
      <c r="G2047" s="3" t="s">
        <v>44</v>
      </c>
      <c r="H2047" s="3" t="s">
        <v>14</v>
      </c>
      <c r="I2047" s="3" t="s">
        <v>15</v>
      </c>
    </row>
    <row r="2048" spans="1:9" s="3" customFormat="1" x14ac:dyDescent="0.3">
      <c r="A2048" s="3" t="s">
        <v>102</v>
      </c>
      <c r="B2048" s="3" t="s">
        <v>103</v>
      </c>
      <c r="C2048" s="3" t="s">
        <v>24</v>
      </c>
      <c r="D2048" s="3" t="s">
        <v>207</v>
      </c>
      <c r="E2048" s="6"/>
      <c r="F2048" s="6"/>
      <c r="G2048" s="3" t="s">
        <v>44</v>
      </c>
      <c r="H2048" s="3" t="s">
        <v>27</v>
      </c>
      <c r="I2048" s="3" t="s">
        <v>15</v>
      </c>
    </row>
    <row r="2049" spans="1:9" s="3" customFormat="1" x14ac:dyDescent="0.3">
      <c r="A2049" s="3" t="s">
        <v>191</v>
      </c>
      <c r="B2049" s="3" t="s">
        <v>192</v>
      </c>
      <c r="C2049" s="3" t="s">
        <v>24</v>
      </c>
      <c r="D2049" s="3" t="s">
        <v>209</v>
      </c>
      <c r="E2049" s="6">
        <v>0.40694444444444444</v>
      </c>
      <c r="F2049" s="6">
        <v>0.76180555555555551</v>
      </c>
      <c r="G2049" s="3" t="s">
        <v>26</v>
      </c>
      <c r="H2049" s="3" t="s">
        <v>14</v>
      </c>
      <c r="I2049" s="3" t="s">
        <v>15</v>
      </c>
    </row>
    <row r="2050" spans="1:9" s="3" customFormat="1" x14ac:dyDescent="0.3">
      <c r="A2050" s="3" t="s">
        <v>204</v>
      </c>
      <c r="B2050" s="3" t="s">
        <v>205</v>
      </c>
      <c r="C2050" s="3" t="s">
        <v>60</v>
      </c>
      <c r="D2050" s="3" t="s">
        <v>334</v>
      </c>
      <c r="E2050" s="6">
        <v>0.49791666666666667</v>
      </c>
      <c r="F2050" s="6">
        <v>0.81666666666666665</v>
      </c>
      <c r="G2050" s="3" t="s">
        <v>13</v>
      </c>
      <c r="H2050" s="3" t="s">
        <v>14</v>
      </c>
      <c r="I2050" s="3" t="s">
        <v>21</v>
      </c>
    </row>
    <row r="2051" spans="1:9" s="3" customFormat="1" x14ac:dyDescent="0.3">
      <c r="A2051" s="3" t="s">
        <v>72</v>
      </c>
      <c r="B2051" s="3" t="s">
        <v>73</v>
      </c>
      <c r="C2051" s="3" t="s">
        <v>60</v>
      </c>
      <c r="D2051" s="3" t="s">
        <v>160</v>
      </c>
      <c r="E2051" s="6"/>
      <c r="F2051" s="6"/>
      <c r="G2051" s="3" t="s">
        <v>44</v>
      </c>
      <c r="H2051" s="3" t="s">
        <v>27</v>
      </c>
      <c r="I2051" s="3" t="s">
        <v>15</v>
      </c>
    </row>
    <row r="2052" spans="1:9" s="3" customFormat="1" x14ac:dyDescent="0.3">
      <c r="A2052" s="3" t="s">
        <v>90</v>
      </c>
      <c r="B2052" s="3" t="s">
        <v>91</v>
      </c>
      <c r="C2052" s="3" t="s">
        <v>60</v>
      </c>
      <c r="D2052" s="3" t="s">
        <v>249</v>
      </c>
      <c r="E2052" s="6">
        <v>0.44861111111111113</v>
      </c>
      <c r="F2052" s="6">
        <v>0.69166666666666665</v>
      </c>
      <c r="G2052" s="3" t="s">
        <v>13</v>
      </c>
      <c r="H2052" s="3" t="s">
        <v>27</v>
      </c>
      <c r="I2052" s="3" t="s">
        <v>21</v>
      </c>
    </row>
    <row r="2053" spans="1:9" s="3" customFormat="1" x14ac:dyDescent="0.3">
      <c r="A2053" s="3" t="s">
        <v>28</v>
      </c>
      <c r="B2053" s="3" t="s">
        <v>29</v>
      </c>
      <c r="C2053" s="3" t="s">
        <v>18</v>
      </c>
      <c r="D2053" s="3" t="s">
        <v>181</v>
      </c>
      <c r="E2053" s="6">
        <v>0.36388888888888887</v>
      </c>
      <c r="F2053" s="6">
        <v>0.72361111111111109</v>
      </c>
      <c r="G2053" s="3" t="s">
        <v>274</v>
      </c>
      <c r="H2053" s="3" t="s">
        <v>27</v>
      </c>
      <c r="I2053" s="3" t="s">
        <v>15</v>
      </c>
    </row>
    <row r="2054" spans="1:9" s="3" customFormat="1" x14ac:dyDescent="0.3">
      <c r="A2054" s="3" t="s">
        <v>194</v>
      </c>
      <c r="B2054" s="3" t="s">
        <v>195</v>
      </c>
      <c r="C2054" s="3" t="s">
        <v>64</v>
      </c>
      <c r="D2054" s="3" t="s">
        <v>243</v>
      </c>
      <c r="E2054" s="6"/>
      <c r="F2054" s="6"/>
      <c r="G2054" s="3" t="s">
        <v>44</v>
      </c>
      <c r="H2054" s="3" t="s">
        <v>14</v>
      </c>
      <c r="I2054" s="3" t="s">
        <v>21</v>
      </c>
    </row>
    <row r="2055" spans="1:9" s="3" customFormat="1" x14ac:dyDescent="0.3">
      <c r="A2055" s="3" t="s">
        <v>194</v>
      </c>
      <c r="B2055" s="3" t="s">
        <v>195</v>
      </c>
      <c r="C2055" s="3" t="s">
        <v>42</v>
      </c>
      <c r="D2055" s="3" t="s">
        <v>152</v>
      </c>
      <c r="E2055" s="6">
        <v>0.35138888888888886</v>
      </c>
      <c r="F2055" s="6">
        <v>0.77083333333333337</v>
      </c>
      <c r="G2055" s="3" t="s">
        <v>13</v>
      </c>
      <c r="H2055" s="3" t="s">
        <v>27</v>
      </c>
      <c r="I2055" s="3" t="s">
        <v>15</v>
      </c>
    </row>
    <row r="2056" spans="1:9" s="3" customFormat="1" x14ac:dyDescent="0.3">
      <c r="A2056" s="3" t="s">
        <v>9</v>
      </c>
      <c r="B2056" s="3" t="s">
        <v>10</v>
      </c>
      <c r="C2056" s="3" t="s">
        <v>60</v>
      </c>
      <c r="D2056" s="3" t="s">
        <v>296</v>
      </c>
      <c r="E2056" s="6">
        <v>0.46875</v>
      </c>
      <c r="F2056" s="6">
        <v>0.68055555555555558</v>
      </c>
      <c r="G2056" s="3" t="s">
        <v>26</v>
      </c>
      <c r="H2056" s="3" t="s">
        <v>27</v>
      </c>
      <c r="I2056" s="3" t="s">
        <v>21</v>
      </c>
    </row>
    <row r="2057" spans="1:9" s="3" customFormat="1" x14ac:dyDescent="0.3">
      <c r="A2057" s="3" t="s">
        <v>200</v>
      </c>
      <c r="B2057" s="3" t="s">
        <v>201</v>
      </c>
      <c r="C2057" s="3" t="s">
        <v>24</v>
      </c>
      <c r="D2057" s="3" t="s">
        <v>124</v>
      </c>
      <c r="E2057" s="6"/>
      <c r="F2057" s="6"/>
      <c r="G2057" s="3" t="s">
        <v>44</v>
      </c>
      <c r="H2057" s="3" t="s">
        <v>14</v>
      </c>
      <c r="I2057" s="3" t="s">
        <v>21</v>
      </c>
    </row>
    <row r="2058" spans="1:9" s="3" customFormat="1" x14ac:dyDescent="0.3">
      <c r="A2058" s="3" t="s">
        <v>157</v>
      </c>
      <c r="B2058" s="3" t="s">
        <v>158</v>
      </c>
      <c r="C2058" s="3" t="s">
        <v>64</v>
      </c>
      <c r="D2058" s="3" t="s">
        <v>136</v>
      </c>
      <c r="E2058" s="6">
        <v>0.41249999999999998</v>
      </c>
      <c r="F2058" s="6">
        <v>0.82847222222222228</v>
      </c>
      <c r="G2058" s="3" t="s">
        <v>20</v>
      </c>
      <c r="H2058" s="3" t="s">
        <v>14</v>
      </c>
      <c r="I2058" s="3" t="s">
        <v>21</v>
      </c>
    </row>
    <row r="2059" spans="1:9" s="3" customFormat="1" x14ac:dyDescent="0.3">
      <c r="A2059" s="3" t="s">
        <v>246</v>
      </c>
      <c r="B2059" s="3" t="s">
        <v>247</v>
      </c>
      <c r="C2059" s="3" t="s">
        <v>64</v>
      </c>
      <c r="D2059" s="3" t="s">
        <v>231</v>
      </c>
      <c r="E2059" s="6">
        <v>0.33958333333333335</v>
      </c>
      <c r="F2059" s="6">
        <v>0.7270833333333333</v>
      </c>
      <c r="G2059" s="3" t="s">
        <v>20</v>
      </c>
      <c r="H2059" s="3" t="s">
        <v>27</v>
      </c>
      <c r="I2059" s="3" t="s">
        <v>21</v>
      </c>
    </row>
    <row r="2060" spans="1:9" s="3" customFormat="1" x14ac:dyDescent="0.3">
      <c r="A2060" s="3" t="s">
        <v>130</v>
      </c>
      <c r="B2060" s="3" t="s">
        <v>131</v>
      </c>
      <c r="C2060" s="3" t="s">
        <v>24</v>
      </c>
      <c r="D2060" s="3" t="s">
        <v>368</v>
      </c>
      <c r="E2060" s="6">
        <v>0.43263888888888891</v>
      </c>
      <c r="F2060" s="6">
        <v>0.78472222222222221</v>
      </c>
      <c r="G2060" s="3" t="s">
        <v>26</v>
      </c>
      <c r="H2060" s="3" t="s">
        <v>14</v>
      </c>
      <c r="I2060" s="3" t="s">
        <v>21</v>
      </c>
    </row>
    <row r="2061" spans="1:9" s="3" customFormat="1" x14ac:dyDescent="0.3">
      <c r="A2061" s="3" t="s">
        <v>130</v>
      </c>
      <c r="B2061" s="3" t="s">
        <v>131</v>
      </c>
      <c r="C2061" s="3" t="s">
        <v>24</v>
      </c>
      <c r="D2061" s="3" t="s">
        <v>353</v>
      </c>
      <c r="E2061" s="6">
        <v>0.35069444444444442</v>
      </c>
      <c r="F2061" s="6">
        <v>0.8520833333333333</v>
      </c>
      <c r="G2061" s="3" t="s">
        <v>13</v>
      </c>
      <c r="H2061" s="3" t="s">
        <v>27</v>
      </c>
      <c r="I2061" s="3" t="s">
        <v>15</v>
      </c>
    </row>
    <row r="2062" spans="1:9" s="3" customFormat="1" x14ac:dyDescent="0.3">
      <c r="A2062" s="3" t="s">
        <v>93</v>
      </c>
      <c r="B2062" s="3" t="s">
        <v>94</v>
      </c>
      <c r="C2062" s="3" t="s">
        <v>24</v>
      </c>
      <c r="D2062" s="3" t="s">
        <v>308</v>
      </c>
      <c r="E2062" s="6">
        <v>0.46805555555555556</v>
      </c>
      <c r="F2062" s="6">
        <v>0.80763888888888891</v>
      </c>
      <c r="G2062" s="3" t="s">
        <v>13</v>
      </c>
      <c r="H2062" s="3" t="s">
        <v>14</v>
      </c>
      <c r="I2062" s="3" t="s">
        <v>21</v>
      </c>
    </row>
    <row r="2063" spans="1:9" s="3" customFormat="1" x14ac:dyDescent="0.3">
      <c r="A2063" s="3" t="s">
        <v>150</v>
      </c>
      <c r="B2063" s="3" t="s">
        <v>151</v>
      </c>
      <c r="C2063" s="3" t="s">
        <v>24</v>
      </c>
      <c r="D2063" s="3" t="s">
        <v>43</v>
      </c>
      <c r="E2063" s="6">
        <v>0.35347222222222224</v>
      </c>
      <c r="F2063" s="6">
        <v>0.84097222222222223</v>
      </c>
      <c r="G2063" s="3" t="s">
        <v>20</v>
      </c>
      <c r="H2063" s="3" t="s">
        <v>27</v>
      </c>
      <c r="I2063" s="3" t="s">
        <v>21</v>
      </c>
    </row>
    <row r="2064" spans="1:9" s="3" customFormat="1" x14ac:dyDescent="0.3">
      <c r="A2064" s="3" t="s">
        <v>109</v>
      </c>
      <c r="B2064" s="3" t="s">
        <v>110</v>
      </c>
      <c r="C2064" s="3" t="s">
        <v>64</v>
      </c>
      <c r="D2064" s="3" t="s">
        <v>351</v>
      </c>
      <c r="E2064" s="6">
        <v>0.34513888888888888</v>
      </c>
      <c r="F2064" s="6">
        <v>0.80833333333333335</v>
      </c>
      <c r="G2064" s="3" t="s">
        <v>26</v>
      </c>
      <c r="H2064" s="3" t="s">
        <v>14</v>
      </c>
      <c r="I2064" s="3" t="s">
        <v>15</v>
      </c>
    </row>
    <row r="2065" spans="1:9" s="3" customFormat="1" x14ac:dyDescent="0.3">
      <c r="A2065" s="3" t="s">
        <v>28</v>
      </c>
      <c r="B2065" s="3" t="s">
        <v>29</v>
      </c>
      <c r="C2065" s="3" t="s">
        <v>24</v>
      </c>
      <c r="D2065" s="3" t="s">
        <v>379</v>
      </c>
      <c r="E2065" s="6">
        <v>0.40486111111111112</v>
      </c>
      <c r="F2065" s="6">
        <v>0.73958333333333337</v>
      </c>
      <c r="G2065" s="3" t="s">
        <v>13</v>
      </c>
      <c r="H2065" s="3" t="s">
        <v>14</v>
      </c>
      <c r="I2065" s="3" t="s">
        <v>15</v>
      </c>
    </row>
    <row r="2066" spans="1:9" s="3" customFormat="1" x14ac:dyDescent="0.3">
      <c r="A2066" s="3" t="s">
        <v>130</v>
      </c>
      <c r="B2066" s="3" t="s">
        <v>131</v>
      </c>
      <c r="C2066" s="3" t="s">
        <v>167</v>
      </c>
      <c r="D2066" s="3" t="s">
        <v>203</v>
      </c>
      <c r="E2066" s="6"/>
      <c r="F2066" s="6"/>
      <c r="G2066" s="3" t="s">
        <v>44</v>
      </c>
      <c r="H2066" s="3" t="s">
        <v>27</v>
      </c>
      <c r="I2066" s="3" t="s">
        <v>21</v>
      </c>
    </row>
    <row r="2067" spans="1:9" s="3" customFormat="1" x14ac:dyDescent="0.3">
      <c r="A2067" s="3" t="s">
        <v>204</v>
      </c>
      <c r="B2067" s="3" t="s">
        <v>205</v>
      </c>
      <c r="C2067" s="3" t="s">
        <v>64</v>
      </c>
      <c r="D2067" s="3" t="s">
        <v>336</v>
      </c>
      <c r="E2067" s="6"/>
      <c r="F2067" s="6"/>
      <c r="G2067" s="3" t="s">
        <v>44</v>
      </c>
      <c r="H2067" s="3" t="s">
        <v>14</v>
      </c>
      <c r="I2067" s="3" t="s">
        <v>15</v>
      </c>
    </row>
    <row r="2068" spans="1:9" s="3" customFormat="1" x14ac:dyDescent="0.3">
      <c r="A2068" s="3" t="s">
        <v>187</v>
      </c>
      <c r="B2068" s="3" t="s">
        <v>188</v>
      </c>
      <c r="C2068" s="3" t="s">
        <v>24</v>
      </c>
      <c r="D2068" s="3" t="s">
        <v>126</v>
      </c>
      <c r="E2068" s="6">
        <v>0.44374999999999998</v>
      </c>
      <c r="F2068" s="6">
        <v>0.7729166666666667</v>
      </c>
      <c r="G2068" s="3" t="s">
        <v>13</v>
      </c>
      <c r="H2068" s="3" t="s">
        <v>14</v>
      </c>
      <c r="I2068" s="3" t="s">
        <v>21</v>
      </c>
    </row>
    <row r="2069" spans="1:9" s="3" customFormat="1" x14ac:dyDescent="0.3">
      <c r="A2069" s="3" t="s">
        <v>165</v>
      </c>
      <c r="B2069" s="3" t="s">
        <v>166</v>
      </c>
      <c r="C2069" s="3" t="s">
        <v>18</v>
      </c>
      <c r="D2069" s="3" t="s">
        <v>184</v>
      </c>
      <c r="E2069" s="6"/>
      <c r="F2069" s="6"/>
      <c r="G2069" s="3" t="s">
        <v>44</v>
      </c>
      <c r="H2069" s="3" t="s">
        <v>27</v>
      </c>
      <c r="I2069" s="3" t="s">
        <v>15</v>
      </c>
    </row>
    <row r="2070" spans="1:9" s="3" customFormat="1" x14ac:dyDescent="0.3">
      <c r="A2070" s="3" t="s">
        <v>40</v>
      </c>
      <c r="B2070" s="3" t="s">
        <v>41</v>
      </c>
      <c r="C2070" s="3" t="s">
        <v>24</v>
      </c>
      <c r="D2070" s="3" t="s">
        <v>401</v>
      </c>
      <c r="E2070" s="6">
        <v>0.38194444444444442</v>
      </c>
      <c r="F2070" s="6">
        <v>0.77638888888888891</v>
      </c>
      <c r="G2070" s="3" t="s">
        <v>13</v>
      </c>
      <c r="H2070" s="3" t="s">
        <v>27</v>
      </c>
      <c r="I2070" s="3" t="s">
        <v>21</v>
      </c>
    </row>
    <row r="2071" spans="1:9" s="3" customFormat="1" x14ac:dyDescent="0.3">
      <c r="A2071" s="3" t="s">
        <v>84</v>
      </c>
      <c r="B2071" s="3" t="s">
        <v>85</v>
      </c>
      <c r="C2071" s="3" t="s">
        <v>60</v>
      </c>
      <c r="D2071" s="3" t="s">
        <v>241</v>
      </c>
      <c r="E2071" s="6">
        <v>0.33680555555555558</v>
      </c>
      <c r="F2071" s="6">
        <v>0.87291666666666667</v>
      </c>
      <c r="G2071" s="3" t="s">
        <v>20</v>
      </c>
      <c r="H2071" s="3" t="s">
        <v>14</v>
      </c>
      <c r="I2071" s="3" t="s">
        <v>15</v>
      </c>
    </row>
    <row r="2072" spans="1:9" s="3" customFormat="1" x14ac:dyDescent="0.3">
      <c r="A2072" s="3" t="s">
        <v>154</v>
      </c>
      <c r="B2072" s="3" t="s">
        <v>155</v>
      </c>
      <c r="C2072" s="3" t="s">
        <v>60</v>
      </c>
      <c r="D2072" s="3" t="s">
        <v>294</v>
      </c>
      <c r="E2072" s="6">
        <v>0.3888888888888889</v>
      </c>
      <c r="F2072" s="6">
        <v>0.71319444444444446</v>
      </c>
      <c r="G2072" s="3" t="s">
        <v>20</v>
      </c>
      <c r="H2072" s="3" t="s">
        <v>27</v>
      </c>
      <c r="I2072" s="3" t="s">
        <v>15</v>
      </c>
    </row>
    <row r="2073" spans="1:9" s="3" customFormat="1" x14ac:dyDescent="0.3">
      <c r="A2073" s="3" t="s">
        <v>84</v>
      </c>
      <c r="B2073" s="3" t="s">
        <v>85</v>
      </c>
      <c r="C2073" s="3" t="s">
        <v>18</v>
      </c>
      <c r="D2073" s="3" t="s">
        <v>132</v>
      </c>
      <c r="E2073" s="6">
        <v>0.34722222222222221</v>
      </c>
      <c r="F2073" s="6">
        <v>0.76388888888888884</v>
      </c>
      <c r="G2073" s="3" t="s">
        <v>20</v>
      </c>
      <c r="H2073" s="3" t="s">
        <v>14</v>
      </c>
      <c r="I2073" s="3" t="s">
        <v>21</v>
      </c>
    </row>
    <row r="2074" spans="1:9" s="3" customFormat="1" x14ac:dyDescent="0.3">
      <c r="A2074" s="3" t="s">
        <v>138</v>
      </c>
      <c r="B2074" s="3" t="s">
        <v>139</v>
      </c>
      <c r="C2074" s="3" t="s">
        <v>24</v>
      </c>
      <c r="D2074" s="3" t="s">
        <v>129</v>
      </c>
      <c r="E2074" s="6">
        <v>0.34027777777777779</v>
      </c>
      <c r="F2074" s="6">
        <v>0.80694444444444446</v>
      </c>
      <c r="G2074" s="3" t="s">
        <v>20</v>
      </c>
      <c r="H2074" s="3" t="s">
        <v>14</v>
      </c>
      <c r="I2074" s="3" t="s">
        <v>15</v>
      </c>
    </row>
    <row r="2075" spans="1:9" s="3" customFormat="1" x14ac:dyDescent="0.3">
      <c r="A2075" s="3" t="s">
        <v>250</v>
      </c>
      <c r="B2075" s="3" t="s">
        <v>251</v>
      </c>
      <c r="C2075" s="3" t="s">
        <v>42</v>
      </c>
      <c r="D2075" s="3" t="s">
        <v>361</v>
      </c>
      <c r="E2075" s="6">
        <v>0.4284722222222222</v>
      </c>
      <c r="F2075" s="6">
        <v>0.85277777777777775</v>
      </c>
      <c r="G2075" s="3" t="s">
        <v>26</v>
      </c>
      <c r="H2075" s="3" t="s">
        <v>27</v>
      </c>
      <c r="I2075" s="3" t="s">
        <v>15</v>
      </c>
    </row>
    <row r="2076" spans="1:9" s="3" customFormat="1" x14ac:dyDescent="0.3">
      <c r="A2076" s="3" t="s">
        <v>58</v>
      </c>
      <c r="B2076" s="3" t="s">
        <v>59</v>
      </c>
      <c r="C2076" s="3" t="s">
        <v>24</v>
      </c>
      <c r="D2076" s="3" t="s">
        <v>242</v>
      </c>
      <c r="E2076" s="6">
        <v>0.47499999999999998</v>
      </c>
      <c r="F2076" s="6">
        <v>0.85763888888888884</v>
      </c>
      <c r="G2076" s="3" t="s">
        <v>13</v>
      </c>
      <c r="H2076" s="3" t="s">
        <v>27</v>
      </c>
      <c r="I2076" s="3" t="s">
        <v>21</v>
      </c>
    </row>
    <row r="2077" spans="1:9" s="3" customFormat="1" x14ac:dyDescent="0.3">
      <c r="A2077" s="3" t="s">
        <v>37</v>
      </c>
      <c r="B2077" s="3" t="s">
        <v>38</v>
      </c>
      <c r="C2077" s="3" t="s">
        <v>42</v>
      </c>
      <c r="D2077" s="3" t="s">
        <v>68</v>
      </c>
      <c r="E2077" s="6">
        <v>0.42916666666666664</v>
      </c>
      <c r="F2077" s="6">
        <v>0.84652777777777777</v>
      </c>
      <c r="G2077" s="3" t="s">
        <v>26</v>
      </c>
      <c r="H2077" s="3" t="s">
        <v>27</v>
      </c>
      <c r="I2077" s="3" t="s">
        <v>15</v>
      </c>
    </row>
    <row r="2078" spans="1:9" s="3" customFormat="1" x14ac:dyDescent="0.3">
      <c r="A2078" s="3" t="s">
        <v>99</v>
      </c>
      <c r="B2078" s="3" t="s">
        <v>100</v>
      </c>
      <c r="C2078" s="3" t="s">
        <v>60</v>
      </c>
      <c r="D2078" s="3" t="s">
        <v>390</v>
      </c>
      <c r="E2078" s="6">
        <v>0.33541666666666664</v>
      </c>
      <c r="F2078" s="6">
        <v>0.86319444444444449</v>
      </c>
      <c r="G2078" s="3" t="s">
        <v>13</v>
      </c>
      <c r="H2078" s="3" t="s">
        <v>27</v>
      </c>
      <c r="I2078" s="3" t="s">
        <v>21</v>
      </c>
    </row>
    <row r="2079" spans="1:9" s="3" customFormat="1" x14ac:dyDescent="0.3">
      <c r="A2079" s="3" t="s">
        <v>34</v>
      </c>
      <c r="B2079" s="3" t="s">
        <v>35</v>
      </c>
      <c r="C2079" s="3" t="s">
        <v>60</v>
      </c>
      <c r="D2079" s="3" t="s">
        <v>212</v>
      </c>
      <c r="E2079" s="6">
        <v>0.36388888888888887</v>
      </c>
      <c r="F2079" s="6">
        <v>0.80902777777777779</v>
      </c>
      <c r="G2079" s="3" t="s">
        <v>13</v>
      </c>
      <c r="H2079" s="3" t="s">
        <v>14</v>
      </c>
      <c r="I2079" s="3" t="s">
        <v>15</v>
      </c>
    </row>
    <row r="2080" spans="1:9" s="3" customFormat="1" x14ac:dyDescent="0.3">
      <c r="A2080" s="3" t="s">
        <v>130</v>
      </c>
      <c r="B2080" s="3" t="s">
        <v>131</v>
      </c>
      <c r="C2080" s="3" t="s">
        <v>42</v>
      </c>
      <c r="D2080" s="3" t="s">
        <v>381</v>
      </c>
      <c r="E2080" s="6">
        <v>0.39513888888888887</v>
      </c>
      <c r="F2080" s="6">
        <v>0.73263888888888884</v>
      </c>
      <c r="G2080" s="3" t="s">
        <v>274</v>
      </c>
      <c r="H2080" s="3" t="s">
        <v>27</v>
      </c>
      <c r="I2080" s="3" t="s">
        <v>15</v>
      </c>
    </row>
    <row r="2081" spans="1:9" s="3" customFormat="1" x14ac:dyDescent="0.3">
      <c r="A2081" s="3" t="s">
        <v>291</v>
      </c>
      <c r="B2081" s="3" t="s">
        <v>292</v>
      </c>
      <c r="C2081" s="3" t="s">
        <v>60</v>
      </c>
      <c r="D2081" s="3" t="s">
        <v>357</v>
      </c>
      <c r="E2081" s="6"/>
      <c r="F2081" s="6"/>
      <c r="G2081" s="3" t="s">
        <v>44</v>
      </c>
      <c r="H2081" s="3" t="s">
        <v>14</v>
      </c>
      <c r="I2081" s="3" t="s">
        <v>15</v>
      </c>
    </row>
    <row r="2082" spans="1:9" s="3" customFormat="1" x14ac:dyDescent="0.3">
      <c r="A2082" s="3" t="s">
        <v>191</v>
      </c>
      <c r="B2082" s="3" t="s">
        <v>192</v>
      </c>
      <c r="C2082" s="3" t="s">
        <v>42</v>
      </c>
      <c r="D2082" s="3" t="s">
        <v>189</v>
      </c>
      <c r="E2082" s="6"/>
      <c r="F2082" s="6"/>
      <c r="G2082" s="3" t="s">
        <v>44</v>
      </c>
      <c r="H2082" s="3" t="s">
        <v>27</v>
      </c>
      <c r="I2082" s="3" t="s">
        <v>21</v>
      </c>
    </row>
    <row r="2083" spans="1:9" s="3" customFormat="1" x14ac:dyDescent="0.3">
      <c r="A2083" s="3" t="s">
        <v>138</v>
      </c>
      <c r="B2083" s="3" t="s">
        <v>139</v>
      </c>
      <c r="C2083" s="3" t="s">
        <v>64</v>
      </c>
      <c r="D2083" s="3" t="s">
        <v>365</v>
      </c>
      <c r="E2083" s="6">
        <v>0.42708333333333331</v>
      </c>
      <c r="F2083" s="6">
        <v>0.6743055555555556</v>
      </c>
      <c r="G2083" s="3" t="s">
        <v>13</v>
      </c>
      <c r="H2083" s="3" t="s">
        <v>14</v>
      </c>
      <c r="I2083" s="3" t="s">
        <v>21</v>
      </c>
    </row>
    <row r="2084" spans="1:9" s="3" customFormat="1" x14ac:dyDescent="0.3">
      <c r="A2084" s="3" t="s">
        <v>150</v>
      </c>
      <c r="B2084" s="3" t="s">
        <v>151</v>
      </c>
      <c r="C2084" s="3" t="s">
        <v>18</v>
      </c>
      <c r="D2084" s="3" t="s">
        <v>302</v>
      </c>
      <c r="E2084" s="6">
        <v>0.37291666666666667</v>
      </c>
      <c r="F2084" s="6">
        <v>0.82638888888888884</v>
      </c>
      <c r="G2084" s="3" t="s">
        <v>20</v>
      </c>
      <c r="H2084" s="3" t="s">
        <v>27</v>
      </c>
      <c r="I2084" s="3" t="s">
        <v>21</v>
      </c>
    </row>
    <row r="2085" spans="1:9" s="3" customFormat="1" x14ac:dyDescent="0.3">
      <c r="A2085" s="3" t="s">
        <v>75</v>
      </c>
      <c r="B2085" s="3" t="s">
        <v>76</v>
      </c>
      <c r="C2085" s="3" t="s">
        <v>64</v>
      </c>
      <c r="D2085" s="3" t="s">
        <v>375</v>
      </c>
      <c r="E2085" s="6">
        <v>0.3347222222222222</v>
      </c>
      <c r="F2085" s="6">
        <v>0.7993055555555556</v>
      </c>
      <c r="G2085" s="3" t="s">
        <v>26</v>
      </c>
      <c r="H2085" s="3" t="s">
        <v>27</v>
      </c>
      <c r="I2085" s="3" t="s">
        <v>21</v>
      </c>
    </row>
    <row r="2086" spans="1:9" s="3" customFormat="1" x14ac:dyDescent="0.3">
      <c r="A2086" s="3" t="s">
        <v>112</v>
      </c>
      <c r="B2086" s="3" t="s">
        <v>113</v>
      </c>
      <c r="C2086" s="3" t="s">
        <v>64</v>
      </c>
      <c r="D2086" s="3" t="s">
        <v>360</v>
      </c>
      <c r="E2086" s="6">
        <v>0.33611111111111114</v>
      </c>
      <c r="F2086" s="6">
        <v>0.86111111111111116</v>
      </c>
      <c r="G2086" s="3" t="s">
        <v>26</v>
      </c>
      <c r="H2086" s="3" t="s">
        <v>27</v>
      </c>
      <c r="I2086" s="3" t="s">
        <v>15</v>
      </c>
    </row>
    <row r="2087" spans="1:9" s="3" customFormat="1" x14ac:dyDescent="0.3">
      <c r="A2087" s="3" t="s">
        <v>93</v>
      </c>
      <c r="B2087" s="3" t="s">
        <v>94</v>
      </c>
      <c r="C2087" s="3" t="s">
        <v>64</v>
      </c>
      <c r="D2087" s="3" t="s">
        <v>74</v>
      </c>
      <c r="E2087" s="6"/>
      <c r="F2087" s="6"/>
      <c r="G2087" s="3" t="s">
        <v>44</v>
      </c>
      <c r="H2087" s="3" t="s">
        <v>14</v>
      </c>
      <c r="I2087" s="3" t="s">
        <v>15</v>
      </c>
    </row>
    <row r="2088" spans="1:9" s="3" customFormat="1" x14ac:dyDescent="0.3">
      <c r="A2088" s="3" t="s">
        <v>40</v>
      </c>
      <c r="B2088" s="3" t="s">
        <v>41</v>
      </c>
      <c r="C2088" s="3" t="s">
        <v>18</v>
      </c>
      <c r="D2088" s="3" t="s">
        <v>183</v>
      </c>
      <c r="E2088" s="6">
        <v>0.33541666666666664</v>
      </c>
      <c r="F2088" s="6">
        <v>0.70972222222222225</v>
      </c>
      <c r="G2088" s="3" t="s">
        <v>20</v>
      </c>
      <c r="H2088" s="3" t="s">
        <v>14</v>
      </c>
      <c r="I2088" s="3" t="s">
        <v>21</v>
      </c>
    </row>
    <row r="2089" spans="1:9" s="3" customFormat="1" x14ac:dyDescent="0.3">
      <c r="A2089" s="3" t="s">
        <v>197</v>
      </c>
      <c r="B2089" s="3" t="s">
        <v>198</v>
      </c>
      <c r="C2089" s="3" t="s">
        <v>42</v>
      </c>
      <c r="D2089" s="3" t="s">
        <v>159</v>
      </c>
      <c r="E2089" s="6">
        <v>0.43125000000000002</v>
      </c>
      <c r="F2089" s="6">
        <v>0.79513888888888884</v>
      </c>
      <c r="G2089" s="3" t="s">
        <v>20</v>
      </c>
      <c r="H2089" s="3" t="s">
        <v>14</v>
      </c>
      <c r="I2089" s="3" t="s">
        <v>15</v>
      </c>
    </row>
    <row r="2090" spans="1:9" s="3" customFormat="1" x14ac:dyDescent="0.3">
      <c r="A2090" s="3" t="s">
        <v>99</v>
      </c>
      <c r="B2090" s="3" t="s">
        <v>100</v>
      </c>
      <c r="C2090" s="3" t="s">
        <v>18</v>
      </c>
      <c r="D2090" s="3" t="s">
        <v>220</v>
      </c>
      <c r="E2090" s="6">
        <v>0.48541666666666666</v>
      </c>
      <c r="F2090" s="6">
        <v>0.71736111111111112</v>
      </c>
      <c r="G2090" s="3" t="s">
        <v>20</v>
      </c>
      <c r="H2090" s="3" t="s">
        <v>27</v>
      </c>
      <c r="I2090" s="3" t="s">
        <v>15</v>
      </c>
    </row>
    <row r="2091" spans="1:9" s="3" customFormat="1" x14ac:dyDescent="0.3">
      <c r="A2091" s="3" t="s">
        <v>154</v>
      </c>
      <c r="B2091" s="3" t="s">
        <v>155</v>
      </c>
      <c r="C2091" s="3" t="s">
        <v>239</v>
      </c>
      <c r="D2091" s="3" t="s">
        <v>256</v>
      </c>
      <c r="E2091" s="6"/>
      <c r="F2091" s="6"/>
      <c r="G2091" s="3" t="s">
        <v>44</v>
      </c>
      <c r="H2091" s="3" t="s">
        <v>27</v>
      </c>
      <c r="I2091" s="3" t="s">
        <v>15</v>
      </c>
    </row>
    <row r="2092" spans="1:9" s="3" customFormat="1" x14ac:dyDescent="0.3">
      <c r="A2092" s="3" t="s">
        <v>141</v>
      </c>
      <c r="B2092" s="3" t="s">
        <v>142</v>
      </c>
      <c r="C2092" s="3" t="s">
        <v>42</v>
      </c>
      <c r="D2092" s="3" t="s">
        <v>208</v>
      </c>
      <c r="E2092" s="6">
        <v>0.4284722222222222</v>
      </c>
      <c r="F2092" s="6">
        <v>0.82847222222222228</v>
      </c>
      <c r="G2092" s="3" t="s">
        <v>26</v>
      </c>
      <c r="H2092" s="3" t="s">
        <v>27</v>
      </c>
      <c r="I2092" s="3" t="s">
        <v>21</v>
      </c>
    </row>
    <row r="2093" spans="1:9" s="3" customFormat="1" x14ac:dyDescent="0.3">
      <c r="A2093" s="3" t="s">
        <v>150</v>
      </c>
      <c r="B2093" s="3" t="s">
        <v>151</v>
      </c>
      <c r="C2093" s="3" t="s">
        <v>18</v>
      </c>
      <c r="D2093" s="3" t="s">
        <v>374</v>
      </c>
      <c r="E2093" s="6">
        <v>0.34930555555555554</v>
      </c>
      <c r="F2093" s="6">
        <v>0.86875000000000002</v>
      </c>
      <c r="G2093" s="3" t="s">
        <v>26</v>
      </c>
      <c r="H2093" s="3" t="s">
        <v>14</v>
      </c>
      <c r="I2093" s="3" t="s">
        <v>15</v>
      </c>
    </row>
    <row r="2094" spans="1:9" s="3" customFormat="1" x14ac:dyDescent="0.3">
      <c r="A2094" s="3" t="s">
        <v>84</v>
      </c>
      <c r="B2094" s="3" t="s">
        <v>85</v>
      </c>
      <c r="C2094" s="3" t="s">
        <v>60</v>
      </c>
      <c r="D2094" s="3" t="s">
        <v>343</v>
      </c>
      <c r="E2094" s="6">
        <v>0.35486111111111113</v>
      </c>
      <c r="F2094" s="6">
        <v>0.7006944444444444</v>
      </c>
      <c r="G2094" s="3" t="s">
        <v>13</v>
      </c>
      <c r="H2094" s="3" t="s">
        <v>27</v>
      </c>
      <c r="I2094" s="3" t="s">
        <v>21</v>
      </c>
    </row>
    <row r="2095" spans="1:9" s="3" customFormat="1" x14ac:dyDescent="0.3">
      <c r="A2095" s="3" t="s">
        <v>22</v>
      </c>
      <c r="B2095" s="3" t="s">
        <v>23</v>
      </c>
      <c r="C2095" s="3" t="s">
        <v>42</v>
      </c>
      <c r="D2095" s="3" t="s">
        <v>401</v>
      </c>
      <c r="E2095" s="6"/>
      <c r="F2095" s="6"/>
      <c r="G2095" s="3" t="s">
        <v>44</v>
      </c>
      <c r="H2095" s="3" t="s">
        <v>14</v>
      </c>
      <c r="I2095" s="3" t="s">
        <v>21</v>
      </c>
    </row>
    <row r="2096" spans="1:9" s="3" customFormat="1" x14ac:dyDescent="0.3">
      <c r="A2096" s="3" t="s">
        <v>194</v>
      </c>
      <c r="B2096" s="3" t="s">
        <v>195</v>
      </c>
      <c r="C2096" s="3" t="s">
        <v>64</v>
      </c>
      <c r="D2096" s="3" t="s">
        <v>300</v>
      </c>
      <c r="E2096" s="6"/>
      <c r="F2096" s="6"/>
      <c r="G2096" s="3" t="s">
        <v>44</v>
      </c>
      <c r="H2096" s="3" t="s">
        <v>27</v>
      </c>
      <c r="I2096" s="3" t="s">
        <v>15</v>
      </c>
    </row>
    <row r="2097" spans="1:9" s="3" customFormat="1" x14ac:dyDescent="0.3">
      <c r="A2097" s="3" t="s">
        <v>87</v>
      </c>
      <c r="B2097" s="3" t="s">
        <v>88</v>
      </c>
      <c r="C2097" s="3" t="s">
        <v>64</v>
      </c>
      <c r="D2097" s="3" t="s">
        <v>318</v>
      </c>
      <c r="E2097" s="6">
        <v>0.38333333333333336</v>
      </c>
      <c r="F2097" s="6">
        <v>0.84722222222222221</v>
      </c>
      <c r="G2097" s="3" t="s">
        <v>20</v>
      </c>
      <c r="H2097" s="3" t="s">
        <v>14</v>
      </c>
      <c r="I2097" s="3" t="s">
        <v>15</v>
      </c>
    </row>
    <row r="2098" spans="1:9" s="3" customFormat="1" x14ac:dyDescent="0.3">
      <c r="A2098" s="3" t="s">
        <v>165</v>
      </c>
      <c r="B2098" s="3" t="s">
        <v>166</v>
      </c>
      <c r="C2098" s="3" t="s">
        <v>64</v>
      </c>
      <c r="D2098" s="3" t="s">
        <v>220</v>
      </c>
      <c r="E2098" s="6">
        <v>0.36249999999999999</v>
      </c>
      <c r="F2098" s="6">
        <v>0.69166666666666665</v>
      </c>
      <c r="G2098" s="3" t="s">
        <v>20</v>
      </c>
      <c r="H2098" s="3" t="s">
        <v>14</v>
      </c>
      <c r="I2098" s="3" t="s">
        <v>15</v>
      </c>
    </row>
    <row r="2099" spans="1:9" s="3" customFormat="1" x14ac:dyDescent="0.3">
      <c r="A2099" s="3" t="s">
        <v>338</v>
      </c>
      <c r="B2099" s="3" t="s">
        <v>339</v>
      </c>
      <c r="C2099" s="3" t="s">
        <v>18</v>
      </c>
      <c r="D2099" s="3" t="s">
        <v>351</v>
      </c>
      <c r="E2099" s="6">
        <v>0.3888888888888889</v>
      </c>
      <c r="F2099" s="6">
        <v>0.84583333333333333</v>
      </c>
      <c r="G2099" s="3" t="s">
        <v>26</v>
      </c>
      <c r="H2099" s="3" t="s">
        <v>14</v>
      </c>
      <c r="I2099" s="3" t="s">
        <v>15</v>
      </c>
    </row>
    <row r="2100" spans="1:9" s="3" customFormat="1" x14ac:dyDescent="0.3">
      <c r="A2100" s="3" t="s">
        <v>93</v>
      </c>
      <c r="B2100" s="3" t="s">
        <v>94</v>
      </c>
      <c r="C2100" s="3" t="s">
        <v>18</v>
      </c>
      <c r="D2100" s="3" t="s">
        <v>295</v>
      </c>
      <c r="E2100" s="6"/>
      <c r="F2100" s="6"/>
      <c r="G2100" s="3" t="s">
        <v>51</v>
      </c>
      <c r="H2100" s="3" t="s">
        <v>27</v>
      </c>
      <c r="I2100" s="3" t="s">
        <v>21</v>
      </c>
    </row>
    <row r="2101" spans="1:9" s="3" customFormat="1" x14ac:dyDescent="0.3">
      <c r="A2101" s="3" t="s">
        <v>204</v>
      </c>
      <c r="B2101" s="3" t="s">
        <v>205</v>
      </c>
      <c r="C2101" s="3" t="s">
        <v>64</v>
      </c>
      <c r="D2101" s="3" t="s">
        <v>121</v>
      </c>
      <c r="E2101" s="6">
        <v>0.33750000000000002</v>
      </c>
      <c r="F2101" s="6">
        <v>0.86458333333333337</v>
      </c>
      <c r="G2101" s="3" t="s">
        <v>13</v>
      </c>
      <c r="H2101" s="3" t="s">
        <v>27</v>
      </c>
      <c r="I2101" s="3" t="s">
        <v>15</v>
      </c>
    </row>
    <row r="2102" spans="1:9" s="3" customFormat="1" x14ac:dyDescent="0.3">
      <c r="A2102" s="3" t="s">
        <v>216</v>
      </c>
      <c r="B2102" s="3" t="s">
        <v>217</v>
      </c>
      <c r="C2102" s="3" t="s">
        <v>64</v>
      </c>
      <c r="D2102" s="3" t="s">
        <v>279</v>
      </c>
      <c r="E2102" s="6">
        <v>0.44722222222222224</v>
      </c>
      <c r="F2102" s="6">
        <v>0.67569444444444449</v>
      </c>
      <c r="G2102" s="3" t="s">
        <v>20</v>
      </c>
      <c r="H2102" s="3" t="s">
        <v>27</v>
      </c>
      <c r="I2102" s="3" t="s">
        <v>21</v>
      </c>
    </row>
    <row r="2103" spans="1:9" s="3" customFormat="1" x14ac:dyDescent="0.3">
      <c r="A2103" s="3" t="s">
        <v>58</v>
      </c>
      <c r="B2103" s="3" t="s">
        <v>59</v>
      </c>
      <c r="C2103" s="3" t="s">
        <v>18</v>
      </c>
      <c r="D2103" s="3" t="s">
        <v>92</v>
      </c>
      <c r="E2103" s="6">
        <v>0.41041666666666665</v>
      </c>
      <c r="F2103" s="6">
        <v>0.80972222222222223</v>
      </c>
      <c r="G2103" s="3" t="s">
        <v>274</v>
      </c>
      <c r="H2103" s="3" t="s">
        <v>27</v>
      </c>
      <c r="I2103" s="3" t="s">
        <v>15</v>
      </c>
    </row>
    <row r="2104" spans="1:9" s="3" customFormat="1" x14ac:dyDescent="0.3">
      <c r="A2104" s="3" t="s">
        <v>246</v>
      </c>
      <c r="B2104" s="3" t="s">
        <v>247</v>
      </c>
      <c r="C2104" s="3" t="s">
        <v>64</v>
      </c>
      <c r="D2104" s="3" t="s">
        <v>330</v>
      </c>
      <c r="E2104" s="6"/>
      <c r="F2104" s="6"/>
      <c r="G2104" s="3" t="s">
        <v>44</v>
      </c>
      <c r="H2104" s="3" t="s">
        <v>14</v>
      </c>
      <c r="I2104" s="3" t="s">
        <v>21</v>
      </c>
    </row>
    <row r="2105" spans="1:9" s="3" customFormat="1" x14ac:dyDescent="0.3">
      <c r="A2105" s="3" t="s">
        <v>338</v>
      </c>
      <c r="B2105" s="3" t="s">
        <v>339</v>
      </c>
      <c r="C2105" s="3" t="s">
        <v>24</v>
      </c>
      <c r="D2105" s="3" t="s">
        <v>260</v>
      </c>
      <c r="E2105" s="6">
        <v>0.4597222222222222</v>
      </c>
      <c r="F2105" s="6">
        <v>0.72361111111111109</v>
      </c>
      <c r="G2105" s="3" t="s">
        <v>26</v>
      </c>
      <c r="H2105" s="3" t="s">
        <v>14</v>
      </c>
      <c r="I2105" s="3" t="s">
        <v>21</v>
      </c>
    </row>
    <row r="2106" spans="1:9" s="3" customFormat="1" x14ac:dyDescent="0.3">
      <c r="A2106" s="3" t="s">
        <v>194</v>
      </c>
      <c r="B2106" s="3" t="s">
        <v>195</v>
      </c>
      <c r="C2106" s="3" t="s">
        <v>42</v>
      </c>
      <c r="D2106" s="3" t="s">
        <v>346</v>
      </c>
      <c r="E2106" s="6">
        <v>0.48194444444444445</v>
      </c>
      <c r="F2106" s="6">
        <v>0.68958333333333333</v>
      </c>
      <c r="G2106" s="3" t="s">
        <v>26</v>
      </c>
      <c r="H2106" s="3" t="s">
        <v>14</v>
      </c>
      <c r="I2106" s="3" t="s">
        <v>15</v>
      </c>
    </row>
    <row r="2107" spans="1:9" s="3" customFormat="1" x14ac:dyDescent="0.3">
      <c r="A2107" s="3" t="s">
        <v>28</v>
      </c>
      <c r="B2107" s="3" t="s">
        <v>29</v>
      </c>
      <c r="C2107" s="3" t="s">
        <v>60</v>
      </c>
      <c r="D2107" s="3" t="s">
        <v>210</v>
      </c>
      <c r="E2107" s="6">
        <v>0.45</v>
      </c>
      <c r="F2107" s="6">
        <v>0.6743055555555556</v>
      </c>
      <c r="G2107" s="3" t="s">
        <v>26</v>
      </c>
      <c r="H2107" s="3" t="s">
        <v>27</v>
      </c>
      <c r="I2107" s="3" t="s">
        <v>21</v>
      </c>
    </row>
    <row r="2108" spans="1:9" s="3" customFormat="1" x14ac:dyDescent="0.3">
      <c r="A2108" s="3" t="s">
        <v>102</v>
      </c>
      <c r="B2108" s="3" t="s">
        <v>103</v>
      </c>
      <c r="C2108" s="3" t="s">
        <v>24</v>
      </c>
      <c r="D2108" s="3" t="s">
        <v>294</v>
      </c>
      <c r="E2108" s="6">
        <v>0.41249999999999998</v>
      </c>
      <c r="F2108" s="6">
        <v>0.79722222222222228</v>
      </c>
      <c r="G2108" s="3" t="s">
        <v>26</v>
      </c>
      <c r="H2108" s="3" t="s">
        <v>14</v>
      </c>
      <c r="I2108" s="3" t="s">
        <v>15</v>
      </c>
    </row>
    <row r="2109" spans="1:9" s="3" customFormat="1" x14ac:dyDescent="0.3">
      <c r="A2109" s="3" t="s">
        <v>157</v>
      </c>
      <c r="B2109" s="3" t="s">
        <v>158</v>
      </c>
      <c r="C2109" s="3" t="s">
        <v>24</v>
      </c>
      <c r="D2109" s="3" t="s">
        <v>373</v>
      </c>
      <c r="E2109" s="6">
        <v>0.42291666666666666</v>
      </c>
      <c r="F2109" s="6">
        <v>0.74583333333333335</v>
      </c>
      <c r="G2109" s="3" t="s">
        <v>13</v>
      </c>
      <c r="H2109" s="3" t="s">
        <v>14</v>
      </c>
      <c r="I2109" s="3" t="s">
        <v>15</v>
      </c>
    </row>
    <row r="2110" spans="1:9" s="3" customFormat="1" x14ac:dyDescent="0.3">
      <c r="A2110" s="3" t="s">
        <v>154</v>
      </c>
      <c r="B2110" s="3" t="s">
        <v>155</v>
      </c>
      <c r="C2110" s="3" t="s">
        <v>64</v>
      </c>
      <c r="D2110" s="3" t="s">
        <v>152</v>
      </c>
      <c r="E2110" s="6"/>
      <c r="F2110" s="6"/>
      <c r="G2110" s="3" t="s">
        <v>44</v>
      </c>
      <c r="H2110" s="3" t="s">
        <v>27</v>
      </c>
      <c r="I2110" s="3" t="s">
        <v>15</v>
      </c>
    </row>
    <row r="2111" spans="1:9" s="3" customFormat="1" x14ac:dyDescent="0.3">
      <c r="A2111" s="3" t="s">
        <v>141</v>
      </c>
      <c r="B2111" s="3" t="s">
        <v>142</v>
      </c>
      <c r="C2111" s="3" t="s">
        <v>18</v>
      </c>
      <c r="D2111" s="3" t="s">
        <v>263</v>
      </c>
      <c r="E2111" s="6">
        <v>0.49027777777777776</v>
      </c>
      <c r="F2111" s="6">
        <v>0.8125</v>
      </c>
      <c r="G2111" s="3" t="s">
        <v>26</v>
      </c>
      <c r="H2111" s="3" t="s">
        <v>27</v>
      </c>
      <c r="I2111" s="3" t="s">
        <v>15</v>
      </c>
    </row>
    <row r="2112" spans="1:9" s="3" customFormat="1" x14ac:dyDescent="0.3">
      <c r="A2112" s="3" t="s">
        <v>72</v>
      </c>
      <c r="B2112" s="3" t="s">
        <v>73</v>
      </c>
      <c r="C2112" s="3" t="s">
        <v>60</v>
      </c>
      <c r="D2112" s="3" t="s">
        <v>212</v>
      </c>
      <c r="E2112" s="6">
        <v>0.38750000000000001</v>
      </c>
      <c r="F2112" s="6">
        <v>0.87083333333333335</v>
      </c>
      <c r="G2112" s="3" t="s">
        <v>26</v>
      </c>
      <c r="H2112" s="3" t="s">
        <v>14</v>
      </c>
      <c r="I2112" s="3" t="s">
        <v>15</v>
      </c>
    </row>
    <row r="2113" spans="1:9" s="3" customFormat="1" x14ac:dyDescent="0.3">
      <c r="A2113" s="3" t="s">
        <v>84</v>
      </c>
      <c r="B2113" s="3" t="s">
        <v>85</v>
      </c>
      <c r="C2113" s="3" t="s">
        <v>64</v>
      </c>
      <c r="D2113" s="3" t="s">
        <v>235</v>
      </c>
      <c r="E2113" s="6">
        <v>0.49166666666666664</v>
      </c>
      <c r="F2113" s="6">
        <v>0.79861111111111116</v>
      </c>
      <c r="G2113" s="3" t="s">
        <v>26</v>
      </c>
      <c r="H2113" s="3" t="s">
        <v>14</v>
      </c>
      <c r="I2113" s="3" t="s">
        <v>21</v>
      </c>
    </row>
    <row r="2114" spans="1:9" s="3" customFormat="1" x14ac:dyDescent="0.3">
      <c r="A2114" s="3" t="s">
        <v>194</v>
      </c>
      <c r="B2114" s="3" t="s">
        <v>195</v>
      </c>
      <c r="C2114" s="3" t="s">
        <v>24</v>
      </c>
      <c r="D2114" s="3" t="s">
        <v>278</v>
      </c>
      <c r="E2114" s="6">
        <v>0.43611111111111112</v>
      </c>
      <c r="F2114" s="6">
        <v>0.82638888888888884</v>
      </c>
      <c r="G2114" s="3" t="s">
        <v>13</v>
      </c>
      <c r="H2114" s="3" t="s">
        <v>14</v>
      </c>
      <c r="I2114" s="3" t="s">
        <v>15</v>
      </c>
    </row>
    <row r="2115" spans="1:9" s="3" customFormat="1" x14ac:dyDescent="0.3">
      <c r="A2115" s="3" t="s">
        <v>34</v>
      </c>
      <c r="B2115" s="3" t="s">
        <v>35</v>
      </c>
      <c r="C2115" s="3" t="s">
        <v>18</v>
      </c>
      <c r="D2115" s="3" t="s">
        <v>186</v>
      </c>
      <c r="E2115" s="6"/>
      <c r="F2115" s="6"/>
      <c r="G2115" s="3" t="s">
        <v>44</v>
      </c>
      <c r="H2115" s="3" t="s">
        <v>14</v>
      </c>
      <c r="I2115" s="3" t="s">
        <v>21</v>
      </c>
    </row>
    <row r="2116" spans="1:9" s="3" customFormat="1" x14ac:dyDescent="0.3">
      <c r="A2116" s="3" t="s">
        <v>175</v>
      </c>
      <c r="B2116" s="3" t="s">
        <v>176</v>
      </c>
      <c r="C2116" s="3" t="s">
        <v>24</v>
      </c>
      <c r="D2116" s="3" t="s">
        <v>180</v>
      </c>
      <c r="E2116" s="6"/>
      <c r="F2116" s="6"/>
      <c r="G2116" s="3" t="s">
        <v>44</v>
      </c>
      <c r="H2116" s="3" t="s">
        <v>27</v>
      </c>
      <c r="I2116" s="3" t="s">
        <v>15</v>
      </c>
    </row>
    <row r="2117" spans="1:9" s="3" customFormat="1" x14ac:dyDescent="0.3">
      <c r="A2117" s="3" t="s">
        <v>90</v>
      </c>
      <c r="B2117" s="3" t="s">
        <v>91</v>
      </c>
      <c r="C2117" s="3" t="s">
        <v>42</v>
      </c>
      <c r="D2117" s="3" t="s">
        <v>132</v>
      </c>
      <c r="E2117" s="6">
        <v>0.44305555555555554</v>
      </c>
      <c r="F2117" s="6">
        <v>0.81111111111111112</v>
      </c>
      <c r="G2117" s="3" t="s">
        <v>26</v>
      </c>
      <c r="H2117" s="3" t="s">
        <v>14</v>
      </c>
      <c r="I2117" s="3" t="s">
        <v>15</v>
      </c>
    </row>
    <row r="2118" spans="1:9" s="3" customFormat="1" x14ac:dyDescent="0.3">
      <c r="A2118" s="3" t="s">
        <v>315</v>
      </c>
      <c r="B2118" s="3" t="s">
        <v>316</v>
      </c>
      <c r="C2118" s="3" t="s">
        <v>167</v>
      </c>
      <c r="D2118" s="3" t="s">
        <v>320</v>
      </c>
      <c r="E2118" s="6">
        <v>0.42291666666666666</v>
      </c>
      <c r="F2118" s="6">
        <v>0.82638888888888884</v>
      </c>
      <c r="G2118" s="3" t="s">
        <v>274</v>
      </c>
      <c r="H2118" s="3" t="s">
        <v>27</v>
      </c>
      <c r="I2118" s="3" t="s">
        <v>15</v>
      </c>
    </row>
    <row r="2119" spans="1:9" s="3" customFormat="1" x14ac:dyDescent="0.3">
      <c r="A2119" s="3" t="s">
        <v>171</v>
      </c>
      <c r="B2119" s="3" t="s">
        <v>172</v>
      </c>
      <c r="C2119" s="3" t="s">
        <v>60</v>
      </c>
      <c r="D2119" s="3" t="s">
        <v>325</v>
      </c>
      <c r="E2119" s="6">
        <v>0.45</v>
      </c>
      <c r="F2119" s="6">
        <v>0.80347222222222225</v>
      </c>
      <c r="G2119" s="3" t="s">
        <v>13</v>
      </c>
      <c r="H2119" s="3" t="s">
        <v>14</v>
      </c>
      <c r="I2119" s="3" t="s">
        <v>15</v>
      </c>
    </row>
    <row r="2120" spans="1:9" s="3" customFormat="1" x14ac:dyDescent="0.3">
      <c r="A2120" s="3" t="s">
        <v>165</v>
      </c>
      <c r="B2120" s="3" t="s">
        <v>166</v>
      </c>
      <c r="C2120" s="3" t="s">
        <v>60</v>
      </c>
      <c r="D2120" s="3" t="s">
        <v>285</v>
      </c>
      <c r="E2120" s="6"/>
      <c r="F2120" s="6"/>
      <c r="G2120" s="3" t="s">
        <v>44</v>
      </c>
      <c r="H2120" s="3" t="s">
        <v>14</v>
      </c>
      <c r="I2120" s="3" t="s">
        <v>15</v>
      </c>
    </row>
    <row r="2121" spans="1:9" s="3" customFormat="1" x14ac:dyDescent="0.3">
      <c r="A2121" s="3" t="s">
        <v>58</v>
      </c>
      <c r="B2121" s="3" t="s">
        <v>59</v>
      </c>
      <c r="C2121" s="3" t="s">
        <v>24</v>
      </c>
      <c r="D2121" s="3" t="s">
        <v>65</v>
      </c>
      <c r="E2121" s="6"/>
      <c r="F2121" s="6"/>
      <c r="G2121" s="3" t="s">
        <v>44</v>
      </c>
      <c r="H2121" s="3" t="s">
        <v>14</v>
      </c>
      <c r="I2121" s="3" t="s">
        <v>15</v>
      </c>
    </row>
    <row r="2122" spans="1:9" s="3" customFormat="1" x14ac:dyDescent="0.3">
      <c r="A2122" s="3" t="s">
        <v>141</v>
      </c>
      <c r="B2122" s="3" t="s">
        <v>142</v>
      </c>
      <c r="C2122" s="3" t="s">
        <v>64</v>
      </c>
      <c r="D2122" s="3" t="s">
        <v>343</v>
      </c>
      <c r="E2122" s="6">
        <v>0.3347222222222222</v>
      </c>
      <c r="F2122" s="6">
        <v>0.70416666666666672</v>
      </c>
      <c r="G2122" s="3" t="s">
        <v>20</v>
      </c>
      <c r="H2122" s="3" t="s">
        <v>14</v>
      </c>
      <c r="I2122" s="3" t="s">
        <v>15</v>
      </c>
    </row>
    <row r="2123" spans="1:9" s="3" customFormat="1" x14ac:dyDescent="0.3">
      <c r="A2123" s="3" t="s">
        <v>171</v>
      </c>
      <c r="B2123" s="3" t="s">
        <v>172</v>
      </c>
      <c r="C2123" s="3" t="s">
        <v>24</v>
      </c>
      <c r="D2123" s="3" t="s">
        <v>404</v>
      </c>
      <c r="E2123" s="6"/>
      <c r="F2123" s="6"/>
      <c r="G2123" s="3" t="s">
        <v>44</v>
      </c>
      <c r="H2123" s="3" t="s">
        <v>14</v>
      </c>
      <c r="I2123" s="3" t="s">
        <v>15</v>
      </c>
    </row>
    <row r="2124" spans="1:9" s="3" customFormat="1" x14ac:dyDescent="0.3">
      <c r="A2124" s="3" t="s">
        <v>75</v>
      </c>
      <c r="B2124" s="3" t="s">
        <v>76</v>
      </c>
      <c r="C2124" s="3" t="s">
        <v>42</v>
      </c>
      <c r="D2124" s="3" t="s">
        <v>337</v>
      </c>
      <c r="E2124" s="6">
        <v>0.46458333333333335</v>
      </c>
      <c r="F2124" s="6">
        <v>0.75763888888888886</v>
      </c>
      <c r="G2124" s="3" t="s">
        <v>13</v>
      </c>
      <c r="H2124" s="3" t="s">
        <v>14</v>
      </c>
      <c r="I2124" s="3" t="s">
        <v>21</v>
      </c>
    </row>
    <row r="2125" spans="1:9" s="3" customFormat="1" x14ac:dyDescent="0.3">
      <c r="A2125" s="3" t="s">
        <v>93</v>
      </c>
      <c r="B2125" s="3" t="s">
        <v>94</v>
      </c>
      <c r="C2125" s="3" t="s">
        <v>42</v>
      </c>
      <c r="D2125" s="3" t="s">
        <v>411</v>
      </c>
      <c r="E2125" s="6"/>
      <c r="F2125" s="6"/>
      <c r="G2125" s="3" t="s">
        <v>44</v>
      </c>
      <c r="H2125" s="3" t="s">
        <v>27</v>
      </c>
      <c r="I2125" s="3" t="s">
        <v>15</v>
      </c>
    </row>
    <row r="2126" spans="1:9" s="3" customFormat="1" x14ac:dyDescent="0.3">
      <c r="A2126" s="3" t="s">
        <v>146</v>
      </c>
      <c r="B2126" s="3" t="s">
        <v>147</v>
      </c>
      <c r="C2126" s="3" t="s">
        <v>42</v>
      </c>
      <c r="D2126" s="3" t="s">
        <v>39</v>
      </c>
      <c r="E2126" s="6">
        <v>0.41944444444444445</v>
      </c>
      <c r="F2126" s="6">
        <v>0.76597222222222228</v>
      </c>
      <c r="G2126" s="3" t="s">
        <v>26</v>
      </c>
      <c r="H2126" s="3" t="s">
        <v>27</v>
      </c>
      <c r="I2126" s="3" t="s">
        <v>21</v>
      </c>
    </row>
    <row r="2127" spans="1:9" s="3" customFormat="1" x14ac:dyDescent="0.3">
      <c r="A2127" s="3" t="s">
        <v>146</v>
      </c>
      <c r="B2127" s="3" t="s">
        <v>147</v>
      </c>
      <c r="C2127" s="3" t="s">
        <v>24</v>
      </c>
      <c r="D2127" s="3" t="s">
        <v>30</v>
      </c>
      <c r="E2127" s="6">
        <v>0.47986111111111113</v>
      </c>
      <c r="F2127" s="6">
        <v>0.76597222222222228</v>
      </c>
      <c r="G2127" s="3" t="s">
        <v>13</v>
      </c>
      <c r="H2127" s="3" t="s">
        <v>27</v>
      </c>
      <c r="I2127" s="3" t="s">
        <v>15</v>
      </c>
    </row>
    <row r="2128" spans="1:9" s="3" customFormat="1" x14ac:dyDescent="0.3">
      <c r="A2128" s="3" t="s">
        <v>22</v>
      </c>
      <c r="B2128" s="3" t="s">
        <v>23</v>
      </c>
      <c r="C2128" s="3" t="s">
        <v>60</v>
      </c>
      <c r="D2128" s="3" t="s">
        <v>249</v>
      </c>
      <c r="E2128" s="6">
        <v>0.36527777777777776</v>
      </c>
      <c r="F2128" s="6">
        <v>0.79027777777777775</v>
      </c>
      <c r="G2128" s="3" t="s">
        <v>26</v>
      </c>
      <c r="H2128" s="3" t="s">
        <v>14</v>
      </c>
      <c r="I2128" s="3" t="s">
        <v>15</v>
      </c>
    </row>
    <row r="2129" spans="1:9" s="3" customFormat="1" x14ac:dyDescent="0.3">
      <c r="A2129" s="3" t="s">
        <v>87</v>
      </c>
      <c r="B2129" s="3" t="s">
        <v>88</v>
      </c>
      <c r="C2129" s="3" t="s">
        <v>42</v>
      </c>
      <c r="D2129" s="3" t="s">
        <v>365</v>
      </c>
      <c r="E2129" s="6">
        <v>0.49513888888888891</v>
      </c>
      <c r="F2129" s="6">
        <v>0.81666666666666665</v>
      </c>
      <c r="G2129" s="3" t="s">
        <v>20</v>
      </c>
      <c r="H2129" s="3" t="s">
        <v>14</v>
      </c>
      <c r="I2129" s="3" t="s">
        <v>21</v>
      </c>
    </row>
    <row r="2130" spans="1:9" s="3" customFormat="1" x14ac:dyDescent="0.3">
      <c r="A2130" s="3" t="s">
        <v>81</v>
      </c>
      <c r="B2130" s="3" t="s">
        <v>82</v>
      </c>
      <c r="C2130" s="3" t="s">
        <v>42</v>
      </c>
      <c r="D2130" s="3" t="s">
        <v>418</v>
      </c>
      <c r="E2130" s="6">
        <v>0.45069444444444445</v>
      </c>
      <c r="F2130" s="6">
        <v>0.81874999999999998</v>
      </c>
      <c r="G2130" s="3" t="s">
        <v>26</v>
      </c>
      <c r="H2130" s="3" t="s">
        <v>27</v>
      </c>
      <c r="I2130" s="3" t="s">
        <v>15</v>
      </c>
    </row>
    <row r="2131" spans="1:9" s="3" customFormat="1" x14ac:dyDescent="0.3">
      <c r="A2131" s="3" t="s">
        <v>16</v>
      </c>
      <c r="B2131" s="3" t="s">
        <v>17</v>
      </c>
      <c r="C2131" s="3" t="s">
        <v>60</v>
      </c>
      <c r="D2131" s="3" t="s">
        <v>284</v>
      </c>
      <c r="E2131" s="6">
        <v>0.45347222222222222</v>
      </c>
      <c r="F2131" s="6">
        <v>0.74444444444444446</v>
      </c>
      <c r="G2131" s="3" t="s">
        <v>26</v>
      </c>
      <c r="H2131" s="3" t="s">
        <v>27</v>
      </c>
      <c r="I2131" s="3" t="s">
        <v>21</v>
      </c>
    </row>
    <row r="2132" spans="1:9" s="3" customFormat="1" x14ac:dyDescent="0.3">
      <c r="A2132" s="3" t="s">
        <v>48</v>
      </c>
      <c r="B2132" s="3" t="s">
        <v>49</v>
      </c>
      <c r="C2132" s="3" t="s">
        <v>64</v>
      </c>
      <c r="D2132" s="3" t="s">
        <v>371</v>
      </c>
      <c r="E2132" s="6">
        <v>0.45208333333333334</v>
      </c>
      <c r="F2132" s="6">
        <v>0.75277777777777777</v>
      </c>
      <c r="G2132" s="3" t="s">
        <v>13</v>
      </c>
      <c r="H2132" s="3" t="s">
        <v>14</v>
      </c>
      <c r="I2132" s="3" t="s">
        <v>15</v>
      </c>
    </row>
    <row r="2133" spans="1:9" s="3" customFormat="1" x14ac:dyDescent="0.3">
      <c r="A2133" s="3" t="s">
        <v>81</v>
      </c>
      <c r="B2133" s="3" t="s">
        <v>82</v>
      </c>
      <c r="C2133" s="3" t="s">
        <v>18</v>
      </c>
      <c r="D2133" s="3" t="s">
        <v>196</v>
      </c>
      <c r="E2133" s="6">
        <v>0.49583333333333335</v>
      </c>
      <c r="F2133" s="6">
        <v>0.84930555555555554</v>
      </c>
      <c r="G2133" s="3" t="s">
        <v>13</v>
      </c>
      <c r="H2133" s="3" t="s">
        <v>14</v>
      </c>
      <c r="I2133" s="3" t="s">
        <v>15</v>
      </c>
    </row>
    <row r="2134" spans="1:9" s="3" customFormat="1" x14ac:dyDescent="0.3">
      <c r="A2134" s="3" t="s">
        <v>112</v>
      </c>
      <c r="B2134" s="3" t="s">
        <v>113</v>
      </c>
      <c r="C2134" s="3" t="s">
        <v>239</v>
      </c>
      <c r="D2134" s="3" t="s">
        <v>410</v>
      </c>
      <c r="E2134" s="6">
        <v>0.33541666666666664</v>
      </c>
      <c r="F2134" s="6">
        <v>0.7368055555555556</v>
      </c>
      <c r="G2134" s="3" t="s">
        <v>13</v>
      </c>
      <c r="H2134" s="3" t="s">
        <v>14</v>
      </c>
      <c r="I2134" s="3" t="s">
        <v>21</v>
      </c>
    </row>
    <row r="2135" spans="1:9" s="3" customFormat="1" x14ac:dyDescent="0.3">
      <c r="A2135" s="3" t="s">
        <v>236</v>
      </c>
      <c r="B2135" s="3" t="s">
        <v>237</v>
      </c>
      <c r="C2135" s="3" t="s">
        <v>24</v>
      </c>
      <c r="D2135" s="3" t="s">
        <v>296</v>
      </c>
      <c r="E2135" s="6">
        <v>0.34305555555555556</v>
      </c>
      <c r="F2135" s="6">
        <v>0.82430555555555551</v>
      </c>
      <c r="G2135" s="3" t="s">
        <v>13</v>
      </c>
      <c r="H2135" s="3" t="s">
        <v>14</v>
      </c>
      <c r="I2135" s="3" t="s">
        <v>15</v>
      </c>
    </row>
    <row r="2136" spans="1:9" s="3" customFormat="1" x14ac:dyDescent="0.3">
      <c r="A2136" s="3" t="s">
        <v>175</v>
      </c>
      <c r="B2136" s="3" t="s">
        <v>176</v>
      </c>
      <c r="C2136" s="3" t="s">
        <v>42</v>
      </c>
      <c r="D2136" s="3" t="s">
        <v>211</v>
      </c>
      <c r="E2136" s="6">
        <v>0.47569444444444442</v>
      </c>
      <c r="F2136" s="6">
        <v>0.71736111111111112</v>
      </c>
      <c r="G2136" s="3" t="s">
        <v>20</v>
      </c>
      <c r="H2136" s="3" t="s">
        <v>14</v>
      </c>
      <c r="I2136" s="3" t="s">
        <v>15</v>
      </c>
    </row>
    <row r="2137" spans="1:9" s="3" customFormat="1" x14ac:dyDescent="0.3">
      <c r="A2137" s="3" t="s">
        <v>37</v>
      </c>
      <c r="B2137" s="3" t="s">
        <v>38</v>
      </c>
      <c r="C2137" s="3" t="s">
        <v>42</v>
      </c>
      <c r="D2137" s="3" t="s">
        <v>245</v>
      </c>
      <c r="E2137" s="6">
        <v>0.4861111111111111</v>
      </c>
      <c r="F2137" s="6">
        <v>0.86111111111111116</v>
      </c>
      <c r="G2137" s="3" t="s">
        <v>20</v>
      </c>
      <c r="H2137" s="3" t="s">
        <v>14</v>
      </c>
      <c r="I2137" s="3" t="s">
        <v>15</v>
      </c>
    </row>
    <row r="2138" spans="1:9" s="3" customFormat="1" x14ac:dyDescent="0.3">
      <c r="A2138" s="3" t="s">
        <v>216</v>
      </c>
      <c r="B2138" s="3" t="s">
        <v>217</v>
      </c>
      <c r="C2138" s="3" t="s">
        <v>18</v>
      </c>
      <c r="D2138" s="3" t="s">
        <v>271</v>
      </c>
      <c r="E2138" s="6">
        <v>0.46527777777777779</v>
      </c>
      <c r="F2138" s="6">
        <v>0.68611111111111112</v>
      </c>
      <c r="G2138" s="3" t="s">
        <v>20</v>
      </c>
      <c r="H2138" s="3" t="s">
        <v>14</v>
      </c>
      <c r="I2138" s="3" t="s">
        <v>21</v>
      </c>
    </row>
    <row r="2139" spans="1:9" s="3" customFormat="1" x14ac:dyDescent="0.3">
      <c r="A2139" s="3" t="s">
        <v>48</v>
      </c>
      <c r="B2139" s="3" t="s">
        <v>49</v>
      </c>
      <c r="C2139" s="3" t="s">
        <v>24</v>
      </c>
      <c r="D2139" s="3" t="s">
        <v>126</v>
      </c>
      <c r="E2139" s="6">
        <v>0.39374999999999999</v>
      </c>
      <c r="F2139" s="6">
        <v>0.75902777777777775</v>
      </c>
      <c r="G2139" s="3" t="s">
        <v>20</v>
      </c>
      <c r="H2139" s="3" t="s">
        <v>27</v>
      </c>
      <c r="I2139" s="3" t="s">
        <v>15</v>
      </c>
    </row>
    <row r="2140" spans="1:9" s="3" customFormat="1" x14ac:dyDescent="0.3">
      <c r="A2140" s="3" t="s">
        <v>291</v>
      </c>
      <c r="B2140" s="3" t="s">
        <v>292</v>
      </c>
      <c r="C2140" s="3" t="s">
        <v>42</v>
      </c>
      <c r="D2140" s="3" t="s">
        <v>404</v>
      </c>
      <c r="E2140" s="6">
        <v>0.46250000000000002</v>
      </c>
      <c r="F2140" s="6">
        <v>0.71597222222222223</v>
      </c>
      <c r="G2140" s="3" t="s">
        <v>26</v>
      </c>
      <c r="H2140" s="3" t="s">
        <v>27</v>
      </c>
      <c r="I2140" s="3" t="s">
        <v>21</v>
      </c>
    </row>
    <row r="2141" spans="1:9" s="3" customFormat="1" x14ac:dyDescent="0.3">
      <c r="A2141" s="3" t="s">
        <v>191</v>
      </c>
      <c r="B2141" s="3" t="s">
        <v>192</v>
      </c>
      <c r="C2141" s="3" t="s">
        <v>18</v>
      </c>
      <c r="D2141" s="3" t="s">
        <v>264</v>
      </c>
      <c r="E2141" s="6">
        <v>0.43958333333333333</v>
      </c>
      <c r="F2141" s="6">
        <v>0.69722222222222219</v>
      </c>
      <c r="G2141" s="3" t="s">
        <v>26</v>
      </c>
      <c r="H2141" s="3" t="s">
        <v>27</v>
      </c>
      <c r="I2141" s="3" t="s">
        <v>21</v>
      </c>
    </row>
    <row r="2142" spans="1:9" s="3" customFormat="1" x14ac:dyDescent="0.3">
      <c r="A2142" s="3" t="s">
        <v>45</v>
      </c>
      <c r="B2142" s="3" t="s">
        <v>46</v>
      </c>
      <c r="C2142" s="3" t="s">
        <v>18</v>
      </c>
      <c r="D2142" s="3" t="s">
        <v>223</v>
      </c>
      <c r="E2142" s="6">
        <v>0.48333333333333334</v>
      </c>
      <c r="F2142" s="6">
        <v>0.79513888888888884</v>
      </c>
      <c r="G2142" s="3" t="s">
        <v>26</v>
      </c>
      <c r="H2142" s="3" t="s">
        <v>27</v>
      </c>
      <c r="I2142" s="3" t="s">
        <v>15</v>
      </c>
    </row>
    <row r="2143" spans="1:9" s="3" customFormat="1" x14ac:dyDescent="0.3">
      <c r="A2143" s="3" t="s">
        <v>99</v>
      </c>
      <c r="B2143" s="3" t="s">
        <v>100</v>
      </c>
      <c r="C2143" s="3" t="s">
        <v>127</v>
      </c>
      <c r="D2143" s="3" t="s">
        <v>392</v>
      </c>
      <c r="E2143" s="6">
        <v>0.38750000000000001</v>
      </c>
      <c r="F2143" s="6">
        <v>0.74305555555555558</v>
      </c>
      <c r="G2143" s="3" t="s">
        <v>13</v>
      </c>
      <c r="H2143" s="3" t="s">
        <v>27</v>
      </c>
      <c r="I2143" s="3" t="s">
        <v>15</v>
      </c>
    </row>
    <row r="2144" spans="1:9" s="3" customFormat="1" x14ac:dyDescent="0.3">
      <c r="A2144" s="3" t="s">
        <v>22</v>
      </c>
      <c r="B2144" s="3" t="s">
        <v>23</v>
      </c>
      <c r="C2144" s="3" t="s">
        <v>60</v>
      </c>
      <c r="D2144" s="3" t="s">
        <v>352</v>
      </c>
      <c r="E2144" s="6"/>
      <c r="F2144" s="6"/>
      <c r="G2144" s="3" t="s">
        <v>44</v>
      </c>
      <c r="H2144" s="3" t="s">
        <v>14</v>
      </c>
      <c r="I2144" s="3" t="s">
        <v>21</v>
      </c>
    </row>
    <row r="2145" spans="1:9" s="3" customFormat="1" x14ac:dyDescent="0.3">
      <c r="A2145" s="3" t="s">
        <v>157</v>
      </c>
      <c r="B2145" s="3" t="s">
        <v>158</v>
      </c>
      <c r="C2145" s="3" t="s">
        <v>64</v>
      </c>
      <c r="D2145" s="3" t="s">
        <v>245</v>
      </c>
      <c r="E2145" s="6">
        <v>0.47361111111111109</v>
      </c>
      <c r="F2145" s="6">
        <v>0.8125</v>
      </c>
      <c r="G2145" s="3" t="s">
        <v>13</v>
      </c>
      <c r="H2145" s="3" t="s">
        <v>14</v>
      </c>
      <c r="I2145" s="3" t="s">
        <v>21</v>
      </c>
    </row>
    <row r="2146" spans="1:9" s="3" customFormat="1" x14ac:dyDescent="0.3">
      <c r="A2146" s="3" t="s">
        <v>90</v>
      </c>
      <c r="B2146" s="3" t="s">
        <v>91</v>
      </c>
      <c r="C2146" s="3" t="s">
        <v>18</v>
      </c>
      <c r="D2146" s="3" t="s">
        <v>61</v>
      </c>
      <c r="E2146" s="6"/>
      <c r="F2146" s="6"/>
      <c r="G2146" s="3" t="s">
        <v>44</v>
      </c>
      <c r="H2146" s="3" t="s">
        <v>27</v>
      </c>
      <c r="I2146" s="3" t="s">
        <v>15</v>
      </c>
    </row>
    <row r="2147" spans="1:9" s="3" customFormat="1" x14ac:dyDescent="0.3">
      <c r="A2147" s="3" t="s">
        <v>55</v>
      </c>
      <c r="B2147" s="3" t="s">
        <v>56</v>
      </c>
      <c r="C2147" s="3" t="s">
        <v>64</v>
      </c>
      <c r="D2147" s="3" t="s">
        <v>344</v>
      </c>
      <c r="E2147" s="6">
        <v>0.46875</v>
      </c>
      <c r="F2147" s="6">
        <v>0.70694444444444449</v>
      </c>
      <c r="G2147" s="3" t="s">
        <v>26</v>
      </c>
      <c r="H2147" s="3" t="s">
        <v>27</v>
      </c>
      <c r="I2147" s="3" t="s">
        <v>21</v>
      </c>
    </row>
    <row r="2148" spans="1:9" s="3" customFormat="1" x14ac:dyDescent="0.3">
      <c r="A2148" s="3" t="s">
        <v>84</v>
      </c>
      <c r="B2148" s="3" t="s">
        <v>85</v>
      </c>
      <c r="C2148" s="3" t="s">
        <v>60</v>
      </c>
      <c r="D2148" s="3" t="s">
        <v>95</v>
      </c>
      <c r="E2148" s="6">
        <v>0.42222222222222222</v>
      </c>
      <c r="F2148" s="6">
        <v>0.7993055555555556</v>
      </c>
      <c r="G2148" s="3" t="s">
        <v>13</v>
      </c>
      <c r="H2148" s="3" t="s">
        <v>27</v>
      </c>
      <c r="I2148" s="3" t="s">
        <v>21</v>
      </c>
    </row>
    <row r="2149" spans="1:9" s="3" customFormat="1" x14ac:dyDescent="0.3">
      <c r="A2149" s="3" t="s">
        <v>112</v>
      </c>
      <c r="B2149" s="3" t="s">
        <v>113</v>
      </c>
      <c r="C2149" s="3" t="s">
        <v>60</v>
      </c>
      <c r="D2149" s="3" t="s">
        <v>98</v>
      </c>
      <c r="E2149" s="6">
        <v>0.44097222222222221</v>
      </c>
      <c r="F2149" s="6">
        <v>0.76527777777777772</v>
      </c>
      <c r="G2149" s="3" t="s">
        <v>26</v>
      </c>
      <c r="H2149" s="3" t="s">
        <v>27</v>
      </c>
      <c r="I2149" s="3" t="s">
        <v>15</v>
      </c>
    </row>
    <row r="2150" spans="1:9" s="3" customFormat="1" x14ac:dyDescent="0.3">
      <c r="A2150" s="3" t="s">
        <v>146</v>
      </c>
      <c r="B2150" s="3" t="s">
        <v>147</v>
      </c>
      <c r="C2150" s="3" t="s">
        <v>60</v>
      </c>
      <c r="D2150" s="3" t="s">
        <v>407</v>
      </c>
      <c r="E2150" s="6">
        <v>0.45069444444444445</v>
      </c>
      <c r="F2150" s="6">
        <v>0.81666666666666665</v>
      </c>
      <c r="G2150" s="3" t="s">
        <v>20</v>
      </c>
      <c r="H2150" s="3" t="s">
        <v>27</v>
      </c>
      <c r="I2150" s="3" t="s">
        <v>21</v>
      </c>
    </row>
    <row r="2151" spans="1:9" s="3" customFormat="1" x14ac:dyDescent="0.3">
      <c r="A2151" s="3" t="s">
        <v>78</v>
      </c>
      <c r="B2151" s="3" t="s">
        <v>79</v>
      </c>
      <c r="C2151" s="3" t="s">
        <v>18</v>
      </c>
      <c r="D2151" s="3" t="s">
        <v>298</v>
      </c>
      <c r="E2151" s="6">
        <v>0.40555555555555556</v>
      </c>
      <c r="F2151" s="6">
        <v>0.84444444444444444</v>
      </c>
      <c r="G2151" s="3" t="s">
        <v>13</v>
      </c>
      <c r="H2151" s="3" t="s">
        <v>27</v>
      </c>
      <c r="I2151" s="3" t="s">
        <v>15</v>
      </c>
    </row>
    <row r="2152" spans="1:9" s="3" customFormat="1" x14ac:dyDescent="0.3">
      <c r="A2152" s="3" t="s">
        <v>31</v>
      </c>
      <c r="B2152" s="3" t="s">
        <v>32</v>
      </c>
      <c r="C2152" s="3" t="s">
        <v>60</v>
      </c>
      <c r="D2152" s="3" t="s">
        <v>108</v>
      </c>
      <c r="E2152" s="6">
        <v>0.44444444444444442</v>
      </c>
      <c r="F2152" s="6">
        <v>0.81736111111111109</v>
      </c>
      <c r="G2152" s="3" t="s">
        <v>13</v>
      </c>
      <c r="H2152" s="3" t="s">
        <v>14</v>
      </c>
      <c r="I2152" s="3" t="s">
        <v>21</v>
      </c>
    </row>
    <row r="2153" spans="1:9" s="3" customFormat="1" x14ac:dyDescent="0.3">
      <c r="A2153" s="3" t="s">
        <v>102</v>
      </c>
      <c r="B2153" s="3" t="s">
        <v>103</v>
      </c>
      <c r="C2153" s="3" t="s">
        <v>60</v>
      </c>
      <c r="D2153" s="3" t="s">
        <v>133</v>
      </c>
      <c r="E2153" s="6">
        <v>0.40208333333333335</v>
      </c>
      <c r="F2153" s="6">
        <v>0.75902777777777775</v>
      </c>
      <c r="G2153" s="3" t="s">
        <v>13</v>
      </c>
      <c r="H2153" s="3" t="s">
        <v>14</v>
      </c>
      <c r="I2153" s="3" t="s">
        <v>21</v>
      </c>
    </row>
    <row r="2154" spans="1:9" s="3" customFormat="1" x14ac:dyDescent="0.3">
      <c r="A2154" s="3" t="s">
        <v>87</v>
      </c>
      <c r="B2154" s="3" t="s">
        <v>88</v>
      </c>
      <c r="C2154" s="3" t="s">
        <v>42</v>
      </c>
      <c r="D2154" s="3" t="s">
        <v>71</v>
      </c>
      <c r="E2154" s="6">
        <v>0.43333333333333335</v>
      </c>
      <c r="F2154" s="6">
        <v>0.66805555555555551</v>
      </c>
      <c r="G2154" s="3" t="s">
        <v>13</v>
      </c>
      <c r="H2154" s="3" t="s">
        <v>14</v>
      </c>
      <c r="I2154" s="3" t="s">
        <v>15</v>
      </c>
    </row>
    <row r="2155" spans="1:9" s="3" customFormat="1" x14ac:dyDescent="0.3">
      <c r="A2155" s="3" t="s">
        <v>191</v>
      </c>
      <c r="B2155" s="3" t="s">
        <v>192</v>
      </c>
      <c r="C2155" s="3" t="s">
        <v>60</v>
      </c>
      <c r="D2155" s="3" t="s">
        <v>283</v>
      </c>
      <c r="E2155" s="6">
        <v>0.46805555555555556</v>
      </c>
      <c r="F2155" s="6">
        <v>0.81874999999999998</v>
      </c>
      <c r="G2155" s="3" t="s">
        <v>26</v>
      </c>
      <c r="H2155" s="3" t="s">
        <v>27</v>
      </c>
      <c r="I2155" s="3" t="s">
        <v>15</v>
      </c>
    </row>
    <row r="2156" spans="1:9" s="3" customFormat="1" x14ac:dyDescent="0.3">
      <c r="A2156" s="3" t="s">
        <v>130</v>
      </c>
      <c r="B2156" s="3" t="s">
        <v>131</v>
      </c>
      <c r="C2156" s="3" t="s">
        <v>64</v>
      </c>
      <c r="D2156" s="3" t="s">
        <v>357</v>
      </c>
      <c r="E2156" s="6"/>
      <c r="F2156" s="6"/>
      <c r="G2156" s="3" t="s">
        <v>44</v>
      </c>
      <c r="H2156" s="3" t="s">
        <v>27</v>
      </c>
      <c r="I2156" s="3" t="s">
        <v>21</v>
      </c>
    </row>
    <row r="2157" spans="1:9" s="3" customFormat="1" x14ac:dyDescent="0.3">
      <c r="A2157" s="3" t="s">
        <v>122</v>
      </c>
      <c r="B2157" s="3" t="s">
        <v>123</v>
      </c>
      <c r="C2157" s="3" t="s">
        <v>42</v>
      </c>
      <c r="D2157" s="3" t="s">
        <v>161</v>
      </c>
      <c r="E2157" s="6">
        <v>0.3611111111111111</v>
      </c>
      <c r="F2157" s="6">
        <v>0.79027777777777775</v>
      </c>
      <c r="G2157" s="3" t="s">
        <v>125</v>
      </c>
      <c r="H2157" s="3" t="s">
        <v>14</v>
      </c>
      <c r="I2157" s="3" t="s">
        <v>21</v>
      </c>
    </row>
    <row r="2158" spans="1:9" s="3" customFormat="1" x14ac:dyDescent="0.3">
      <c r="A2158" s="3" t="s">
        <v>69</v>
      </c>
      <c r="B2158" s="3" t="s">
        <v>70</v>
      </c>
      <c r="C2158" s="3" t="s">
        <v>24</v>
      </c>
      <c r="D2158" s="3" t="s">
        <v>156</v>
      </c>
      <c r="E2158" s="6">
        <v>0.45277777777777778</v>
      </c>
      <c r="F2158" s="6">
        <v>0.86250000000000004</v>
      </c>
      <c r="G2158" s="3" t="s">
        <v>13</v>
      </c>
      <c r="H2158" s="3" t="s">
        <v>14</v>
      </c>
      <c r="I2158" s="3" t="s">
        <v>21</v>
      </c>
    </row>
    <row r="2159" spans="1:9" s="3" customFormat="1" x14ac:dyDescent="0.3">
      <c r="A2159" s="3" t="s">
        <v>315</v>
      </c>
      <c r="B2159" s="3" t="s">
        <v>316</v>
      </c>
      <c r="C2159" s="3" t="s">
        <v>239</v>
      </c>
      <c r="D2159" s="3" t="s">
        <v>227</v>
      </c>
      <c r="E2159" s="6"/>
      <c r="F2159" s="6"/>
      <c r="G2159" s="3" t="s">
        <v>44</v>
      </c>
      <c r="H2159" s="3" t="s">
        <v>14</v>
      </c>
      <c r="I2159" s="3" t="s">
        <v>15</v>
      </c>
    </row>
    <row r="2160" spans="1:9" s="3" customFormat="1" x14ac:dyDescent="0.3">
      <c r="A2160" s="3" t="s">
        <v>58</v>
      </c>
      <c r="B2160" s="3" t="s">
        <v>59</v>
      </c>
      <c r="C2160" s="3" t="s">
        <v>42</v>
      </c>
      <c r="D2160" s="3" t="s">
        <v>319</v>
      </c>
      <c r="E2160" s="6">
        <v>0.41875000000000001</v>
      </c>
      <c r="F2160" s="6">
        <v>0.86319444444444449</v>
      </c>
      <c r="G2160" s="3" t="s">
        <v>20</v>
      </c>
      <c r="H2160" s="3" t="s">
        <v>27</v>
      </c>
      <c r="I2160" s="3" t="s">
        <v>21</v>
      </c>
    </row>
    <row r="2161" spans="1:9" s="3" customFormat="1" x14ac:dyDescent="0.3">
      <c r="A2161" s="3" t="s">
        <v>66</v>
      </c>
      <c r="B2161" s="3" t="s">
        <v>67</v>
      </c>
      <c r="C2161" s="3" t="s">
        <v>42</v>
      </c>
      <c r="D2161" s="3" t="s">
        <v>282</v>
      </c>
      <c r="E2161" s="6">
        <v>0.40763888888888888</v>
      </c>
      <c r="F2161" s="6">
        <v>0.71527777777777779</v>
      </c>
      <c r="G2161" s="3" t="s">
        <v>13</v>
      </c>
      <c r="H2161" s="3" t="s">
        <v>27</v>
      </c>
      <c r="I2161" s="3" t="s">
        <v>21</v>
      </c>
    </row>
    <row r="2162" spans="1:9" s="3" customFormat="1" x14ac:dyDescent="0.3">
      <c r="A2162" s="3" t="s">
        <v>45</v>
      </c>
      <c r="B2162" s="3" t="s">
        <v>46</v>
      </c>
      <c r="C2162" s="3" t="s">
        <v>64</v>
      </c>
      <c r="D2162" s="3" t="s">
        <v>133</v>
      </c>
      <c r="E2162" s="6">
        <v>0.35347222222222224</v>
      </c>
      <c r="F2162" s="6">
        <v>0.81388888888888888</v>
      </c>
      <c r="G2162" s="3" t="s">
        <v>26</v>
      </c>
      <c r="H2162" s="3" t="s">
        <v>27</v>
      </c>
      <c r="I2162" s="3" t="s">
        <v>21</v>
      </c>
    </row>
    <row r="2163" spans="1:9" s="3" customFormat="1" x14ac:dyDescent="0.3">
      <c r="A2163" s="3" t="s">
        <v>58</v>
      </c>
      <c r="B2163" s="3" t="s">
        <v>59</v>
      </c>
      <c r="C2163" s="3" t="s">
        <v>42</v>
      </c>
      <c r="D2163" s="3" t="s">
        <v>203</v>
      </c>
      <c r="E2163" s="6">
        <v>0.40208333333333335</v>
      </c>
      <c r="F2163" s="6">
        <v>0.80555555555555558</v>
      </c>
      <c r="G2163" s="3" t="s">
        <v>149</v>
      </c>
      <c r="H2163" s="3" t="s">
        <v>27</v>
      </c>
      <c r="I2163" s="3" t="s">
        <v>15</v>
      </c>
    </row>
    <row r="2164" spans="1:9" s="3" customFormat="1" x14ac:dyDescent="0.3">
      <c r="A2164" s="3" t="s">
        <v>62</v>
      </c>
      <c r="B2164" s="3" t="s">
        <v>63</v>
      </c>
      <c r="C2164" s="3" t="s">
        <v>64</v>
      </c>
      <c r="D2164" s="3" t="s">
        <v>304</v>
      </c>
      <c r="E2164" s="6">
        <v>0.45347222222222222</v>
      </c>
      <c r="F2164" s="6">
        <v>0.8256944444444444</v>
      </c>
      <c r="G2164" s="3" t="s">
        <v>26</v>
      </c>
      <c r="H2164" s="3" t="s">
        <v>27</v>
      </c>
      <c r="I2164" s="3" t="s">
        <v>15</v>
      </c>
    </row>
    <row r="2165" spans="1:9" s="3" customFormat="1" x14ac:dyDescent="0.3">
      <c r="A2165" s="3" t="s">
        <v>87</v>
      </c>
      <c r="B2165" s="3" t="s">
        <v>88</v>
      </c>
      <c r="C2165" s="3" t="s">
        <v>18</v>
      </c>
      <c r="D2165" s="3" t="s">
        <v>317</v>
      </c>
      <c r="E2165" s="6">
        <v>0.4201388888888889</v>
      </c>
      <c r="F2165" s="6">
        <v>0.85833333333333328</v>
      </c>
      <c r="G2165" s="3" t="s">
        <v>20</v>
      </c>
      <c r="H2165" s="3" t="s">
        <v>14</v>
      </c>
      <c r="I2165" s="3" t="s">
        <v>21</v>
      </c>
    </row>
    <row r="2166" spans="1:9" s="3" customFormat="1" x14ac:dyDescent="0.3">
      <c r="A2166" s="3" t="s">
        <v>157</v>
      </c>
      <c r="B2166" s="3" t="s">
        <v>158</v>
      </c>
      <c r="C2166" s="3" t="s">
        <v>11</v>
      </c>
      <c r="D2166" s="3" t="s">
        <v>228</v>
      </c>
      <c r="E2166" s="6">
        <v>0.38611111111111113</v>
      </c>
      <c r="F2166" s="6">
        <v>0.83333333333333337</v>
      </c>
      <c r="G2166" s="3" t="s">
        <v>26</v>
      </c>
      <c r="H2166" s="3" t="s">
        <v>14</v>
      </c>
      <c r="I2166" s="3" t="s">
        <v>21</v>
      </c>
    </row>
    <row r="2167" spans="1:9" s="3" customFormat="1" x14ac:dyDescent="0.3">
      <c r="A2167" s="3" t="s">
        <v>362</v>
      </c>
      <c r="B2167" s="3" t="s">
        <v>363</v>
      </c>
      <c r="C2167" s="3" t="s">
        <v>18</v>
      </c>
      <c r="D2167" s="3" t="s">
        <v>332</v>
      </c>
      <c r="E2167" s="6">
        <v>0.43333333333333335</v>
      </c>
      <c r="F2167" s="6">
        <v>0.7368055555555556</v>
      </c>
      <c r="G2167" s="3" t="s">
        <v>13</v>
      </c>
      <c r="H2167" s="3" t="s">
        <v>14</v>
      </c>
      <c r="I2167" s="3" t="s">
        <v>21</v>
      </c>
    </row>
    <row r="2168" spans="1:9" s="3" customFormat="1" x14ac:dyDescent="0.3">
      <c r="A2168" s="3" t="s">
        <v>48</v>
      </c>
      <c r="B2168" s="3" t="s">
        <v>49</v>
      </c>
      <c r="C2168" s="3" t="s">
        <v>42</v>
      </c>
      <c r="D2168" s="3" t="s">
        <v>350</v>
      </c>
      <c r="E2168" s="6">
        <v>0.3527777777777778</v>
      </c>
      <c r="F2168" s="6">
        <v>0.70347222222222228</v>
      </c>
      <c r="G2168" s="3" t="s">
        <v>20</v>
      </c>
      <c r="H2168" s="3" t="s">
        <v>14</v>
      </c>
      <c r="I2168" s="3" t="s">
        <v>15</v>
      </c>
    </row>
    <row r="2169" spans="1:9" s="3" customFormat="1" x14ac:dyDescent="0.3">
      <c r="A2169" s="3" t="s">
        <v>175</v>
      </c>
      <c r="B2169" s="3" t="s">
        <v>176</v>
      </c>
      <c r="C2169" s="3" t="s">
        <v>24</v>
      </c>
      <c r="D2169" s="3" t="s">
        <v>128</v>
      </c>
      <c r="E2169" s="6"/>
      <c r="F2169" s="6"/>
      <c r="G2169" s="3" t="s">
        <v>44</v>
      </c>
      <c r="H2169" s="3" t="s">
        <v>14</v>
      </c>
      <c r="I2169" s="3" t="s">
        <v>15</v>
      </c>
    </row>
    <row r="2170" spans="1:9" s="3" customFormat="1" x14ac:dyDescent="0.3">
      <c r="A2170" s="3" t="s">
        <v>250</v>
      </c>
      <c r="B2170" s="3" t="s">
        <v>251</v>
      </c>
      <c r="C2170" s="3" t="s">
        <v>24</v>
      </c>
      <c r="D2170" s="3" t="s">
        <v>284</v>
      </c>
      <c r="E2170" s="6"/>
      <c r="F2170" s="6"/>
      <c r="G2170" s="3" t="s">
        <v>44</v>
      </c>
      <c r="H2170" s="3" t="s">
        <v>14</v>
      </c>
      <c r="I2170" s="3" t="s">
        <v>21</v>
      </c>
    </row>
    <row r="2171" spans="1:9" s="3" customFormat="1" x14ac:dyDescent="0.3">
      <c r="A2171" s="3" t="s">
        <v>213</v>
      </c>
      <c r="B2171" s="3" t="s">
        <v>214</v>
      </c>
      <c r="C2171" s="3" t="s">
        <v>42</v>
      </c>
      <c r="D2171" s="3" t="s">
        <v>263</v>
      </c>
      <c r="E2171" s="6">
        <v>0.37777777777777777</v>
      </c>
      <c r="F2171" s="6">
        <v>0.7270833333333333</v>
      </c>
      <c r="G2171" s="3" t="s">
        <v>170</v>
      </c>
      <c r="H2171" s="3" t="s">
        <v>14</v>
      </c>
      <c r="I2171" s="3" t="s">
        <v>21</v>
      </c>
    </row>
    <row r="2172" spans="1:9" s="3" customFormat="1" x14ac:dyDescent="0.3">
      <c r="A2172" s="3" t="s">
        <v>37</v>
      </c>
      <c r="B2172" s="3" t="s">
        <v>38</v>
      </c>
      <c r="C2172" s="3" t="s">
        <v>60</v>
      </c>
      <c r="D2172" s="3" t="s">
        <v>101</v>
      </c>
      <c r="E2172" s="6">
        <v>0.375</v>
      </c>
      <c r="F2172" s="6">
        <v>0.68472222222222223</v>
      </c>
      <c r="G2172" s="3" t="s">
        <v>26</v>
      </c>
      <c r="H2172" s="3" t="s">
        <v>27</v>
      </c>
      <c r="I2172" s="3" t="s">
        <v>21</v>
      </c>
    </row>
    <row r="2173" spans="1:9" s="3" customFormat="1" x14ac:dyDescent="0.3">
      <c r="A2173" s="3" t="s">
        <v>102</v>
      </c>
      <c r="B2173" s="3" t="s">
        <v>103</v>
      </c>
      <c r="C2173" s="3" t="s">
        <v>18</v>
      </c>
      <c r="D2173" s="3" t="s">
        <v>234</v>
      </c>
      <c r="E2173" s="6">
        <v>0.43055555555555558</v>
      </c>
      <c r="F2173" s="6">
        <v>0.81944444444444442</v>
      </c>
      <c r="G2173" s="3" t="s">
        <v>26</v>
      </c>
      <c r="H2173" s="3" t="s">
        <v>14</v>
      </c>
      <c r="I2173" s="3" t="s">
        <v>21</v>
      </c>
    </row>
    <row r="2174" spans="1:9" s="3" customFormat="1" x14ac:dyDescent="0.3">
      <c r="A2174" s="3" t="s">
        <v>269</v>
      </c>
      <c r="B2174" s="3" t="s">
        <v>270</v>
      </c>
      <c r="C2174" s="3" t="s">
        <v>60</v>
      </c>
      <c r="D2174" s="3" t="s">
        <v>184</v>
      </c>
      <c r="E2174" s="6">
        <v>0.4465277777777778</v>
      </c>
      <c r="F2174" s="6">
        <v>0.82361111111111107</v>
      </c>
      <c r="G2174" s="3" t="s">
        <v>13</v>
      </c>
      <c r="H2174" s="3" t="s">
        <v>14</v>
      </c>
      <c r="I2174" s="3" t="s">
        <v>15</v>
      </c>
    </row>
    <row r="2175" spans="1:9" s="3" customFormat="1" x14ac:dyDescent="0.3">
      <c r="A2175" s="3" t="s">
        <v>115</v>
      </c>
      <c r="B2175" s="3" t="s">
        <v>116</v>
      </c>
      <c r="C2175" s="3" t="s">
        <v>42</v>
      </c>
      <c r="D2175" s="3" t="s">
        <v>273</v>
      </c>
      <c r="E2175" s="6">
        <v>0.36458333333333331</v>
      </c>
      <c r="F2175" s="6">
        <v>0.75486111111111109</v>
      </c>
      <c r="G2175" s="3" t="s">
        <v>20</v>
      </c>
      <c r="H2175" s="3" t="s">
        <v>14</v>
      </c>
      <c r="I2175" s="3" t="s">
        <v>15</v>
      </c>
    </row>
    <row r="2176" spans="1:9" s="3" customFormat="1" x14ac:dyDescent="0.3">
      <c r="A2176" s="3" t="s">
        <v>78</v>
      </c>
      <c r="B2176" s="3" t="s">
        <v>79</v>
      </c>
      <c r="C2176" s="3" t="s">
        <v>143</v>
      </c>
      <c r="D2176" s="3" t="s">
        <v>248</v>
      </c>
      <c r="E2176" s="6"/>
      <c r="F2176" s="6"/>
      <c r="G2176" s="3" t="s">
        <v>51</v>
      </c>
      <c r="H2176" s="3" t="s">
        <v>27</v>
      </c>
      <c r="I2176" s="3" t="s">
        <v>21</v>
      </c>
    </row>
    <row r="2177" spans="1:9" s="3" customFormat="1" x14ac:dyDescent="0.3">
      <c r="A2177" s="3" t="s">
        <v>204</v>
      </c>
      <c r="B2177" s="3" t="s">
        <v>205</v>
      </c>
      <c r="C2177" s="3" t="s">
        <v>64</v>
      </c>
      <c r="D2177" s="3" t="s">
        <v>278</v>
      </c>
      <c r="E2177" s="6">
        <v>0.44097222222222221</v>
      </c>
      <c r="F2177" s="6">
        <v>0.84791666666666665</v>
      </c>
      <c r="G2177" s="3" t="s">
        <v>20</v>
      </c>
      <c r="H2177" s="3" t="s">
        <v>14</v>
      </c>
      <c r="I2177" s="3" t="s">
        <v>21</v>
      </c>
    </row>
    <row r="2178" spans="1:9" s="3" customFormat="1" x14ac:dyDescent="0.3">
      <c r="A2178" s="3" t="s">
        <v>87</v>
      </c>
      <c r="B2178" s="3" t="s">
        <v>88</v>
      </c>
      <c r="C2178" s="3" t="s">
        <v>42</v>
      </c>
      <c r="D2178" s="3" t="s">
        <v>153</v>
      </c>
      <c r="E2178" s="6"/>
      <c r="F2178" s="6"/>
      <c r="G2178" s="3" t="s">
        <v>44</v>
      </c>
      <c r="H2178" s="3" t="s">
        <v>27</v>
      </c>
      <c r="I2178" s="3" t="s">
        <v>15</v>
      </c>
    </row>
    <row r="2179" spans="1:9" s="3" customFormat="1" x14ac:dyDescent="0.3">
      <c r="A2179" s="3" t="s">
        <v>134</v>
      </c>
      <c r="B2179" s="3" t="s">
        <v>135</v>
      </c>
      <c r="C2179" s="3" t="s">
        <v>42</v>
      </c>
      <c r="D2179" s="3" t="s">
        <v>258</v>
      </c>
      <c r="E2179" s="6"/>
      <c r="F2179" s="6"/>
      <c r="G2179" s="3" t="s">
        <v>125</v>
      </c>
      <c r="H2179" s="3" t="s">
        <v>14</v>
      </c>
      <c r="I2179" s="3" t="s">
        <v>15</v>
      </c>
    </row>
    <row r="2180" spans="1:9" s="3" customFormat="1" x14ac:dyDescent="0.3">
      <c r="A2180" s="3" t="s">
        <v>45</v>
      </c>
      <c r="B2180" s="3" t="s">
        <v>46</v>
      </c>
      <c r="C2180" s="3" t="s">
        <v>60</v>
      </c>
      <c r="D2180" s="3" t="s">
        <v>282</v>
      </c>
      <c r="E2180" s="6">
        <v>0.34444444444444444</v>
      </c>
      <c r="F2180" s="6">
        <v>0.76736111111111116</v>
      </c>
      <c r="G2180" s="3" t="s">
        <v>26</v>
      </c>
      <c r="H2180" s="3" t="s">
        <v>14</v>
      </c>
      <c r="I2180" s="3" t="s">
        <v>21</v>
      </c>
    </row>
    <row r="2181" spans="1:9" s="3" customFormat="1" x14ac:dyDescent="0.3">
      <c r="A2181" s="3" t="s">
        <v>157</v>
      </c>
      <c r="B2181" s="3" t="s">
        <v>158</v>
      </c>
      <c r="C2181" s="3" t="s">
        <v>60</v>
      </c>
      <c r="D2181" s="3" t="s">
        <v>144</v>
      </c>
      <c r="E2181" s="6"/>
      <c r="F2181" s="6"/>
      <c r="G2181" s="3" t="s">
        <v>44</v>
      </c>
      <c r="H2181" s="3" t="s">
        <v>14</v>
      </c>
      <c r="I2181" s="3" t="s">
        <v>15</v>
      </c>
    </row>
    <row r="2182" spans="1:9" s="3" customFormat="1" x14ac:dyDescent="0.3">
      <c r="A2182" s="3" t="s">
        <v>90</v>
      </c>
      <c r="B2182" s="3" t="s">
        <v>91</v>
      </c>
      <c r="C2182" s="3" t="s">
        <v>42</v>
      </c>
      <c r="D2182" s="3" t="s">
        <v>374</v>
      </c>
      <c r="E2182" s="6"/>
      <c r="F2182" s="6"/>
      <c r="G2182" s="3" t="s">
        <v>44</v>
      </c>
      <c r="H2182" s="3" t="s">
        <v>14</v>
      </c>
      <c r="I2182" s="3" t="s">
        <v>15</v>
      </c>
    </row>
    <row r="2183" spans="1:9" s="3" customFormat="1" x14ac:dyDescent="0.3">
      <c r="A2183" s="3" t="s">
        <v>122</v>
      </c>
      <c r="B2183" s="3" t="s">
        <v>123</v>
      </c>
      <c r="C2183" s="3" t="s">
        <v>42</v>
      </c>
      <c r="D2183" s="3" t="s">
        <v>296</v>
      </c>
      <c r="E2183" s="6">
        <v>0.48819444444444443</v>
      </c>
      <c r="F2183" s="6">
        <v>0.72847222222222219</v>
      </c>
      <c r="G2183" s="3" t="s">
        <v>20</v>
      </c>
      <c r="H2183" s="3" t="s">
        <v>27</v>
      </c>
      <c r="I2183" s="3" t="s">
        <v>21</v>
      </c>
    </row>
    <row r="2184" spans="1:9" s="3" customFormat="1" x14ac:dyDescent="0.3">
      <c r="A2184" s="3" t="s">
        <v>40</v>
      </c>
      <c r="B2184" s="3" t="s">
        <v>41</v>
      </c>
      <c r="C2184" s="3" t="s">
        <v>24</v>
      </c>
      <c r="D2184" s="3" t="s">
        <v>372</v>
      </c>
      <c r="E2184" s="6">
        <v>0.47708333333333336</v>
      </c>
      <c r="F2184" s="6">
        <v>0.77152777777777781</v>
      </c>
      <c r="G2184" s="3" t="s">
        <v>170</v>
      </c>
      <c r="H2184" s="3" t="s">
        <v>27</v>
      </c>
      <c r="I2184" s="3" t="s">
        <v>15</v>
      </c>
    </row>
    <row r="2185" spans="1:9" s="3" customFormat="1" x14ac:dyDescent="0.3">
      <c r="A2185" s="3" t="s">
        <v>216</v>
      </c>
      <c r="B2185" s="3" t="s">
        <v>217</v>
      </c>
      <c r="C2185" s="3" t="s">
        <v>18</v>
      </c>
      <c r="D2185" s="3" t="s">
        <v>255</v>
      </c>
      <c r="E2185" s="6">
        <v>0.35486111111111113</v>
      </c>
      <c r="F2185" s="6">
        <v>0.77847222222222223</v>
      </c>
      <c r="G2185" s="3" t="s">
        <v>20</v>
      </c>
      <c r="H2185" s="3" t="s">
        <v>27</v>
      </c>
      <c r="I2185" s="3" t="s">
        <v>15</v>
      </c>
    </row>
    <row r="2186" spans="1:9" s="3" customFormat="1" x14ac:dyDescent="0.3">
      <c r="A2186" s="3" t="s">
        <v>269</v>
      </c>
      <c r="B2186" s="3" t="s">
        <v>270</v>
      </c>
      <c r="C2186" s="3" t="s">
        <v>24</v>
      </c>
      <c r="D2186" s="3" t="s">
        <v>180</v>
      </c>
      <c r="E2186" s="6">
        <v>0.33541666666666664</v>
      </c>
      <c r="F2186" s="6">
        <v>0.72638888888888886</v>
      </c>
      <c r="G2186" s="3" t="s">
        <v>13</v>
      </c>
      <c r="H2186" s="3" t="s">
        <v>14</v>
      </c>
      <c r="I2186" s="3" t="s">
        <v>21</v>
      </c>
    </row>
    <row r="2187" spans="1:9" s="3" customFormat="1" x14ac:dyDescent="0.3">
      <c r="A2187" s="3" t="s">
        <v>134</v>
      </c>
      <c r="B2187" s="3" t="s">
        <v>135</v>
      </c>
      <c r="C2187" s="3" t="s">
        <v>18</v>
      </c>
      <c r="D2187" s="3" t="s">
        <v>104</v>
      </c>
      <c r="E2187" s="6">
        <v>0.49722222222222223</v>
      </c>
      <c r="F2187" s="6">
        <v>0.70972222222222225</v>
      </c>
      <c r="G2187" s="3" t="s">
        <v>13</v>
      </c>
      <c r="H2187" s="3" t="s">
        <v>14</v>
      </c>
      <c r="I2187" s="3" t="s">
        <v>21</v>
      </c>
    </row>
    <row r="2188" spans="1:9" s="3" customFormat="1" x14ac:dyDescent="0.3">
      <c r="A2188" s="3" t="s">
        <v>216</v>
      </c>
      <c r="B2188" s="3" t="s">
        <v>217</v>
      </c>
      <c r="C2188" s="3" t="s">
        <v>60</v>
      </c>
      <c r="D2188" s="3" t="s">
        <v>374</v>
      </c>
      <c r="E2188" s="6"/>
      <c r="F2188" s="6"/>
      <c r="G2188" s="3" t="s">
        <v>44</v>
      </c>
      <c r="H2188" s="3" t="s">
        <v>14</v>
      </c>
      <c r="I2188" s="3" t="s">
        <v>21</v>
      </c>
    </row>
    <row r="2189" spans="1:9" s="3" customFormat="1" x14ac:dyDescent="0.3">
      <c r="A2189" s="3" t="s">
        <v>291</v>
      </c>
      <c r="B2189" s="3" t="s">
        <v>292</v>
      </c>
      <c r="C2189" s="3" t="s">
        <v>239</v>
      </c>
      <c r="D2189" s="3" t="s">
        <v>164</v>
      </c>
      <c r="E2189" s="6">
        <v>0.49166666666666664</v>
      </c>
      <c r="F2189" s="6">
        <v>0.68055555555555558</v>
      </c>
      <c r="G2189" s="3" t="s">
        <v>26</v>
      </c>
      <c r="H2189" s="3" t="s">
        <v>27</v>
      </c>
      <c r="I2189" s="3" t="s">
        <v>21</v>
      </c>
    </row>
    <row r="2190" spans="1:9" s="3" customFormat="1" x14ac:dyDescent="0.3">
      <c r="A2190" s="3" t="s">
        <v>52</v>
      </c>
      <c r="B2190" s="3" t="s">
        <v>53</v>
      </c>
      <c r="C2190" s="3" t="s">
        <v>64</v>
      </c>
      <c r="D2190" s="3" t="s">
        <v>394</v>
      </c>
      <c r="E2190" s="6"/>
      <c r="F2190" s="6"/>
      <c r="G2190" s="3" t="s">
        <v>51</v>
      </c>
      <c r="H2190" s="3" t="s">
        <v>14</v>
      </c>
      <c r="I2190" s="3" t="s">
        <v>15</v>
      </c>
    </row>
    <row r="2191" spans="1:9" s="3" customFormat="1" x14ac:dyDescent="0.3">
      <c r="A2191" s="3" t="s">
        <v>66</v>
      </c>
      <c r="B2191" s="3" t="s">
        <v>67</v>
      </c>
      <c r="C2191" s="3" t="s">
        <v>24</v>
      </c>
      <c r="D2191" s="3" t="s">
        <v>391</v>
      </c>
      <c r="E2191" s="6">
        <v>0.36736111111111114</v>
      </c>
      <c r="F2191" s="6">
        <v>0.75</v>
      </c>
      <c r="G2191" s="3" t="s">
        <v>26</v>
      </c>
      <c r="H2191" s="3" t="s">
        <v>14</v>
      </c>
      <c r="I2191" s="3" t="s">
        <v>21</v>
      </c>
    </row>
    <row r="2192" spans="1:9" s="3" customFormat="1" x14ac:dyDescent="0.3">
      <c r="A2192" s="3" t="s">
        <v>171</v>
      </c>
      <c r="B2192" s="3" t="s">
        <v>172</v>
      </c>
      <c r="C2192" s="3" t="s">
        <v>42</v>
      </c>
      <c r="D2192" s="3" t="s">
        <v>376</v>
      </c>
      <c r="E2192" s="6">
        <v>0.43680555555555556</v>
      </c>
      <c r="F2192" s="6">
        <v>0.76388888888888884</v>
      </c>
      <c r="G2192" s="3" t="s">
        <v>13</v>
      </c>
      <c r="H2192" s="3" t="s">
        <v>14</v>
      </c>
      <c r="I2192" s="3" t="s">
        <v>15</v>
      </c>
    </row>
    <row r="2193" spans="1:9" s="3" customFormat="1" x14ac:dyDescent="0.3">
      <c r="A2193" s="3" t="s">
        <v>62</v>
      </c>
      <c r="B2193" s="3" t="s">
        <v>63</v>
      </c>
      <c r="C2193" s="3" t="s">
        <v>24</v>
      </c>
      <c r="D2193" s="3" t="s">
        <v>266</v>
      </c>
      <c r="E2193" s="6">
        <v>0.41319444444444442</v>
      </c>
      <c r="F2193" s="6">
        <v>0.72083333333333333</v>
      </c>
      <c r="G2193" s="3" t="s">
        <v>13</v>
      </c>
      <c r="H2193" s="3" t="s">
        <v>14</v>
      </c>
      <c r="I2193" s="3" t="s">
        <v>21</v>
      </c>
    </row>
    <row r="2194" spans="1:9" s="3" customFormat="1" x14ac:dyDescent="0.3">
      <c r="A2194" s="3" t="s">
        <v>187</v>
      </c>
      <c r="B2194" s="3" t="s">
        <v>188</v>
      </c>
      <c r="C2194" s="3" t="s">
        <v>60</v>
      </c>
      <c r="D2194" s="3" t="s">
        <v>159</v>
      </c>
      <c r="E2194" s="6">
        <v>0.37638888888888888</v>
      </c>
      <c r="F2194" s="6">
        <v>0.82013888888888886</v>
      </c>
      <c r="G2194" s="3" t="s">
        <v>26</v>
      </c>
      <c r="H2194" s="3" t="s">
        <v>27</v>
      </c>
      <c r="I2194" s="3" t="s">
        <v>21</v>
      </c>
    </row>
    <row r="2195" spans="1:9" s="3" customFormat="1" x14ac:dyDescent="0.3">
      <c r="A2195" s="3" t="s">
        <v>72</v>
      </c>
      <c r="B2195" s="3" t="s">
        <v>73</v>
      </c>
      <c r="C2195" s="3" t="s">
        <v>24</v>
      </c>
      <c r="D2195" s="3" t="s">
        <v>330</v>
      </c>
      <c r="E2195" s="6">
        <v>0.47222222222222221</v>
      </c>
      <c r="F2195" s="6">
        <v>0.69236111111111109</v>
      </c>
      <c r="G2195" s="3" t="s">
        <v>13</v>
      </c>
      <c r="H2195" s="3" t="s">
        <v>27</v>
      </c>
      <c r="I2195" s="3" t="s">
        <v>21</v>
      </c>
    </row>
    <row r="2196" spans="1:9" s="3" customFormat="1" x14ac:dyDescent="0.3">
      <c r="A2196" s="3" t="s">
        <v>102</v>
      </c>
      <c r="B2196" s="3" t="s">
        <v>103</v>
      </c>
      <c r="C2196" s="3" t="s">
        <v>24</v>
      </c>
      <c r="D2196" s="3" t="s">
        <v>101</v>
      </c>
      <c r="E2196" s="6">
        <v>0.48749999999999999</v>
      </c>
      <c r="F2196" s="6">
        <v>0.71388888888888891</v>
      </c>
      <c r="G2196" s="3" t="s">
        <v>20</v>
      </c>
      <c r="H2196" s="3" t="s">
        <v>14</v>
      </c>
      <c r="I2196" s="3" t="s">
        <v>15</v>
      </c>
    </row>
    <row r="2197" spans="1:9" s="3" customFormat="1" x14ac:dyDescent="0.3">
      <c r="A2197" s="3" t="s">
        <v>146</v>
      </c>
      <c r="B2197" s="3" t="s">
        <v>147</v>
      </c>
      <c r="C2197" s="3" t="s">
        <v>18</v>
      </c>
      <c r="D2197" s="3" t="s">
        <v>398</v>
      </c>
      <c r="E2197" s="6">
        <v>0.41944444444444445</v>
      </c>
      <c r="F2197" s="6">
        <v>0.80763888888888891</v>
      </c>
      <c r="G2197" s="3" t="s">
        <v>26</v>
      </c>
      <c r="H2197" s="3" t="s">
        <v>27</v>
      </c>
      <c r="I2197" s="3" t="s">
        <v>15</v>
      </c>
    </row>
    <row r="2198" spans="1:9" s="3" customFormat="1" x14ac:dyDescent="0.3">
      <c r="A2198" s="3" t="s">
        <v>130</v>
      </c>
      <c r="B2198" s="3" t="s">
        <v>131</v>
      </c>
      <c r="C2198" s="3" t="s">
        <v>60</v>
      </c>
      <c r="D2198" s="3" t="s">
        <v>330</v>
      </c>
      <c r="E2198" s="6"/>
      <c r="F2198" s="6"/>
      <c r="G2198" s="3" t="s">
        <v>44</v>
      </c>
      <c r="H2198" s="3" t="s">
        <v>14</v>
      </c>
      <c r="I2198" s="3" t="s">
        <v>15</v>
      </c>
    </row>
    <row r="2199" spans="1:9" s="3" customFormat="1" x14ac:dyDescent="0.3">
      <c r="A2199" s="3" t="s">
        <v>62</v>
      </c>
      <c r="B2199" s="3" t="s">
        <v>63</v>
      </c>
      <c r="C2199" s="3" t="s">
        <v>64</v>
      </c>
      <c r="D2199" s="3" t="s">
        <v>309</v>
      </c>
      <c r="E2199" s="6">
        <v>0.42638888888888887</v>
      </c>
      <c r="F2199" s="6">
        <v>0.82708333333333328</v>
      </c>
      <c r="G2199" s="3" t="s">
        <v>20</v>
      </c>
      <c r="H2199" s="3" t="s">
        <v>27</v>
      </c>
      <c r="I2199" s="3" t="s">
        <v>15</v>
      </c>
    </row>
    <row r="2200" spans="1:9" s="3" customFormat="1" x14ac:dyDescent="0.3">
      <c r="A2200" s="3" t="s">
        <v>102</v>
      </c>
      <c r="B2200" s="3" t="s">
        <v>103</v>
      </c>
      <c r="C2200" s="3" t="s">
        <v>18</v>
      </c>
      <c r="D2200" s="3" t="s">
        <v>324</v>
      </c>
      <c r="E2200" s="6">
        <v>0.46527777777777779</v>
      </c>
      <c r="F2200" s="6">
        <v>0.73819444444444449</v>
      </c>
      <c r="G2200" s="3" t="s">
        <v>13</v>
      </c>
      <c r="H2200" s="3" t="s">
        <v>14</v>
      </c>
      <c r="I2200" s="3" t="s">
        <v>21</v>
      </c>
    </row>
    <row r="2201" spans="1:9" s="3" customFormat="1" x14ac:dyDescent="0.3">
      <c r="A2201" s="3" t="s">
        <v>119</v>
      </c>
      <c r="B2201" s="3" t="s">
        <v>120</v>
      </c>
      <c r="C2201" s="3" t="s">
        <v>18</v>
      </c>
      <c r="D2201" s="3" t="s">
        <v>148</v>
      </c>
      <c r="E2201" s="6">
        <v>0.43194444444444446</v>
      </c>
      <c r="F2201" s="6">
        <v>0.73888888888888893</v>
      </c>
      <c r="G2201" s="3" t="s">
        <v>20</v>
      </c>
      <c r="H2201" s="3" t="s">
        <v>14</v>
      </c>
      <c r="I2201" s="3" t="s">
        <v>21</v>
      </c>
    </row>
    <row r="2202" spans="1:9" s="3" customFormat="1" x14ac:dyDescent="0.3">
      <c r="A2202" s="3" t="s">
        <v>269</v>
      </c>
      <c r="B2202" s="3" t="s">
        <v>270</v>
      </c>
      <c r="C2202" s="3" t="s">
        <v>42</v>
      </c>
      <c r="D2202" s="3" t="s">
        <v>206</v>
      </c>
      <c r="E2202" s="6">
        <v>0.4597222222222222</v>
      </c>
      <c r="F2202" s="6">
        <v>0.78333333333333333</v>
      </c>
      <c r="G2202" s="3" t="s">
        <v>26</v>
      </c>
      <c r="H2202" s="3" t="s">
        <v>14</v>
      </c>
      <c r="I2202" s="3" t="s">
        <v>21</v>
      </c>
    </row>
    <row r="2203" spans="1:9" s="3" customFormat="1" x14ac:dyDescent="0.3">
      <c r="A2203" s="3" t="s">
        <v>291</v>
      </c>
      <c r="B2203" s="3" t="s">
        <v>292</v>
      </c>
      <c r="C2203" s="3" t="s">
        <v>60</v>
      </c>
      <c r="D2203" s="3" t="s">
        <v>383</v>
      </c>
      <c r="E2203" s="6">
        <v>0.37847222222222221</v>
      </c>
      <c r="F2203" s="6">
        <v>0.67777777777777781</v>
      </c>
      <c r="G2203" s="3" t="s">
        <v>13</v>
      </c>
      <c r="H2203" s="3" t="s">
        <v>14</v>
      </c>
      <c r="I2203" s="3" t="s">
        <v>21</v>
      </c>
    </row>
    <row r="2204" spans="1:9" s="3" customFormat="1" x14ac:dyDescent="0.3">
      <c r="A2204" s="3" t="s">
        <v>141</v>
      </c>
      <c r="B2204" s="3" t="s">
        <v>142</v>
      </c>
      <c r="C2204" s="3" t="s">
        <v>24</v>
      </c>
      <c r="D2204" s="3" t="s">
        <v>307</v>
      </c>
      <c r="E2204" s="6">
        <v>0.40486111111111112</v>
      </c>
      <c r="F2204" s="6">
        <v>0.70833333333333337</v>
      </c>
      <c r="G2204" s="3" t="s">
        <v>26</v>
      </c>
      <c r="H2204" s="3" t="s">
        <v>14</v>
      </c>
      <c r="I2204" s="3" t="s">
        <v>15</v>
      </c>
    </row>
    <row r="2205" spans="1:9" s="3" customFormat="1" x14ac:dyDescent="0.3">
      <c r="A2205" s="3" t="s">
        <v>62</v>
      </c>
      <c r="B2205" s="3" t="s">
        <v>63</v>
      </c>
      <c r="C2205" s="3" t="s">
        <v>60</v>
      </c>
      <c r="D2205" s="3" t="s">
        <v>305</v>
      </c>
      <c r="E2205" s="6"/>
      <c r="F2205" s="6"/>
      <c r="G2205" s="3" t="s">
        <v>44</v>
      </c>
      <c r="H2205" s="3" t="s">
        <v>27</v>
      </c>
      <c r="I2205" s="3" t="s">
        <v>21</v>
      </c>
    </row>
    <row r="2206" spans="1:9" s="3" customFormat="1" x14ac:dyDescent="0.3">
      <c r="A2206" s="3" t="s">
        <v>200</v>
      </c>
      <c r="B2206" s="3" t="s">
        <v>201</v>
      </c>
      <c r="C2206" s="3" t="s">
        <v>24</v>
      </c>
      <c r="D2206" s="3" t="s">
        <v>318</v>
      </c>
      <c r="E2206" s="6">
        <v>0.45763888888888887</v>
      </c>
      <c r="F2206" s="6">
        <v>0.70416666666666672</v>
      </c>
      <c r="G2206" s="3" t="s">
        <v>26</v>
      </c>
      <c r="H2206" s="3" t="s">
        <v>27</v>
      </c>
      <c r="I2206" s="3" t="s">
        <v>21</v>
      </c>
    </row>
    <row r="2207" spans="1:9" s="3" customFormat="1" x14ac:dyDescent="0.3">
      <c r="A2207" s="3" t="s">
        <v>58</v>
      </c>
      <c r="B2207" s="3" t="s">
        <v>59</v>
      </c>
      <c r="C2207" s="3" t="s">
        <v>24</v>
      </c>
      <c r="D2207" s="3" t="s">
        <v>233</v>
      </c>
      <c r="E2207" s="6">
        <v>0.43055555555555558</v>
      </c>
      <c r="F2207" s="6">
        <v>0.86319444444444449</v>
      </c>
      <c r="G2207" s="3" t="s">
        <v>20</v>
      </c>
      <c r="H2207" s="3" t="s">
        <v>14</v>
      </c>
      <c r="I2207" s="3" t="s">
        <v>21</v>
      </c>
    </row>
    <row r="2208" spans="1:9" s="3" customFormat="1" x14ac:dyDescent="0.3">
      <c r="A2208" s="3" t="s">
        <v>37</v>
      </c>
      <c r="B2208" s="3" t="s">
        <v>38</v>
      </c>
      <c r="C2208" s="3" t="s">
        <v>60</v>
      </c>
      <c r="D2208" s="3" t="s">
        <v>212</v>
      </c>
      <c r="E2208" s="6"/>
      <c r="F2208" s="6"/>
      <c r="G2208" s="3" t="s">
        <v>44</v>
      </c>
      <c r="H2208" s="3" t="s">
        <v>27</v>
      </c>
      <c r="I2208" s="3" t="s">
        <v>15</v>
      </c>
    </row>
    <row r="2209" spans="1:9" s="3" customFormat="1" x14ac:dyDescent="0.3">
      <c r="A2209" s="3" t="s">
        <v>37</v>
      </c>
      <c r="B2209" s="3" t="s">
        <v>38</v>
      </c>
      <c r="C2209" s="3" t="s">
        <v>11</v>
      </c>
      <c r="D2209" s="3" t="s">
        <v>238</v>
      </c>
      <c r="E2209" s="6">
        <v>0.34930555555555554</v>
      </c>
      <c r="F2209" s="6">
        <v>0.82638888888888884</v>
      </c>
      <c r="G2209" s="3" t="s">
        <v>149</v>
      </c>
      <c r="H2209" s="3" t="s">
        <v>14</v>
      </c>
      <c r="I2209" s="3" t="s">
        <v>21</v>
      </c>
    </row>
    <row r="2210" spans="1:9" s="3" customFormat="1" x14ac:dyDescent="0.3">
      <c r="A2210" s="3" t="s">
        <v>62</v>
      </c>
      <c r="B2210" s="3" t="s">
        <v>63</v>
      </c>
      <c r="C2210" s="3" t="s">
        <v>11</v>
      </c>
      <c r="D2210" s="3" t="s">
        <v>101</v>
      </c>
      <c r="E2210" s="6"/>
      <c r="F2210" s="6"/>
      <c r="G2210" s="3" t="s">
        <v>44</v>
      </c>
      <c r="H2210" s="3" t="s">
        <v>14</v>
      </c>
      <c r="I2210" s="3" t="s">
        <v>21</v>
      </c>
    </row>
    <row r="2211" spans="1:9" s="3" customFormat="1" x14ac:dyDescent="0.3">
      <c r="A2211" s="3" t="s">
        <v>58</v>
      </c>
      <c r="B2211" s="3" t="s">
        <v>59</v>
      </c>
      <c r="C2211" s="3" t="s">
        <v>64</v>
      </c>
      <c r="D2211" s="3" t="s">
        <v>418</v>
      </c>
      <c r="E2211" s="6"/>
      <c r="F2211" s="6"/>
      <c r="G2211" s="3" t="s">
        <v>44</v>
      </c>
      <c r="H2211" s="3" t="s">
        <v>14</v>
      </c>
      <c r="I2211" s="3" t="s">
        <v>15</v>
      </c>
    </row>
    <row r="2212" spans="1:9" s="3" customFormat="1" x14ac:dyDescent="0.3">
      <c r="A2212" s="3" t="s">
        <v>87</v>
      </c>
      <c r="B2212" s="3" t="s">
        <v>88</v>
      </c>
      <c r="C2212" s="3" t="s">
        <v>18</v>
      </c>
      <c r="D2212" s="3" t="s">
        <v>241</v>
      </c>
      <c r="E2212" s="6">
        <v>0.47152777777777777</v>
      </c>
      <c r="F2212" s="6">
        <v>0.86111111111111116</v>
      </c>
      <c r="G2212" s="3" t="s">
        <v>26</v>
      </c>
      <c r="H2212" s="3" t="s">
        <v>14</v>
      </c>
      <c r="I2212" s="3" t="s">
        <v>15</v>
      </c>
    </row>
    <row r="2213" spans="1:9" s="3" customFormat="1" x14ac:dyDescent="0.3">
      <c r="A2213" s="3" t="s">
        <v>52</v>
      </c>
      <c r="B2213" s="3" t="s">
        <v>53</v>
      </c>
      <c r="C2213" s="3" t="s">
        <v>42</v>
      </c>
      <c r="D2213" s="3" t="s">
        <v>403</v>
      </c>
      <c r="E2213" s="6"/>
      <c r="F2213" s="6"/>
      <c r="G2213" s="3" t="s">
        <v>44</v>
      </c>
      <c r="H2213" s="3" t="s">
        <v>27</v>
      </c>
      <c r="I2213" s="3" t="s">
        <v>21</v>
      </c>
    </row>
    <row r="2214" spans="1:9" s="3" customFormat="1" x14ac:dyDescent="0.3">
      <c r="A2214" s="3" t="s">
        <v>78</v>
      </c>
      <c r="B2214" s="3" t="s">
        <v>79</v>
      </c>
      <c r="C2214" s="3" t="s">
        <v>60</v>
      </c>
      <c r="D2214" s="3" t="s">
        <v>302</v>
      </c>
      <c r="E2214" s="6"/>
      <c r="F2214" s="6"/>
      <c r="G2214" s="3" t="s">
        <v>44</v>
      </c>
      <c r="H2214" s="3" t="s">
        <v>27</v>
      </c>
      <c r="I2214" s="3" t="s">
        <v>15</v>
      </c>
    </row>
    <row r="2215" spans="1:9" s="3" customFormat="1" x14ac:dyDescent="0.3">
      <c r="A2215" s="3" t="s">
        <v>291</v>
      </c>
      <c r="B2215" s="3" t="s">
        <v>292</v>
      </c>
      <c r="C2215" s="3" t="s">
        <v>60</v>
      </c>
      <c r="D2215" s="3" t="s">
        <v>254</v>
      </c>
      <c r="E2215" s="6"/>
      <c r="F2215" s="6"/>
      <c r="G2215" s="3" t="s">
        <v>44</v>
      </c>
      <c r="H2215" s="3" t="s">
        <v>14</v>
      </c>
      <c r="I2215" s="3" t="s">
        <v>15</v>
      </c>
    </row>
    <row r="2216" spans="1:9" s="3" customFormat="1" x14ac:dyDescent="0.3">
      <c r="A2216" s="3" t="s">
        <v>246</v>
      </c>
      <c r="B2216" s="3" t="s">
        <v>247</v>
      </c>
      <c r="C2216" s="3" t="s">
        <v>64</v>
      </c>
      <c r="D2216" s="3" t="s">
        <v>235</v>
      </c>
      <c r="E2216" s="6"/>
      <c r="F2216" s="6"/>
      <c r="G2216" s="3" t="s">
        <v>44</v>
      </c>
      <c r="H2216" s="3" t="s">
        <v>14</v>
      </c>
      <c r="I2216" s="3" t="s">
        <v>21</v>
      </c>
    </row>
    <row r="2217" spans="1:9" s="3" customFormat="1" x14ac:dyDescent="0.3">
      <c r="A2217" s="3" t="s">
        <v>22</v>
      </c>
      <c r="B2217" s="3" t="s">
        <v>23</v>
      </c>
      <c r="C2217" s="3" t="s">
        <v>64</v>
      </c>
      <c r="D2217" s="3" t="s">
        <v>324</v>
      </c>
      <c r="E2217" s="6">
        <v>0.42152777777777778</v>
      </c>
      <c r="F2217" s="6">
        <v>0.79374999999999996</v>
      </c>
      <c r="G2217" s="3" t="s">
        <v>26</v>
      </c>
      <c r="H2217" s="3" t="s">
        <v>27</v>
      </c>
      <c r="I2217" s="3" t="s">
        <v>21</v>
      </c>
    </row>
    <row r="2218" spans="1:9" s="3" customFormat="1" x14ac:dyDescent="0.3">
      <c r="A2218" s="3" t="s">
        <v>34</v>
      </c>
      <c r="B2218" s="3" t="s">
        <v>35</v>
      </c>
      <c r="C2218" s="3" t="s">
        <v>24</v>
      </c>
      <c r="D2218" s="3" t="s">
        <v>335</v>
      </c>
      <c r="E2218" s="6">
        <v>0.42152777777777778</v>
      </c>
      <c r="F2218" s="6">
        <v>0.7993055555555556</v>
      </c>
      <c r="G2218" s="3" t="s">
        <v>125</v>
      </c>
      <c r="H2218" s="3" t="s">
        <v>27</v>
      </c>
      <c r="I2218" s="3" t="s">
        <v>21</v>
      </c>
    </row>
    <row r="2219" spans="1:9" s="3" customFormat="1" x14ac:dyDescent="0.3">
      <c r="A2219" s="3" t="s">
        <v>102</v>
      </c>
      <c r="B2219" s="3" t="s">
        <v>103</v>
      </c>
      <c r="C2219" s="3" t="s">
        <v>18</v>
      </c>
      <c r="D2219" s="3" t="s">
        <v>186</v>
      </c>
      <c r="E2219" s="6">
        <v>0.46527777777777779</v>
      </c>
      <c r="F2219" s="6">
        <v>0.83333333333333337</v>
      </c>
      <c r="G2219" s="3" t="s">
        <v>13</v>
      </c>
      <c r="H2219" s="3" t="s">
        <v>14</v>
      </c>
      <c r="I2219" s="3" t="s">
        <v>21</v>
      </c>
    </row>
    <row r="2220" spans="1:9" s="3" customFormat="1" x14ac:dyDescent="0.3">
      <c r="A2220" s="3" t="s">
        <v>157</v>
      </c>
      <c r="B2220" s="3" t="s">
        <v>158</v>
      </c>
      <c r="C2220" s="3" t="s">
        <v>64</v>
      </c>
      <c r="D2220" s="3" t="s">
        <v>39</v>
      </c>
      <c r="E2220" s="6">
        <v>0.41458333333333336</v>
      </c>
      <c r="F2220" s="6">
        <v>0.7055555555555556</v>
      </c>
      <c r="G2220" s="3" t="s">
        <v>13</v>
      </c>
      <c r="H2220" s="3" t="s">
        <v>14</v>
      </c>
      <c r="I2220" s="3" t="s">
        <v>15</v>
      </c>
    </row>
    <row r="2221" spans="1:9" s="3" customFormat="1" x14ac:dyDescent="0.3">
      <c r="A2221" s="3" t="s">
        <v>362</v>
      </c>
      <c r="B2221" s="3" t="s">
        <v>363</v>
      </c>
      <c r="C2221" s="3" t="s">
        <v>24</v>
      </c>
      <c r="D2221" s="3" t="s">
        <v>395</v>
      </c>
      <c r="E2221" s="6">
        <v>0.41944444444444445</v>
      </c>
      <c r="F2221" s="6">
        <v>0.70486111111111116</v>
      </c>
      <c r="G2221" s="3" t="s">
        <v>13</v>
      </c>
      <c r="H2221" s="3" t="s">
        <v>14</v>
      </c>
      <c r="I2221" s="3" t="s">
        <v>21</v>
      </c>
    </row>
    <row r="2222" spans="1:9" s="3" customFormat="1" x14ac:dyDescent="0.3">
      <c r="A2222" s="3" t="s">
        <v>34</v>
      </c>
      <c r="B2222" s="3" t="s">
        <v>35</v>
      </c>
      <c r="C2222" s="3" t="s">
        <v>64</v>
      </c>
      <c r="D2222" s="3" t="s">
        <v>148</v>
      </c>
      <c r="E2222" s="6">
        <v>0.42916666666666664</v>
      </c>
      <c r="F2222" s="6">
        <v>0.78611111111111109</v>
      </c>
      <c r="G2222" s="3" t="s">
        <v>20</v>
      </c>
      <c r="H2222" s="3" t="s">
        <v>14</v>
      </c>
      <c r="I2222" s="3" t="s">
        <v>15</v>
      </c>
    </row>
    <row r="2223" spans="1:9" s="3" customFormat="1" x14ac:dyDescent="0.3">
      <c r="A2223" s="3" t="s">
        <v>40</v>
      </c>
      <c r="B2223" s="3" t="s">
        <v>41</v>
      </c>
      <c r="C2223" s="3" t="s">
        <v>18</v>
      </c>
      <c r="D2223" s="3" t="s">
        <v>228</v>
      </c>
      <c r="E2223" s="6"/>
      <c r="F2223" s="6"/>
      <c r="G2223" s="3" t="s">
        <v>44</v>
      </c>
      <c r="H2223" s="3" t="s">
        <v>14</v>
      </c>
      <c r="I2223" s="3" t="s">
        <v>15</v>
      </c>
    </row>
    <row r="2224" spans="1:9" s="3" customFormat="1" x14ac:dyDescent="0.3">
      <c r="A2224" s="3" t="s">
        <v>28</v>
      </c>
      <c r="B2224" s="3" t="s">
        <v>29</v>
      </c>
      <c r="C2224" s="3" t="s">
        <v>60</v>
      </c>
      <c r="D2224" s="3" t="s">
        <v>114</v>
      </c>
      <c r="E2224" s="6">
        <v>0.43680555555555556</v>
      </c>
      <c r="F2224" s="6">
        <v>0.82708333333333328</v>
      </c>
      <c r="G2224" s="3" t="s">
        <v>125</v>
      </c>
      <c r="H2224" s="3" t="s">
        <v>27</v>
      </c>
      <c r="I2224" s="3" t="s">
        <v>15</v>
      </c>
    </row>
    <row r="2225" spans="1:9" s="3" customFormat="1" x14ac:dyDescent="0.3">
      <c r="A2225" s="3" t="s">
        <v>187</v>
      </c>
      <c r="B2225" s="3" t="s">
        <v>188</v>
      </c>
      <c r="C2225" s="3" t="s">
        <v>18</v>
      </c>
      <c r="D2225" s="3" t="s">
        <v>229</v>
      </c>
      <c r="E2225" s="6"/>
      <c r="F2225" s="6"/>
      <c r="G2225" s="3" t="s">
        <v>44</v>
      </c>
      <c r="H2225" s="3" t="s">
        <v>27</v>
      </c>
      <c r="I2225" s="3" t="s">
        <v>21</v>
      </c>
    </row>
    <row r="2226" spans="1:9" s="3" customFormat="1" x14ac:dyDescent="0.3">
      <c r="A2226" s="3" t="s">
        <v>362</v>
      </c>
      <c r="B2226" s="3" t="s">
        <v>363</v>
      </c>
      <c r="C2226" s="3" t="s">
        <v>18</v>
      </c>
      <c r="D2226" s="3" t="s">
        <v>349</v>
      </c>
      <c r="E2226" s="6"/>
      <c r="F2226" s="6"/>
      <c r="G2226" s="3" t="s">
        <v>44</v>
      </c>
      <c r="H2226" s="3" t="s">
        <v>14</v>
      </c>
      <c r="I2226" s="3" t="s">
        <v>21</v>
      </c>
    </row>
    <row r="2227" spans="1:9" s="3" customFormat="1" x14ac:dyDescent="0.3">
      <c r="A2227" s="3" t="s">
        <v>115</v>
      </c>
      <c r="B2227" s="3" t="s">
        <v>116</v>
      </c>
      <c r="C2227" s="3" t="s">
        <v>24</v>
      </c>
      <c r="D2227" s="3" t="s">
        <v>43</v>
      </c>
      <c r="E2227" s="6">
        <v>0.44444444444444442</v>
      </c>
      <c r="F2227" s="6">
        <v>0.69097222222222221</v>
      </c>
      <c r="G2227" s="3" t="s">
        <v>20</v>
      </c>
      <c r="H2227" s="3" t="s">
        <v>14</v>
      </c>
      <c r="I2227" s="3" t="s">
        <v>21</v>
      </c>
    </row>
    <row r="2228" spans="1:9" s="3" customFormat="1" x14ac:dyDescent="0.3">
      <c r="A2228" s="3" t="s">
        <v>291</v>
      </c>
      <c r="B2228" s="3" t="s">
        <v>292</v>
      </c>
      <c r="C2228" s="3" t="s">
        <v>18</v>
      </c>
      <c r="D2228" s="3" t="s">
        <v>305</v>
      </c>
      <c r="E2228" s="6">
        <v>0.4375</v>
      </c>
      <c r="F2228" s="6">
        <v>0.85763888888888884</v>
      </c>
      <c r="G2228" s="3" t="s">
        <v>20</v>
      </c>
      <c r="H2228" s="3" t="s">
        <v>27</v>
      </c>
      <c r="I2228" s="3" t="s">
        <v>21</v>
      </c>
    </row>
    <row r="2229" spans="1:9" s="3" customFormat="1" x14ac:dyDescent="0.3">
      <c r="A2229" s="3" t="s">
        <v>197</v>
      </c>
      <c r="B2229" s="3" t="s">
        <v>198</v>
      </c>
      <c r="C2229" s="3" t="s">
        <v>60</v>
      </c>
      <c r="D2229" s="3" t="s">
        <v>61</v>
      </c>
      <c r="E2229" s="6">
        <v>0.42569444444444443</v>
      </c>
      <c r="F2229" s="6">
        <v>0.69861111111111107</v>
      </c>
      <c r="G2229" s="3" t="s">
        <v>13</v>
      </c>
      <c r="H2229" s="3" t="s">
        <v>14</v>
      </c>
      <c r="I2229" s="3" t="s">
        <v>21</v>
      </c>
    </row>
    <row r="2230" spans="1:9" s="3" customFormat="1" x14ac:dyDescent="0.3">
      <c r="A2230" s="3" t="s">
        <v>119</v>
      </c>
      <c r="B2230" s="3" t="s">
        <v>120</v>
      </c>
      <c r="C2230" s="3" t="s">
        <v>11</v>
      </c>
      <c r="D2230" s="3" t="s">
        <v>218</v>
      </c>
      <c r="E2230" s="6">
        <v>0.34513888888888888</v>
      </c>
      <c r="F2230" s="6">
        <v>0.73958333333333337</v>
      </c>
      <c r="G2230" s="3" t="s">
        <v>20</v>
      </c>
      <c r="H2230" s="3" t="s">
        <v>14</v>
      </c>
      <c r="I2230" s="3" t="s">
        <v>15</v>
      </c>
    </row>
    <row r="2231" spans="1:9" s="3" customFormat="1" x14ac:dyDescent="0.3">
      <c r="A2231" s="3" t="s">
        <v>109</v>
      </c>
      <c r="B2231" s="3" t="s">
        <v>110</v>
      </c>
      <c r="C2231" s="3" t="s">
        <v>18</v>
      </c>
      <c r="D2231" s="3" t="s">
        <v>331</v>
      </c>
      <c r="E2231" s="6">
        <v>0.4513888888888889</v>
      </c>
      <c r="F2231" s="6">
        <v>0.80972222222222223</v>
      </c>
      <c r="G2231" s="3" t="s">
        <v>13</v>
      </c>
      <c r="H2231" s="3" t="s">
        <v>27</v>
      </c>
      <c r="I2231" s="3" t="s">
        <v>15</v>
      </c>
    </row>
    <row r="2232" spans="1:9" s="3" customFormat="1" x14ac:dyDescent="0.3">
      <c r="A2232" s="3" t="s">
        <v>200</v>
      </c>
      <c r="B2232" s="3" t="s">
        <v>201</v>
      </c>
      <c r="C2232" s="3" t="s">
        <v>42</v>
      </c>
      <c r="D2232" s="3" t="s">
        <v>401</v>
      </c>
      <c r="E2232" s="6">
        <v>0.47291666666666665</v>
      </c>
      <c r="F2232" s="6">
        <v>0.68125000000000002</v>
      </c>
      <c r="G2232" s="3" t="s">
        <v>20</v>
      </c>
      <c r="H2232" s="3" t="s">
        <v>27</v>
      </c>
      <c r="I2232" s="3" t="s">
        <v>21</v>
      </c>
    </row>
    <row r="2233" spans="1:9" s="3" customFormat="1" x14ac:dyDescent="0.3">
      <c r="A2233" s="3" t="s">
        <v>102</v>
      </c>
      <c r="B2233" s="3" t="s">
        <v>103</v>
      </c>
      <c r="C2233" s="3" t="s">
        <v>64</v>
      </c>
      <c r="D2233" s="3" t="s">
        <v>98</v>
      </c>
      <c r="E2233" s="6"/>
      <c r="F2233" s="6"/>
      <c r="G2233" s="3" t="s">
        <v>44</v>
      </c>
      <c r="H2233" s="3" t="s">
        <v>14</v>
      </c>
      <c r="I2233" s="3" t="s">
        <v>15</v>
      </c>
    </row>
    <row r="2234" spans="1:9" s="3" customFormat="1" x14ac:dyDescent="0.3">
      <c r="A2234" s="3" t="s">
        <v>72</v>
      </c>
      <c r="B2234" s="3" t="s">
        <v>73</v>
      </c>
      <c r="C2234" s="3" t="s">
        <v>60</v>
      </c>
      <c r="D2234" s="3" t="s">
        <v>159</v>
      </c>
      <c r="E2234" s="6">
        <v>0.49652777777777779</v>
      </c>
      <c r="F2234" s="6">
        <v>0.74375000000000002</v>
      </c>
      <c r="G2234" s="3" t="s">
        <v>20</v>
      </c>
      <c r="H2234" s="3" t="s">
        <v>27</v>
      </c>
      <c r="I2234" s="3" t="s">
        <v>15</v>
      </c>
    </row>
    <row r="2235" spans="1:9" s="3" customFormat="1" x14ac:dyDescent="0.3">
      <c r="A2235" s="3" t="s">
        <v>78</v>
      </c>
      <c r="B2235" s="3" t="s">
        <v>79</v>
      </c>
      <c r="C2235" s="3" t="s">
        <v>42</v>
      </c>
      <c r="D2235" s="3" t="s">
        <v>177</v>
      </c>
      <c r="E2235" s="6">
        <v>0.43402777777777779</v>
      </c>
      <c r="F2235" s="6">
        <v>0.75902777777777775</v>
      </c>
      <c r="G2235" s="3" t="s">
        <v>26</v>
      </c>
      <c r="H2235" s="3" t="s">
        <v>27</v>
      </c>
      <c r="I2235" s="3" t="s">
        <v>21</v>
      </c>
    </row>
    <row r="2236" spans="1:9" s="3" customFormat="1" x14ac:dyDescent="0.3">
      <c r="A2236" s="3" t="s">
        <v>28</v>
      </c>
      <c r="B2236" s="3" t="s">
        <v>29</v>
      </c>
      <c r="C2236" s="3" t="s">
        <v>42</v>
      </c>
      <c r="D2236" s="3" t="s">
        <v>288</v>
      </c>
      <c r="E2236" s="6">
        <v>0.44166666666666665</v>
      </c>
      <c r="F2236" s="6">
        <v>0.80694444444444446</v>
      </c>
      <c r="G2236" s="3" t="s">
        <v>13</v>
      </c>
      <c r="H2236" s="3" t="s">
        <v>27</v>
      </c>
      <c r="I2236" s="3" t="s">
        <v>15</v>
      </c>
    </row>
    <row r="2237" spans="1:9" s="3" customFormat="1" x14ac:dyDescent="0.3">
      <c r="A2237" s="3" t="s">
        <v>157</v>
      </c>
      <c r="B2237" s="3" t="s">
        <v>158</v>
      </c>
      <c r="C2237" s="3" t="s">
        <v>64</v>
      </c>
      <c r="D2237" s="3" t="s">
        <v>413</v>
      </c>
      <c r="E2237" s="6">
        <v>0.43680555555555556</v>
      </c>
      <c r="F2237" s="6">
        <v>0.8305555555555556</v>
      </c>
      <c r="G2237" s="3" t="s">
        <v>13</v>
      </c>
      <c r="H2237" s="3" t="s">
        <v>14</v>
      </c>
      <c r="I2237" s="3" t="s">
        <v>21</v>
      </c>
    </row>
    <row r="2238" spans="1:9" s="3" customFormat="1" x14ac:dyDescent="0.3">
      <c r="A2238" s="3" t="s">
        <v>72</v>
      </c>
      <c r="B2238" s="3" t="s">
        <v>73</v>
      </c>
      <c r="C2238" s="3" t="s">
        <v>42</v>
      </c>
      <c r="D2238" s="3" t="s">
        <v>297</v>
      </c>
      <c r="E2238" s="6">
        <v>0.48749999999999999</v>
      </c>
      <c r="F2238" s="6">
        <v>0.74513888888888891</v>
      </c>
      <c r="G2238" s="3" t="s">
        <v>13</v>
      </c>
      <c r="H2238" s="3" t="s">
        <v>27</v>
      </c>
      <c r="I2238" s="3" t="s">
        <v>15</v>
      </c>
    </row>
    <row r="2239" spans="1:9" s="3" customFormat="1" x14ac:dyDescent="0.3">
      <c r="A2239" s="3" t="s">
        <v>9</v>
      </c>
      <c r="B2239" s="3" t="s">
        <v>10</v>
      </c>
      <c r="C2239" s="3" t="s">
        <v>64</v>
      </c>
      <c r="D2239" s="3" t="s">
        <v>111</v>
      </c>
      <c r="E2239" s="6">
        <v>0.42499999999999999</v>
      </c>
      <c r="F2239" s="6">
        <v>0.72986111111111107</v>
      </c>
      <c r="G2239" s="3" t="s">
        <v>26</v>
      </c>
      <c r="H2239" s="3" t="s">
        <v>14</v>
      </c>
      <c r="I2239" s="3" t="s">
        <v>15</v>
      </c>
    </row>
    <row r="2240" spans="1:9" s="3" customFormat="1" x14ac:dyDescent="0.3">
      <c r="A2240" s="3" t="s">
        <v>213</v>
      </c>
      <c r="B2240" s="3" t="s">
        <v>214</v>
      </c>
      <c r="C2240" s="3" t="s">
        <v>42</v>
      </c>
      <c r="D2240" s="3" t="s">
        <v>403</v>
      </c>
      <c r="E2240" s="6">
        <v>0.35694444444444445</v>
      </c>
      <c r="F2240" s="6">
        <v>0.76875000000000004</v>
      </c>
      <c r="G2240" s="3" t="s">
        <v>20</v>
      </c>
      <c r="H2240" s="3" t="s">
        <v>14</v>
      </c>
      <c r="I2240" s="3" t="s">
        <v>21</v>
      </c>
    </row>
    <row r="2241" spans="1:9" s="3" customFormat="1" x14ac:dyDescent="0.3">
      <c r="A2241" s="3" t="s">
        <v>66</v>
      </c>
      <c r="B2241" s="3" t="s">
        <v>67</v>
      </c>
      <c r="C2241" s="3" t="s">
        <v>24</v>
      </c>
      <c r="D2241" s="3" t="s">
        <v>290</v>
      </c>
      <c r="E2241" s="6">
        <v>0.35138888888888886</v>
      </c>
      <c r="F2241" s="6">
        <v>0.67847222222222225</v>
      </c>
      <c r="G2241" s="3" t="s">
        <v>20</v>
      </c>
      <c r="H2241" s="3" t="s">
        <v>27</v>
      </c>
      <c r="I2241" s="3" t="s">
        <v>21</v>
      </c>
    </row>
    <row r="2242" spans="1:9" s="3" customFormat="1" x14ac:dyDescent="0.3">
      <c r="A2242" s="3" t="s">
        <v>37</v>
      </c>
      <c r="B2242" s="3" t="s">
        <v>38</v>
      </c>
      <c r="C2242" s="3" t="s">
        <v>60</v>
      </c>
      <c r="D2242" s="3" t="s">
        <v>101</v>
      </c>
      <c r="E2242" s="6">
        <v>0.49513888888888891</v>
      </c>
      <c r="F2242" s="6">
        <v>0.81944444444444442</v>
      </c>
      <c r="G2242" s="3" t="s">
        <v>13</v>
      </c>
      <c r="H2242" s="3" t="s">
        <v>27</v>
      </c>
      <c r="I2242" s="3" t="s">
        <v>21</v>
      </c>
    </row>
    <row r="2243" spans="1:9" s="3" customFormat="1" x14ac:dyDescent="0.3">
      <c r="A2243" s="3" t="s">
        <v>191</v>
      </c>
      <c r="B2243" s="3" t="s">
        <v>192</v>
      </c>
      <c r="C2243" s="3" t="s">
        <v>42</v>
      </c>
      <c r="D2243" s="3" t="s">
        <v>323</v>
      </c>
      <c r="E2243" s="6"/>
      <c r="F2243" s="6"/>
      <c r="G2243" s="3" t="s">
        <v>51</v>
      </c>
      <c r="H2243" s="3" t="s">
        <v>14</v>
      </c>
      <c r="I2243" s="3" t="s">
        <v>15</v>
      </c>
    </row>
    <row r="2244" spans="1:9" s="3" customFormat="1" x14ac:dyDescent="0.3">
      <c r="A2244" s="3" t="s">
        <v>28</v>
      </c>
      <c r="B2244" s="3" t="s">
        <v>29</v>
      </c>
      <c r="C2244" s="3" t="s">
        <v>60</v>
      </c>
      <c r="D2244" s="3" t="s">
        <v>347</v>
      </c>
      <c r="E2244" s="6">
        <v>0.39305555555555555</v>
      </c>
      <c r="F2244" s="6">
        <v>0.81041666666666667</v>
      </c>
      <c r="G2244" s="3" t="s">
        <v>13</v>
      </c>
      <c r="H2244" s="3" t="s">
        <v>14</v>
      </c>
      <c r="I2244" s="3" t="s">
        <v>21</v>
      </c>
    </row>
    <row r="2245" spans="1:9" s="3" customFormat="1" x14ac:dyDescent="0.3">
      <c r="A2245" s="3" t="s">
        <v>52</v>
      </c>
      <c r="B2245" s="3" t="s">
        <v>53</v>
      </c>
      <c r="C2245" s="3" t="s">
        <v>42</v>
      </c>
      <c r="D2245" s="3" t="s">
        <v>331</v>
      </c>
      <c r="E2245" s="6">
        <v>0.35208333333333336</v>
      </c>
      <c r="F2245" s="6">
        <v>0.7006944444444444</v>
      </c>
      <c r="G2245" s="3" t="s">
        <v>20</v>
      </c>
      <c r="H2245" s="3" t="s">
        <v>14</v>
      </c>
      <c r="I2245" s="3" t="s">
        <v>15</v>
      </c>
    </row>
    <row r="2246" spans="1:9" s="3" customFormat="1" x14ac:dyDescent="0.3">
      <c r="A2246" s="3" t="s">
        <v>40</v>
      </c>
      <c r="B2246" s="3" t="s">
        <v>41</v>
      </c>
      <c r="C2246" s="3" t="s">
        <v>64</v>
      </c>
      <c r="D2246" s="3" t="s">
        <v>267</v>
      </c>
      <c r="E2246" s="6">
        <v>0.34930555555555554</v>
      </c>
      <c r="F2246" s="6">
        <v>0.70277777777777772</v>
      </c>
      <c r="G2246" s="3" t="s">
        <v>20</v>
      </c>
      <c r="H2246" s="3" t="s">
        <v>27</v>
      </c>
      <c r="I2246" s="3" t="s">
        <v>21</v>
      </c>
    </row>
    <row r="2247" spans="1:9" s="3" customFormat="1" x14ac:dyDescent="0.3">
      <c r="A2247" s="3" t="s">
        <v>34</v>
      </c>
      <c r="B2247" s="3" t="s">
        <v>35</v>
      </c>
      <c r="C2247" s="3" t="s">
        <v>42</v>
      </c>
      <c r="D2247" s="3" t="s">
        <v>355</v>
      </c>
      <c r="E2247" s="6">
        <v>0.48055555555555557</v>
      </c>
      <c r="F2247" s="6">
        <v>0.82916666666666672</v>
      </c>
      <c r="G2247" s="3" t="s">
        <v>20</v>
      </c>
      <c r="H2247" s="3" t="s">
        <v>27</v>
      </c>
      <c r="I2247" s="3" t="s">
        <v>21</v>
      </c>
    </row>
    <row r="2248" spans="1:9" s="3" customFormat="1" x14ac:dyDescent="0.3">
      <c r="A2248" s="3" t="s">
        <v>99</v>
      </c>
      <c r="B2248" s="3" t="s">
        <v>100</v>
      </c>
      <c r="C2248" s="3" t="s">
        <v>18</v>
      </c>
      <c r="D2248" s="3" t="s">
        <v>83</v>
      </c>
      <c r="E2248" s="6"/>
      <c r="F2248" s="6"/>
      <c r="G2248" s="3" t="s">
        <v>44</v>
      </c>
      <c r="H2248" s="3" t="s">
        <v>27</v>
      </c>
      <c r="I2248" s="3" t="s">
        <v>21</v>
      </c>
    </row>
    <row r="2249" spans="1:9" s="3" customFormat="1" x14ac:dyDescent="0.3">
      <c r="A2249" s="3" t="s">
        <v>191</v>
      </c>
      <c r="B2249" s="3" t="s">
        <v>192</v>
      </c>
      <c r="C2249" s="3" t="s">
        <v>60</v>
      </c>
      <c r="D2249" s="3" t="s">
        <v>77</v>
      </c>
      <c r="E2249" s="6">
        <v>0.34097222222222223</v>
      </c>
      <c r="F2249" s="6">
        <v>0.72222222222222221</v>
      </c>
      <c r="G2249" s="3" t="s">
        <v>20</v>
      </c>
      <c r="H2249" s="3" t="s">
        <v>14</v>
      </c>
      <c r="I2249" s="3" t="s">
        <v>15</v>
      </c>
    </row>
    <row r="2250" spans="1:9" s="3" customFormat="1" x14ac:dyDescent="0.3">
      <c r="A2250" s="3" t="s">
        <v>216</v>
      </c>
      <c r="B2250" s="3" t="s">
        <v>217</v>
      </c>
      <c r="C2250" s="3" t="s">
        <v>18</v>
      </c>
      <c r="D2250" s="3" t="s">
        <v>364</v>
      </c>
      <c r="E2250" s="6"/>
      <c r="F2250" s="6"/>
      <c r="G2250" s="3" t="s">
        <v>44</v>
      </c>
      <c r="H2250" s="3" t="s">
        <v>27</v>
      </c>
      <c r="I2250" s="3" t="s">
        <v>21</v>
      </c>
    </row>
    <row r="2251" spans="1:9" s="3" customFormat="1" x14ac:dyDescent="0.3">
      <c r="A2251" s="3" t="s">
        <v>224</v>
      </c>
      <c r="B2251" s="3" t="s">
        <v>225</v>
      </c>
      <c r="C2251" s="3" t="s">
        <v>64</v>
      </c>
      <c r="D2251" s="3" t="s">
        <v>61</v>
      </c>
      <c r="E2251" s="6">
        <v>0.44027777777777777</v>
      </c>
      <c r="F2251" s="6">
        <v>0.69444444444444442</v>
      </c>
      <c r="G2251" s="3" t="s">
        <v>26</v>
      </c>
      <c r="H2251" s="3" t="s">
        <v>27</v>
      </c>
      <c r="I2251" s="3" t="s">
        <v>21</v>
      </c>
    </row>
    <row r="2252" spans="1:9" s="3" customFormat="1" x14ac:dyDescent="0.3">
      <c r="A2252" s="3" t="s">
        <v>130</v>
      </c>
      <c r="B2252" s="3" t="s">
        <v>131</v>
      </c>
      <c r="C2252" s="3" t="s">
        <v>60</v>
      </c>
      <c r="D2252" s="3" t="s">
        <v>140</v>
      </c>
      <c r="E2252" s="6">
        <v>0.34513888888888888</v>
      </c>
      <c r="F2252" s="6">
        <v>0.66666666666666663</v>
      </c>
      <c r="G2252" s="3" t="s">
        <v>20</v>
      </c>
      <c r="H2252" s="3" t="s">
        <v>27</v>
      </c>
      <c r="I2252" s="3" t="s">
        <v>21</v>
      </c>
    </row>
    <row r="2253" spans="1:9" s="3" customFormat="1" x14ac:dyDescent="0.3">
      <c r="A2253" s="3" t="s">
        <v>250</v>
      </c>
      <c r="B2253" s="3" t="s">
        <v>251</v>
      </c>
      <c r="C2253" s="3" t="s">
        <v>143</v>
      </c>
      <c r="D2253" s="3" t="s">
        <v>74</v>
      </c>
      <c r="E2253" s="6">
        <v>0.42222222222222222</v>
      </c>
      <c r="F2253" s="6">
        <v>0.72569444444444442</v>
      </c>
      <c r="G2253" s="3" t="s">
        <v>13</v>
      </c>
      <c r="H2253" s="3" t="s">
        <v>27</v>
      </c>
      <c r="I2253" s="3" t="s">
        <v>21</v>
      </c>
    </row>
    <row r="2254" spans="1:9" s="3" customFormat="1" x14ac:dyDescent="0.3">
      <c r="A2254" s="3" t="s">
        <v>34</v>
      </c>
      <c r="B2254" s="3" t="s">
        <v>35</v>
      </c>
      <c r="C2254" s="3" t="s">
        <v>42</v>
      </c>
      <c r="D2254" s="3" t="s">
        <v>264</v>
      </c>
      <c r="E2254" s="6">
        <v>0.44027777777777777</v>
      </c>
      <c r="F2254" s="6">
        <v>0.74513888888888891</v>
      </c>
      <c r="G2254" s="3" t="s">
        <v>13</v>
      </c>
      <c r="H2254" s="3" t="s">
        <v>27</v>
      </c>
      <c r="I2254" s="3" t="s">
        <v>15</v>
      </c>
    </row>
    <row r="2255" spans="1:9" s="3" customFormat="1" x14ac:dyDescent="0.3">
      <c r="A2255" s="3" t="s">
        <v>66</v>
      </c>
      <c r="B2255" s="3" t="s">
        <v>67</v>
      </c>
      <c r="C2255" s="3" t="s">
        <v>60</v>
      </c>
      <c r="D2255" s="3" t="s">
        <v>349</v>
      </c>
      <c r="E2255" s="6"/>
      <c r="F2255" s="6"/>
      <c r="G2255" s="3" t="s">
        <v>44</v>
      </c>
      <c r="H2255" s="3" t="s">
        <v>14</v>
      </c>
      <c r="I2255" s="3" t="s">
        <v>15</v>
      </c>
    </row>
    <row r="2256" spans="1:9" s="3" customFormat="1" x14ac:dyDescent="0.3">
      <c r="A2256" s="3" t="s">
        <v>16</v>
      </c>
      <c r="B2256" s="3" t="s">
        <v>17</v>
      </c>
      <c r="C2256" s="3" t="s">
        <v>64</v>
      </c>
      <c r="D2256" s="3" t="s">
        <v>366</v>
      </c>
      <c r="E2256" s="6">
        <v>0.35138888888888886</v>
      </c>
      <c r="F2256" s="6">
        <v>0.69374999999999998</v>
      </c>
      <c r="G2256" s="3" t="s">
        <v>26</v>
      </c>
      <c r="H2256" s="3" t="s">
        <v>27</v>
      </c>
      <c r="I2256" s="3" t="s">
        <v>21</v>
      </c>
    </row>
    <row r="2257" spans="1:9" s="3" customFormat="1" x14ac:dyDescent="0.3">
      <c r="A2257" s="3" t="s">
        <v>197</v>
      </c>
      <c r="B2257" s="3" t="s">
        <v>198</v>
      </c>
      <c r="C2257" s="3" t="s">
        <v>42</v>
      </c>
      <c r="D2257" s="3" t="s">
        <v>278</v>
      </c>
      <c r="E2257" s="6">
        <v>0.47291666666666665</v>
      </c>
      <c r="F2257" s="6">
        <v>0.77222222222222225</v>
      </c>
      <c r="G2257" s="3" t="s">
        <v>20</v>
      </c>
      <c r="H2257" s="3" t="s">
        <v>14</v>
      </c>
      <c r="I2257" s="3" t="s">
        <v>21</v>
      </c>
    </row>
    <row r="2258" spans="1:9" s="3" customFormat="1" x14ac:dyDescent="0.3">
      <c r="A2258" s="3" t="s">
        <v>291</v>
      </c>
      <c r="B2258" s="3" t="s">
        <v>292</v>
      </c>
      <c r="C2258" s="3" t="s">
        <v>64</v>
      </c>
      <c r="D2258" s="3" t="s">
        <v>419</v>
      </c>
      <c r="E2258" s="6">
        <v>0.43263888888888891</v>
      </c>
      <c r="F2258" s="6">
        <v>0.80833333333333335</v>
      </c>
      <c r="G2258" s="3" t="s">
        <v>13</v>
      </c>
      <c r="H2258" s="3" t="s">
        <v>14</v>
      </c>
      <c r="I2258" s="3" t="s">
        <v>15</v>
      </c>
    </row>
    <row r="2259" spans="1:9" s="3" customFormat="1" x14ac:dyDescent="0.3">
      <c r="A2259" s="3" t="s">
        <v>9</v>
      </c>
      <c r="B2259" s="3" t="s">
        <v>10</v>
      </c>
      <c r="C2259" s="3" t="s">
        <v>64</v>
      </c>
      <c r="D2259" s="3" t="s">
        <v>39</v>
      </c>
      <c r="E2259" s="6">
        <v>0.33541666666666664</v>
      </c>
      <c r="F2259" s="6">
        <v>0.76041666666666663</v>
      </c>
      <c r="G2259" s="3" t="s">
        <v>20</v>
      </c>
      <c r="H2259" s="3" t="s">
        <v>14</v>
      </c>
      <c r="I2259" s="3" t="s">
        <v>21</v>
      </c>
    </row>
    <row r="2260" spans="1:9" s="3" customFormat="1" x14ac:dyDescent="0.3">
      <c r="A2260" s="3" t="s">
        <v>72</v>
      </c>
      <c r="B2260" s="3" t="s">
        <v>73</v>
      </c>
      <c r="C2260" s="3" t="s">
        <v>42</v>
      </c>
      <c r="D2260" s="3" t="s">
        <v>319</v>
      </c>
      <c r="E2260" s="6">
        <v>0.39861111111111114</v>
      </c>
      <c r="F2260" s="6">
        <v>0.82013888888888886</v>
      </c>
      <c r="G2260" s="3" t="s">
        <v>13</v>
      </c>
      <c r="H2260" s="3" t="s">
        <v>27</v>
      </c>
      <c r="I2260" s="3" t="s">
        <v>21</v>
      </c>
    </row>
    <row r="2261" spans="1:9" s="3" customFormat="1" x14ac:dyDescent="0.3">
      <c r="A2261" s="3" t="s">
        <v>16</v>
      </c>
      <c r="B2261" s="3" t="s">
        <v>17</v>
      </c>
      <c r="C2261" s="3" t="s">
        <v>64</v>
      </c>
      <c r="D2261" s="3" t="s">
        <v>309</v>
      </c>
      <c r="E2261" s="6"/>
      <c r="F2261" s="6"/>
      <c r="G2261" s="3" t="s">
        <v>44</v>
      </c>
      <c r="H2261" s="3" t="s">
        <v>14</v>
      </c>
      <c r="I2261" s="3" t="s">
        <v>15</v>
      </c>
    </row>
    <row r="2262" spans="1:9" s="3" customFormat="1" x14ac:dyDescent="0.3">
      <c r="A2262" s="3" t="s">
        <v>150</v>
      </c>
      <c r="B2262" s="3" t="s">
        <v>151</v>
      </c>
      <c r="C2262" s="3" t="s">
        <v>24</v>
      </c>
      <c r="D2262" s="3" t="s">
        <v>275</v>
      </c>
      <c r="E2262" s="6"/>
      <c r="F2262" s="6"/>
      <c r="G2262" s="3" t="s">
        <v>44</v>
      </c>
      <c r="H2262" s="3" t="s">
        <v>14</v>
      </c>
      <c r="I2262" s="3" t="s">
        <v>15</v>
      </c>
    </row>
    <row r="2263" spans="1:9" s="3" customFormat="1" x14ac:dyDescent="0.3">
      <c r="A2263" s="3" t="s">
        <v>115</v>
      </c>
      <c r="B2263" s="3" t="s">
        <v>116</v>
      </c>
      <c r="C2263" s="3" t="s">
        <v>24</v>
      </c>
      <c r="D2263" s="3" t="s">
        <v>148</v>
      </c>
      <c r="E2263" s="6">
        <v>0.45694444444444443</v>
      </c>
      <c r="F2263" s="6">
        <v>0.84236111111111112</v>
      </c>
      <c r="G2263" s="3" t="s">
        <v>26</v>
      </c>
      <c r="H2263" s="3" t="s">
        <v>27</v>
      </c>
      <c r="I2263" s="3" t="s">
        <v>15</v>
      </c>
    </row>
    <row r="2264" spans="1:9" s="3" customFormat="1" x14ac:dyDescent="0.3">
      <c r="A2264" s="3" t="s">
        <v>171</v>
      </c>
      <c r="B2264" s="3" t="s">
        <v>172</v>
      </c>
      <c r="C2264" s="3" t="s">
        <v>64</v>
      </c>
      <c r="D2264" s="3" t="s">
        <v>322</v>
      </c>
      <c r="E2264" s="6">
        <v>0.45833333333333331</v>
      </c>
      <c r="F2264" s="6">
        <v>0.7368055555555556</v>
      </c>
      <c r="G2264" s="3" t="s">
        <v>26</v>
      </c>
      <c r="H2264" s="3" t="s">
        <v>27</v>
      </c>
      <c r="I2264" s="3" t="s">
        <v>21</v>
      </c>
    </row>
    <row r="2265" spans="1:9" s="3" customFormat="1" x14ac:dyDescent="0.3">
      <c r="A2265" s="3" t="s">
        <v>338</v>
      </c>
      <c r="B2265" s="3" t="s">
        <v>339</v>
      </c>
      <c r="C2265" s="3" t="s">
        <v>24</v>
      </c>
      <c r="D2265" s="3" t="s">
        <v>294</v>
      </c>
      <c r="E2265" s="6">
        <v>0.46250000000000002</v>
      </c>
      <c r="F2265" s="6">
        <v>0.83472222222222225</v>
      </c>
      <c r="G2265" s="3" t="s">
        <v>20</v>
      </c>
      <c r="H2265" s="3" t="s">
        <v>27</v>
      </c>
      <c r="I2265" s="3" t="s">
        <v>21</v>
      </c>
    </row>
    <row r="2266" spans="1:9" s="3" customFormat="1" x14ac:dyDescent="0.3">
      <c r="A2266" s="3" t="s">
        <v>109</v>
      </c>
      <c r="B2266" s="3" t="s">
        <v>110</v>
      </c>
      <c r="C2266" s="3" t="s">
        <v>18</v>
      </c>
      <c r="D2266" s="3" t="s">
        <v>329</v>
      </c>
      <c r="E2266" s="6">
        <v>0.44861111111111113</v>
      </c>
      <c r="F2266" s="6">
        <v>0.73055555555555551</v>
      </c>
      <c r="G2266" s="3" t="s">
        <v>20</v>
      </c>
      <c r="H2266" s="3" t="s">
        <v>14</v>
      </c>
      <c r="I2266" s="3" t="s">
        <v>21</v>
      </c>
    </row>
    <row r="2267" spans="1:9" s="3" customFormat="1" x14ac:dyDescent="0.3">
      <c r="A2267" s="3" t="s">
        <v>84</v>
      </c>
      <c r="B2267" s="3" t="s">
        <v>85</v>
      </c>
      <c r="C2267" s="3" t="s">
        <v>18</v>
      </c>
      <c r="D2267" s="3" t="s">
        <v>421</v>
      </c>
      <c r="E2267" s="6"/>
      <c r="F2267" s="6"/>
      <c r="G2267" s="3" t="s">
        <v>44</v>
      </c>
      <c r="H2267" s="3" t="s">
        <v>27</v>
      </c>
      <c r="I2267" s="3" t="s">
        <v>15</v>
      </c>
    </row>
    <row r="2268" spans="1:9" s="3" customFormat="1" x14ac:dyDescent="0.3">
      <c r="A2268" s="3" t="s">
        <v>78</v>
      </c>
      <c r="B2268" s="3" t="s">
        <v>79</v>
      </c>
      <c r="C2268" s="3" t="s">
        <v>64</v>
      </c>
      <c r="D2268" s="3" t="s">
        <v>104</v>
      </c>
      <c r="E2268" s="6"/>
      <c r="F2268" s="6"/>
      <c r="G2268" s="3" t="s">
        <v>44</v>
      </c>
      <c r="H2268" s="3" t="s">
        <v>27</v>
      </c>
      <c r="I2268" s="3" t="s">
        <v>21</v>
      </c>
    </row>
    <row r="2269" spans="1:9" s="3" customFormat="1" x14ac:dyDescent="0.3">
      <c r="A2269" s="3" t="s">
        <v>40</v>
      </c>
      <c r="B2269" s="3" t="s">
        <v>41</v>
      </c>
      <c r="C2269" s="3" t="s">
        <v>64</v>
      </c>
      <c r="D2269" s="3" t="s">
        <v>351</v>
      </c>
      <c r="E2269" s="6">
        <v>0.44791666666666669</v>
      </c>
      <c r="F2269" s="6">
        <v>0.8125</v>
      </c>
      <c r="G2269" s="3" t="s">
        <v>149</v>
      </c>
      <c r="H2269" s="3" t="s">
        <v>14</v>
      </c>
      <c r="I2269" s="3" t="s">
        <v>21</v>
      </c>
    </row>
    <row r="2270" spans="1:9" s="3" customFormat="1" x14ac:dyDescent="0.3">
      <c r="A2270" s="3" t="s">
        <v>81</v>
      </c>
      <c r="B2270" s="3" t="s">
        <v>82</v>
      </c>
      <c r="C2270" s="3" t="s">
        <v>60</v>
      </c>
      <c r="D2270" s="3" t="s">
        <v>310</v>
      </c>
      <c r="E2270" s="6">
        <v>0.48819444444444443</v>
      </c>
      <c r="F2270" s="6">
        <v>0.76041666666666663</v>
      </c>
      <c r="G2270" s="3" t="s">
        <v>26</v>
      </c>
      <c r="H2270" s="3" t="s">
        <v>14</v>
      </c>
      <c r="I2270" s="3" t="s">
        <v>21</v>
      </c>
    </row>
    <row r="2271" spans="1:9" s="3" customFormat="1" x14ac:dyDescent="0.3">
      <c r="A2271" s="3" t="s">
        <v>34</v>
      </c>
      <c r="B2271" s="3" t="s">
        <v>35</v>
      </c>
      <c r="C2271" s="3" t="s">
        <v>60</v>
      </c>
      <c r="D2271" s="3" t="s">
        <v>419</v>
      </c>
      <c r="E2271" s="6">
        <v>0.4236111111111111</v>
      </c>
      <c r="F2271" s="6">
        <v>0.85138888888888886</v>
      </c>
      <c r="G2271" s="3" t="s">
        <v>13</v>
      </c>
      <c r="H2271" s="3" t="s">
        <v>27</v>
      </c>
      <c r="I2271" s="3" t="s">
        <v>15</v>
      </c>
    </row>
    <row r="2272" spans="1:9" s="3" customFormat="1" x14ac:dyDescent="0.3">
      <c r="A2272" s="3" t="s">
        <v>22</v>
      </c>
      <c r="B2272" s="3" t="s">
        <v>23</v>
      </c>
      <c r="C2272" s="3" t="s">
        <v>64</v>
      </c>
      <c r="D2272" s="3" t="s">
        <v>209</v>
      </c>
      <c r="E2272" s="6"/>
      <c r="F2272" s="6"/>
      <c r="G2272" s="3" t="s">
        <v>44</v>
      </c>
      <c r="H2272" s="3" t="s">
        <v>27</v>
      </c>
      <c r="I2272" s="3" t="s">
        <v>21</v>
      </c>
    </row>
    <row r="2273" spans="1:9" s="3" customFormat="1" x14ac:dyDescent="0.3">
      <c r="A2273" s="3" t="s">
        <v>338</v>
      </c>
      <c r="B2273" s="3" t="s">
        <v>339</v>
      </c>
      <c r="C2273" s="3" t="s">
        <v>42</v>
      </c>
      <c r="D2273" s="3" t="s">
        <v>89</v>
      </c>
      <c r="E2273" s="6">
        <v>0.49305555555555558</v>
      </c>
      <c r="F2273" s="6">
        <v>0.68194444444444446</v>
      </c>
      <c r="G2273" s="3" t="s">
        <v>13</v>
      </c>
      <c r="H2273" s="3" t="s">
        <v>27</v>
      </c>
      <c r="I2273" s="3" t="s">
        <v>15</v>
      </c>
    </row>
    <row r="2274" spans="1:9" s="3" customFormat="1" x14ac:dyDescent="0.3">
      <c r="A2274" s="3" t="s">
        <v>165</v>
      </c>
      <c r="B2274" s="3" t="s">
        <v>166</v>
      </c>
      <c r="C2274" s="3" t="s">
        <v>42</v>
      </c>
      <c r="D2274" s="3" t="s">
        <v>263</v>
      </c>
      <c r="E2274" s="6">
        <v>0.49166666666666664</v>
      </c>
      <c r="F2274" s="6">
        <v>0.79791666666666672</v>
      </c>
      <c r="G2274" s="3" t="s">
        <v>20</v>
      </c>
      <c r="H2274" s="3" t="s">
        <v>14</v>
      </c>
      <c r="I2274" s="3" t="s">
        <v>15</v>
      </c>
    </row>
    <row r="2275" spans="1:9" s="3" customFormat="1" x14ac:dyDescent="0.3">
      <c r="A2275" s="3" t="s">
        <v>66</v>
      </c>
      <c r="B2275" s="3" t="s">
        <v>67</v>
      </c>
      <c r="C2275" s="3" t="s">
        <v>24</v>
      </c>
      <c r="D2275" s="3" t="s">
        <v>283</v>
      </c>
      <c r="E2275" s="6">
        <v>0.41041666666666665</v>
      </c>
      <c r="F2275" s="6">
        <v>0.72430555555555554</v>
      </c>
      <c r="G2275" s="3" t="s">
        <v>20</v>
      </c>
      <c r="H2275" s="3" t="s">
        <v>14</v>
      </c>
      <c r="I2275" s="3" t="s">
        <v>15</v>
      </c>
    </row>
    <row r="2276" spans="1:9" s="3" customFormat="1" x14ac:dyDescent="0.3">
      <c r="A2276" s="3" t="s">
        <v>204</v>
      </c>
      <c r="B2276" s="3" t="s">
        <v>205</v>
      </c>
      <c r="C2276" s="3" t="s">
        <v>60</v>
      </c>
      <c r="D2276" s="3" t="s">
        <v>148</v>
      </c>
      <c r="E2276" s="6">
        <v>0.49236111111111114</v>
      </c>
      <c r="F2276" s="6">
        <v>0.75277777777777777</v>
      </c>
      <c r="G2276" s="3" t="s">
        <v>13</v>
      </c>
      <c r="H2276" s="3" t="s">
        <v>27</v>
      </c>
      <c r="I2276" s="3" t="s">
        <v>15</v>
      </c>
    </row>
    <row r="2277" spans="1:9" s="3" customFormat="1" x14ac:dyDescent="0.3">
      <c r="A2277" s="3" t="s">
        <v>34</v>
      </c>
      <c r="B2277" s="3" t="s">
        <v>35</v>
      </c>
      <c r="C2277" s="3" t="s">
        <v>24</v>
      </c>
      <c r="D2277" s="3" t="s">
        <v>313</v>
      </c>
      <c r="E2277" s="6">
        <v>0.37847222222222221</v>
      </c>
      <c r="F2277" s="6">
        <v>0.72222222222222221</v>
      </c>
      <c r="G2277" s="3" t="s">
        <v>13</v>
      </c>
      <c r="H2277" s="3" t="s">
        <v>27</v>
      </c>
      <c r="I2277" s="3" t="s">
        <v>15</v>
      </c>
    </row>
    <row r="2278" spans="1:9" s="3" customFormat="1" x14ac:dyDescent="0.3">
      <c r="A2278" s="3" t="s">
        <v>204</v>
      </c>
      <c r="B2278" s="3" t="s">
        <v>205</v>
      </c>
      <c r="C2278" s="3" t="s">
        <v>24</v>
      </c>
      <c r="D2278" s="3" t="s">
        <v>361</v>
      </c>
      <c r="E2278" s="6">
        <v>0.37222222222222223</v>
      </c>
      <c r="F2278" s="6">
        <v>0.84236111111111112</v>
      </c>
      <c r="G2278" s="3" t="s">
        <v>125</v>
      </c>
      <c r="H2278" s="3" t="s">
        <v>27</v>
      </c>
      <c r="I2278" s="3" t="s">
        <v>15</v>
      </c>
    </row>
    <row r="2279" spans="1:9" s="3" customFormat="1" x14ac:dyDescent="0.3">
      <c r="A2279" s="3" t="s">
        <v>236</v>
      </c>
      <c r="B2279" s="3" t="s">
        <v>237</v>
      </c>
      <c r="C2279" s="3" t="s">
        <v>42</v>
      </c>
      <c r="D2279" s="3" t="s">
        <v>160</v>
      </c>
      <c r="E2279" s="6">
        <v>0.34861111111111109</v>
      </c>
      <c r="F2279" s="6">
        <v>0.8520833333333333</v>
      </c>
      <c r="G2279" s="3" t="s">
        <v>20</v>
      </c>
      <c r="H2279" s="3" t="s">
        <v>14</v>
      </c>
      <c r="I2279" s="3" t="s">
        <v>21</v>
      </c>
    </row>
    <row r="2280" spans="1:9" s="3" customFormat="1" x14ac:dyDescent="0.3">
      <c r="A2280" s="3" t="s">
        <v>171</v>
      </c>
      <c r="B2280" s="3" t="s">
        <v>172</v>
      </c>
      <c r="C2280" s="3" t="s">
        <v>64</v>
      </c>
      <c r="D2280" s="3" t="s">
        <v>351</v>
      </c>
      <c r="E2280" s="6">
        <v>0.47291666666666665</v>
      </c>
      <c r="F2280" s="6">
        <v>0.78263888888888888</v>
      </c>
      <c r="G2280" s="3" t="s">
        <v>26</v>
      </c>
      <c r="H2280" s="3" t="s">
        <v>14</v>
      </c>
      <c r="I2280" s="3" t="s">
        <v>21</v>
      </c>
    </row>
    <row r="2281" spans="1:9" s="3" customFormat="1" x14ac:dyDescent="0.3">
      <c r="A2281" s="3" t="s">
        <v>45</v>
      </c>
      <c r="B2281" s="3" t="s">
        <v>46</v>
      </c>
      <c r="C2281" s="3" t="s">
        <v>18</v>
      </c>
      <c r="D2281" s="3" t="s">
        <v>358</v>
      </c>
      <c r="E2281" s="6">
        <v>0.39513888888888887</v>
      </c>
      <c r="F2281" s="6">
        <v>0.79097222222222219</v>
      </c>
      <c r="G2281" s="3" t="s">
        <v>20</v>
      </c>
      <c r="H2281" s="3" t="s">
        <v>14</v>
      </c>
      <c r="I2281" s="3" t="s">
        <v>21</v>
      </c>
    </row>
    <row r="2282" spans="1:9" s="3" customFormat="1" x14ac:dyDescent="0.3">
      <c r="A2282" s="3" t="s">
        <v>187</v>
      </c>
      <c r="B2282" s="3" t="s">
        <v>188</v>
      </c>
      <c r="C2282" s="3" t="s">
        <v>60</v>
      </c>
      <c r="D2282" s="3" t="s">
        <v>294</v>
      </c>
      <c r="E2282" s="6"/>
      <c r="F2282" s="6"/>
      <c r="G2282" s="3" t="s">
        <v>44</v>
      </c>
      <c r="H2282" s="3" t="s">
        <v>27</v>
      </c>
      <c r="I2282" s="3" t="s">
        <v>21</v>
      </c>
    </row>
    <row r="2283" spans="1:9" s="3" customFormat="1" x14ac:dyDescent="0.3">
      <c r="A2283" s="3" t="s">
        <v>165</v>
      </c>
      <c r="B2283" s="3" t="s">
        <v>166</v>
      </c>
      <c r="C2283" s="3" t="s">
        <v>60</v>
      </c>
      <c r="D2283" s="3" t="s">
        <v>238</v>
      </c>
      <c r="E2283" s="6">
        <v>0.49652777777777779</v>
      </c>
      <c r="F2283" s="6">
        <v>0.75138888888888888</v>
      </c>
      <c r="G2283" s="3" t="s">
        <v>20</v>
      </c>
      <c r="H2283" s="3" t="s">
        <v>27</v>
      </c>
      <c r="I2283" s="3" t="s">
        <v>15</v>
      </c>
    </row>
    <row r="2284" spans="1:9" s="3" customFormat="1" x14ac:dyDescent="0.3">
      <c r="A2284" s="3" t="s">
        <v>175</v>
      </c>
      <c r="B2284" s="3" t="s">
        <v>176</v>
      </c>
      <c r="C2284" s="3" t="s">
        <v>64</v>
      </c>
      <c r="D2284" s="3" t="s">
        <v>305</v>
      </c>
      <c r="E2284" s="6">
        <v>0.46944444444444444</v>
      </c>
      <c r="F2284" s="6">
        <v>0.72777777777777775</v>
      </c>
      <c r="G2284" s="3" t="s">
        <v>13</v>
      </c>
      <c r="H2284" s="3" t="s">
        <v>27</v>
      </c>
      <c r="I2284" s="3" t="s">
        <v>15</v>
      </c>
    </row>
    <row r="2285" spans="1:9" s="3" customFormat="1" x14ac:dyDescent="0.3">
      <c r="A2285" s="3" t="s">
        <v>16</v>
      </c>
      <c r="B2285" s="3" t="s">
        <v>17</v>
      </c>
      <c r="C2285" s="3" t="s">
        <v>18</v>
      </c>
      <c r="D2285" s="3" t="s">
        <v>184</v>
      </c>
      <c r="E2285" s="6">
        <v>0.48402777777777778</v>
      </c>
      <c r="F2285" s="6">
        <v>0.67013888888888884</v>
      </c>
      <c r="G2285" s="3" t="s">
        <v>20</v>
      </c>
      <c r="H2285" s="3" t="s">
        <v>27</v>
      </c>
      <c r="I2285" s="3" t="s">
        <v>15</v>
      </c>
    </row>
    <row r="2286" spans="1:9" s="3" customFormat="1" x14ac:dyDescent="0.3">
      <c r="A2286" s="3" t="s">
        <v>362</v>
      </c>
      <c r="B2286" s="3" t="s">
        <v>363</v>
      </c>
      <c r="C2286" s="3" t="s">
        <v>64</v>
      </c>
      <c r="D2286" s="3" t="s">
        <v>370</v>
      </c>
      <c r="E2286" s="6">
        <v>0.47291666666666665</v>
      </c>
      <c r="F2286" s="6">
        <v>0.72569444444444442</v>
      </c>
      <c r="G2286" s="3" t="s">
        <v>13</v>
      </c>
      <c r="H2286" s="3" t="s">
        <v>27</v>
      </c>
      <c r="I2286" s="3" t="s">
        <v>21</v>
      </c>
    </row>
    <row r="2287" spans="1:9" s="3" customFormat="1" x14ac:dyDescent="0.3">
      <c r="A2287" s="3" t="s">
        <v>102</v>
      </c>
      <c r="B2287" s="3" t="s">
        <v>103</v>
      </c>
      <c r="C2287" s="3" t="s">
        <v>42</v>
      </c>
      <c r="D2287" s="3" t="s">
        <v>65</v>
      </c>
      <c r="E2287" s="6">
        <v>0.38611111111111113</v>
      </c>
      <c r="F2287" s="6">
        <v>0.7583333333333333</v>
      </c>
      <c r="G2287" s="3" t="s">
        <v>26</v>
      </c>
      <c r="H2287" s="3" t="s">
        <v>27</v>
      </c>
      <c r="I2287" s="3" t="s">
        <v>15</v>
      </c>
    </row>
    <row r="2288" spans="1:9" s="3" customFormat="1" x14ac:dyDescent="0.3">
      <c r="A2288" s="3" t="s">
        <v>213</v>
      </c>
      <c r="B2288" s="3" t="s">
        <v>214</v>
      </c>
      <c r="C2288" s="3" t="s">
        <v>64</v>
      </c>
      <c r="D2288" s="3" t="s">
        <v>209</v>
      </c>
      <c r="E2288" s="6">
        <v>0.48819444444444443</v>
      </c>
      <c r="F2288" s="6">
        <v>0.78263888888888888</v>
      </c>
      <c r="G2288" s="3" t="s">
        <v>26</v>
      </c>
      <c r="H2288" s="3" t="s">
        <v>14</v>
      </c>
      <c r="I2288" s="3" t="s">
        <v>15</v>
      </c>
    </row>
    <row r="2289" spans="1:9" s="3" customFormat="1" x14ac:dyDescent="0.3">
      <c r="A2289" s="3" t="s">
        <v>58</v>
      </c>
      <c r="B2289" s="3" t="s">
        <v>59</v>
      </c>
      <c r="C2289" s="3" t="s">
        <v>24</v>
      </c>
      <c r="D2289" s="3" t="s">
        <v>25</v>
      </c>
      <c r="E2289" s="6"/>
      <c r="F2289" s="6"/>
      <c r="G2289" s="3" t="s">
        <v>51</v>
      </c>
      <c r="H2289" s="3" t="s">
        <v>27</v>
      </c>
      <c r="I2289" s="3" t="s">
        <v>21</v>
      </c>
    </row>
    <row r="2290" spans="1:9" s="3" customFormat="1" x14ac:dyDescent="0.3">
      <c r="A2290" s="3" t="s">
        <v>102</v>
      </c>
      <c r="B2290" s="3" t="s">
        <v>103</v>
      </c>
      <c r="C2290" s="3" t="s">
        <v>60</v>
      </c>
      <c r="D2290" s="3" t="s">
        <v>330</v>
      </c>
      <c r="E2290" s="6">
        <v>0.41666666666666669</v>
      </c>
      <c r="F2290" s="6">
        <v>0.85833333333333328</v>
      </c>
      <c r="G2290" s="3" t="s">
        <v>26</v>
      </c>
      <c r="H2290" s="3" t="s">
        <v>27</v>
      </c>
      <c r="I2290" s="3" t="s">
        <v>15</v>
      </c>
    </row>
    <row r="2291" spans="1:9" s="3" customFormat="1" x14ac:dyDescent="0.3">
      <c r="A2291" s="3" t="s">
        <v>122</v>
      </c>
      <c r="B2291" s="3" t="s">
        <v>123</v>
      </c>
      <c r="C2291" s="3" t="s">
        <v>18</v>
      </c>
      <c r="D2291" s="3" t="s">
        <v>324</v>
      </c>
      <c r="E2291" s="6">
        <v>0.40694444444444444</v>
      </c>
      <c r="F2291" s="6">
        <v>0.69513888888888886</v>
      </c>
      <c r="G2291" s="3" t="s">
        <v>13</v>
      </c>
      <c r="H2291" s="3" t="s">
        <v>14</v>
      </c>
      <c r="I2291" s="3" t="s">
        <v>15</v>
      </c>
    </row>
    <row r="2292" spans="1:9" s="3" customFormat="1" x14ac:dyDescent="0.3">
      <c r="A2292" s="3" t="s">
        <v>58</v>
      </c>
      <c r="B2292" s="3" t="s">
        <v>59</v>
      </c>
      <c r="C2292" s="3" t="s">
        <v>60</v>
      </c>
      <c r="D2292" s="3" t="s">
        <v>226</v>
      </c>
      <c r="E2292" s="6">
        <v>0.33680555555555558</v>
      </c>
      <c r="F2292" s="6">
        <v>0.85833333333333328</v>
      </c>
      <c r="G2292" s="3" t="s">
        <v>26</v>
      </c>
      <c r="H2292" s="3" t="s">
        <v>14</v>
      </c>
      <c r="I2292" s="3" t="s">
        <v>15</v>
      </c>
    </row>
    <row r="2293" spans="1:9" s="3" customFormat="1" x14ac:dyDescent="0.3">
      <c r="A2293" s="3" t="s">
        <v>112</v>
      </c>
      <c r="B2293" s="3" t="s">
        <v>113</v>
      </c>
      <c r="C2293" s="3" t="s">
        <v>24</v>
      </c>
      <c r="D2293" s="3" t="s">
        <v>174</v>
      </c>
      <c r="E2293" s="6"/>
      <c r="F2293" s="6"/>
      <c r="G2293" s="3" t="s">
        <v>44</v>
      </c>
      <c r="H2293" s="3" t="s">
        <v>27</v>
      </c>
      <c r="I2293" s="3" t="s">
        <v>21</v>
      </c>
    </row>
    <row r="2294" spans="1:9" s="3" customFormat="1" x14ac:dyDescent="0.3">
      <c r="A2294" s="3" t="s">
        <v>141</v>
      </c>
      <c r="B2294" s="3" t="s">
        <v>142</v>
      </c>
      <c r="C2294" s="3" t="s">
        <v>60</v>
      </c>
      <c r="D2294" s="3" t="s">
        <v>402</v>
      </c>
      <c r="E2294" s="6">
        <v>0.4375</v>
      </c>
      <c r="F2294" s="6">
        <v>0.72361111111111109</v>
      </c>
      <c r="G2294" s="3" t="s">
        <v>13</v>
      </c>
      <c r="H2294" s="3" t="s">
        <v>27</v>
      </c>
      <c r="I2294" s="3" t="s">
        <v>21</v>
      </c>
    </row>
    <row r="2295" spans="1:9" s="3" customFormat="1" x14ac:dyDescent="0.3">
      <c r="A2295" s="3" t="s">
        <v>34</v>
      </c>
      <c r="B2295" s="3" t="s">
        <v>35</v>
      </c>
      <c r="C2295" s="3" t="s">
        <v>60</v>
      </c>
      <c r="D2295" s="3" t="s">
        <v>196</v>
      </c>
      <c r="E2295" s="6">
        <v>0.49513888888888891</v>
      </c>
      <c r="F2295" s="6">
        <v>0.84722222222222221</v>
      </c>
      <c r="G2295" s="3" t="s">
        <v>13</v>
      </c>
      <c r="H2295" s="3" t="s">
        <v>14</v>
      </c>
      <c r="I2295" s="3" t="s">
        <v>15</v>
      </c>
    </row>
    <row r="2296" spans="1:9" s="3" customFormat="1" x14ac:dyDescent="0.3">
      <c r="A2296" s="3" t="s">
        <v>115</v>
      </c>
      <c r="B2296" s="3" t="s">
        <v>116</v>
      </c>
      <c r="C2296" s="3" t="s">
        <v>64</v>
      </c>
      <c r="D2296" s="3" t="s">
        <v>380</v>
      </c>
      <c r="E2296" s="6">
        <v>0.45763888888888887</v>
      </c>
      <c r="F2296" s="6">
        <v>0.72222222222222221</v>
      </c>
      <c r="G2296" s="3" t="s">
        <v>26</v>
      </c>
      <c r="H2296" s="3" t="s">
        <v>14</v>
      </c>
      <c r="I2296" s="3" t="s">
        <v>21</v>
      </c>
    </row>
    <row r="2297" spans="1:9" s="3" customFormat="1" x14ac:dyDescent="0.3">
      <c r="A2297" s="3" t="s">
        <v>37</v>
      </c>
      <c r="B2297" s="3" t="s">
        <v>38</v>
      </c>
      <c r="C2297" s="3" t="s">
        <v>64</v>
      </c>
      <c r="D2297" s="3" t="s">
        <v>265</v>
      </c>
      <c r="E2297" s="6">
        <v>0.39166666666666666</v>
      </c>
      <c r="F2297" s="6">
        <v>0.84861111111111109</v>
      </c>
      <c r="G2297" s="3" t="s">
        <v>26</v>
      </c>
      <c r="H2297" s="3" t="s">
        <v>14</v>
      </c>
      <c r="I2297" s="3" t="s">
        <v>15</v>
      </c>
    </row>
    <row r="2298" spans="1:9" s="3" customFormat="1" x14ac:dyDescent="0.3">
      <c r="A2298" s="3" t="s">
        <v>141</v>
      </c>
      <c r="B2298" s="3" t="s">
        <v>142</v>
      </c>
      <c r="C2298" s="3" t="s">
        <v>60</v>
      </c>
      <c r="D2298" s="3" t="s">
        <v>415</v>
      </c>
      <c r="E2298" s="6">
        <v>0.48055555555555557</v>
      </c>
      <c r="F2298" s="6">
        <v>0.72430555555555554</v>
      </c>
      <c r="G2298" s="3" t="s">
        <v>26</v>
      </c>
      <c r="H2298" s="3" t="s">
        <v>14</v>
      </c>
      <c r="I2298" s="3" t="s">
        <v>21</v>
      </c>
    </row>
    <row r="2299" spans="1:9" s="3" customFormat="1" x14ac:dyDescent="0.3">
      <c r="A2299" s="3" t="s">
        <v>236</v>
      </c>
      <c r="B2299" s="3" t="s">
        <v>237</v>
      </c>
      <c r="C2299" s="3" t="s">
        <v>24</v>
      </c>
      <c r="D2299" s="3" t="s">
        <v>126</v>
      </c>
      <c r="E2299" s="6">
        <v>0.36666666666666664</v>
      </c>
      <c r="F2299" s="6">
        <v>0.75069444444444444</v>
      </c>
      <c r="G2299" s="3" t="s">
        <v>20</v>
      </c>
      <c r="H2299" s="3" t="s">
        <v>14</v>
      </c>
      <c r="I2299" s="3" t="s">
        <v>21</v>
      </c>
    </row>
    <row r="2300" spans="1:9" s="3" customFormat="1" x14ac:dyDescent="0.3">
      <c r="A2300" s="3" t="s">
        <v>87</v>
      </c>
      <c r="B2300" s="3" t="s">
        <v>88</v>
      </c>
      <c r="C2300" s="3" t="s">
        <v>24</v>
      </c>
      <c r="D2300" s="3" t="s">
        <v>380</v>
      </c>
      <c r="E2300" s="6"/>
      <c r="F2300" s="6"/>
      <c r="G2300" s="3" t="s">
        <v>44</v>
      </c>
      <c r="H2300" s="3" t="s">
        <v>14</v>
      </c>
      <c r="I2300" s="3" t="s">
        <v>15</v>
      </c>
    </row>
    <row r="2301" spans="1:9" s="3" customFormat="1" x14ac:dyDescent="0.3">
      <c r="A2301" s="3" t="s">
        <v>362</v>
      </c>
      <c r="B2301" s="3" t="s">
        <v>363</v>
      </c>
      <c r="C2301" s="3" t="s">
        <v>24</v>
      </c>
      <c r="D2301" s="3" t="s">
        <v>43</v>
      </c>
      <c r="E2301" s="6">
        <v>0.33611111111111114</v>
      </c>
      <c r="F2301" s="6">
        <v>0.72986111111111107</v>
      </c>
      <c r="G2301" s="3" t="s">
        <v>13</v>
      </c>
      <c r="H2301" s="3" t="s">
        <v>14</v>
      </c>
      <c r="I2301" s="3" t="s">
        <v>21</v>
      </c>
    </row>
    <row r="2302" spans="1:9" s="3" customFormat="1" x14ac:dyDescent="0.3">
      <c r="A2302" s="3" t="s">
        <v>130</v>
      </c>
      <c r="B2302" s="3" t="s">
        <v>131</v>
      </c>
      <c r="C2302" s="3" t="s">
        <v>60</v>
      </c>
      <c r="D2302" s="3" t="s">
        <v>54</v>
      </c>
      <c r="E2302" s="6">
        <v>0.35416666666666669</v>
      </c>
      <c r="F2302" s="6">
        <v>0.77638888888888891</v>
      </c>
      <c r="G2302" s="3" t="s">
        <v>13</v>
      </c>
      <c r="H2302" s="3" t="s">
        <v>14</v>
      </c>
      <c r="I2302" s="3" t="s">
        <v>21</v>
      </c>
    </row>
    <row r="2303" spans="1:9" s="3" customFormat="1" x14ac:dyDescent="0.3">
      <c r="A2303" s="3" t="s">
        <v>246</v>
      </c>
      <c r="B2303" s="3" t="s">
        <v>247</v>
      </c>
      <c r="C2303" s="3" t="s">
        <v>64</v>
      </c>
      <c r="D2303" s="3" t="s">
        <v>359</v>
      </c>
      <c r="E2303" s="6">
        <v>0.33680555555555558</v>
      </c>
      <c r="F2303" s="6">
        <v>0.76597222222222228</v>
      </c>
      <c r="G2303" s="3" t="s">
        <v>13</v>
      </c>
      <c r="H2303" s="3" t="s">
        <v>27</v>
      </c>
      <c r="I2303" s="3" t="s">
        <v>15</v>
      </c>
    </row>
    <row r="2304" spans="1:9" s="3" customFormat="1" x14ac:dyDescent="0.3">
      <c r="A2304" s="3" t="s">
        <v>99</v>
      </c>
      <c r="B2304" s="3" t="s">
        <v>100</v>
      </c>
      <c r="C2304" s="3" t="s">
        <v>42</v>
      </c>
      <c r="D2304" s="3" t="s">
        <v>105</v>
      </c>
      <c r="E2304" s="6"/>
      <c r="F2304" s="6"/>
      <c r="G2304" s="3" t="s">
        <v>44</v>
      </c>
      <c r="H2304" s="3" t="s">
        <v>27</v>
      </c>
      <c r="I2304" s="3" t="s">
        <v>15</v>
      </c>
    </row>
    <row r="2305" spans="1:9" s="3" customFormat="1" x14ac:dyDescent="0.3">
      <c r="A2305" s="3" t="s">
        <v>269</v>
      </c>
      <c r="B2305" s="3" t="s">
        <v>270</v>
      </c>
      <c r="C2305" s="3" t="s">
        <v>24</v>
      </c>
      <c r="D2305" s="3" t="s">
        <v>140</v>
      </c>
      <c r="E2305" s="6">
        <v>0.39166666666666666</v>
      </c>
      <c r="F2305" s="6">
        <v>0.7729166666666667</v>
      </c>
      <c r="G2305" s="3" t="s">
        <v>20</v>
      </c>
      <c r="H2305" s="3" t="s">
        <v>14</v>
      </c>
      <c r="I2305" s="3" t="s">
        <v>15</v>
      </c>
    </row>
    <row r="2306" spans="1:9" s="3" customFormat="1" x14ac:dyDescent="0.3">
      <c r="A2306" s="3" t="s">
        <v>197</v>
      </c>
      <c r="B2306" s="3" t="s">
        <v>198</v>
      </c>
      <c r="C2306" s="3" t="s">
        <v>60</v>
      </c>
      <c r="D2306" s="3" t="s">
        <v>357</v>
      </c>
      <c r="E2306" s="6"/>
      <c r="F2306" s="6"/>
      <c r="G2306" s="3" t="s">
        <v>44</v>
      </c>
      <c r="H2306" s="3" t="s">
        <v>14</v>
      </c>
      <c r="I2306" s="3" t="s">
        <v>21</v>
      </c>
    </row>
    <row r="2307" spans="1:9" s="3" customFormat="1" x14ac:dyDescent="0.3">
      <c r="A2307" s="3" t="s">
        <v>78</v>
      </c>
      <c r="B2307" s="3" t="s">
        <v>79</v>
      </c>
      <c r="C2307" s="3" t="s">
        <v>42</v>
      </c>
      <c r="D2307" s="3" t="s">
        <v>299</v>
      </c>
      <c r="E2307" s="6">
        <v>0.47847222222222224</v>
      </c>
      <c r="F2307" s="6">
        <v>0.80138888888888893</v>
      </c>
      <c r="G2307" s="3" t="s">
        <v>125</v>
      </c>
      <c r="H2307" s="3" t="s">
        <v>14</v>
      </c>
      <c r="I2307" s="3" t="s">
        <v>15</v>
      </c>
    </row>
    <row r="2308" spans="1:9" s="3" customFormat="1" x14ac:dyDescent="0.3">
      <c r="A2308" s="3" t="s">
        <v>99</v>
      </c>
      <c r="B2308" s="3" t="s">
        <v>100</v>
      </c>
      <c r="C2308" s="3" t="s">
        <v>60</v>
      </c>
      <c r="D2308" s="3" t="s">
        <v>421</v>
      </c>
      <c r="E2308" s="6">
        <v>0.4375</v>
      </c>
      <c r="F2308" s="6">
        <v>0.72569444444444442</v>
      </c>
      <c r="G2308" s="3" t="s">
        <v>13</v>
      </c>
      <c r="H2308" s="3" t="s">
        <v>14</v>
      </c>
      <c r="I2308" s="3" t="s">
        <v>15</v>
      </c>
    </row>
    <row r="2309" spans="1:9" s="3" customFormat="1" x14ac:dyDescent="0.3">
      <c r="A2309" s="3" t="s">
        <v>81</v>
      </c>
      <c r="B2309" s="3" t="s">
        <v>82</v>
      </c>
      <c r="C2309" s="3" t="s">
        <v>18</v>
      </c>
      <c r="D2309" s="3" t="s">
        <v>345</v>
      </c>
      <c r="E2309" s="6">
        <v>0.41597222222222224</v>
      </c>
      <c r="F2309" s="6">
        <v>0.78611111111111109</v>
      </c>
      <c r="G2309" s="3" t="s">
        <v>20</v>
      </c>
      <c r="H2309" s="3" t="s">
        <v>14</v>
      </c>
      <c r="I2309" s="3" t="s">
        <v>15</v>
      </c>
    </row>
    <row r="2310" spans="1:9" s="3" customFormat="1" x14ac:dyDescent="0.3">
      <c r="A2310" s="3" t="s">
        <v>236</v>
      </c>
      <c r="B2310" s="3" t="s">
        <v>237</v>
      </c>
      <c r="C2310" s="3" t="s">
        <v>42</v>
      </c>
      <c r="D2310" s="3" t="s">
        <v>221</v>
      </c>
      <c r="E2310" s="6">
        <v>0.45763888888888887</v>
      </c>
      <c r="F2310" s="6">
        <v>0.87291666666666667</v>
      </c>
      <c r="G2310" s="3" t="s">
        <v>26</v>
      </c>
      <c r="H2310" s="3" t="s">
        <v>14</v>
      </c>
      <c r="I2310" s="3" t="s">
        <v>15</v>
      </c>
    </row>
    <row r="2311" spans="1:9" s="3" customFormat="1" x14ac:dyDescent="0.3">
      <c r="A2311" s="3" t="s">
        <v>62</v>
      </c>
      <c r="B2311" s="3" t="s">
        <v>63</v>
      </c>
      <c r="C2311" s="3" t="s">
        <v>42</v>
      </c>
      <c r="D2311" s="3" t="s">
        <v>416</v>
      </c>
      <c r="E2311" s="6">
        <v>0.43888888888888888</v>
      </c>
      <c r="F2311" s="6">
        <v>0.81458333333333333</v>
      </c>
      <c r="G2311" s="3" t="s">
        <v>26</v>
      </c>
      <c r="H2311" s="3" t="s">
        <v>14</v>
      </c>
      <c r="I2311" s="3" t="s">
        <v>21</v>
      </c>
    </row>
    <row r="2312" spans="1:9" s="3" customFormat="1" x14ac:dyDescent="0.3">
      <c r="A2312" s="3" t="s">
        <v>362</v>
      </c>
      <c r="B2312" s="3" t="s">
        <v>363</v>
      </c>
      <c r="C2312" s="3" t="s">
        <v>60</v>
      </c>
      <c r="D2312" s="3" t="s">
        <v>136</v>
      </c>
      <c r="E2312" s="6">
        <v>0.47847222222222224</v>
      </c>
      <c r="F2312" s="6">
        <v>0.87222222222222223</v>
      </c>
      <c r="G2312" s="3" t="s">
        <v>26</v>
      </c>
      <c r="H2312" s="3" t="s">
        <v>14</v>
      </c>
      <c r="I2312" s="3" t="s">
        <v>15</v>
      </c>
    </row>
    <row r="2313" spans="1:9" s="3" customFormat="1" x14ac:dyDescent="0.3">
      <c r="A2313" s="3" t="s">
        <v>224</v>
      </c>
      <c r="B2313" s="3" t="s">
        <v>225</v>
      </c>
      <c r="C2313" s="3" t="s">
        <v>167</v>
      </c>
      <c r="D2313" s="3" t="s">
        <v>333</v>
      </c>
      <c r="E2313" s="6">
        <v>0.39305555555555555</v>
      </c>
      <c r="F2313" s="6">
        <v>0.67569444444444449</v>
      </c>
      <c r="G2313" s="3" t="s">
        <v>26</v>
      </c>
      <c r="H2313" s="3" t="s">
        <v>27</v>
      </c>
      <c r="I2313" s="3" t="s">
        <v>21</v>
      </c>
    </row>
    <row r="2314" spans="1:9" s="3" customFormat="1" x14ac:dyDescent="0.3">
      <c r="A2314" s="3" t="s">
        <v>115</v>
      </c>
      <c r="B2314" s="3" t="s">
        <v>116</v>
      </c>
      <c r="C2314" s="3" t="s">
        <v>64</v>
      </c>
      <c r="D2314" s="3" t="s">
        <v>168</v>
      </c>
      <c r="E2314" s="6">
        <v>0.34166666666666667</v>
      </c>
      <c r="F2314" s="6">
        <v>0.69513888888888886</v>
      </c>
      <c r="G2314" s="3" t="s">
        <v>20</v>
      </c>
      <c r="H2314" s="3" t="s">
        <v>14</v>
      </c>
      <c r="I2314" s="3" t="s">
        <v>21</v>
      </c>
    </row>
    <row r="2315" spans="1:9" s="3" customFormat="1" x14ac:dyDescent="0.3">
      <c r="A2315" s="3" t="s">
        <v>200</v>
      </c>
      <c r="B2315" s="3" t="s">
        <v>201</v>
      </c>
      <c r="C2315" s="3" t="s">
        <v>24</v>
      </c>
      <c r="D2315" s="3" t="s">
        <v>405</v>
      </c>
      <c r="E2315" s="6">
        <v>0.39374999999999999</v>
      </c>
      <c r="F2315" s="6">
        <v>0.86458333333333337</v>
      </c>
      <c r="G2315" s="3" t="s">
        <v>26</v>
      </c>
      <c r="H2315" s="3" t="s">
        <v>14</v>
      </c>
      <c r="I2315" s="3" t="s">
        <v>21</v>
      </c>
    </row>
    <row r="2316" spans="1:9" s="3" customFormat="1" x14ac:dyDescent="0.3">
      <c r="A2316" s="3" t="s">
        <v>109</v>
      </c>
      <c r="B2316" s="3" t="s">
        <v>110</v>
      </c>
      <c r="C2316" s="3" t="s">
        <v>24</v>
      </c>
      <c r="D2316" s="3" t="s">
        <v>354</v>
      </c>
      <c r="E2316" s="6">
        <v>0.43194444444444446</v>
      </c>
      <c r="F2316" s="6">
        <v>0.84513888888888888</v>
      </c>
      <c r="G2316" s="3" t="s">
        <v>20</v>
      </c>
      <c r="H2316" s="3" t="s">
        <v>14</v>
      </c>
      <c r="I2316" s="3" t="s">
        <v>21</v>
      </c>
    </row>
    <row r="2317" spans="1:9" s="3" customFormat="1" x14ac:dyDescent="0.3">
      <c r="A2317" s="3" t="s">
        <v>291</v>
      </c>
      <c r="B2317" s="3" t="s">
        <v>292</v>
      </c>
      <c r="C2317" s="3" t="s">
        <v>60</v>
      </c>
      <c r="D2317" s="3" t="s">
        <v>367</v>
      </c>
      <c r="E2317" s="6">
        <v>0.35</v>
      </c>
      <c r="F2317" s="6">
        <v>0.84236111111111112</v>
      </c>
      <c r="G2317" s="3" t="s">
        <v>13</v>
      </c>
      <c r="H2317" s="3" t="s">
        <v>14</v>
      </c>
      <c r="I2317" s="3" t="s">
        <v>15</v>
      </c>
    </row>
    <row r="2318" spans="1:9" s="3" customFormat="1" x14ac:dyDescent="0.3">
      <c r="A2318" s="3" t="s">
        <v>134</v>
      </c>
      <c r="B2318" s="3" t="s">
        <v>135</v>
      </c>
      <c r="C2318" s="3" t="s">
        <v>24</v>
      </c>
      <c r="D2318" s="3" t="s">
        <v>12</v>
      </c>
      <c r="E2318" s="6">
        <v>0.36944444444444446</v>
      </c>
      <c r="F2318" s="6">
        <v>0.69513888888888886</v>
      </c>
      <c r="G2318" s="3" t="s">
        <v>20</v>
      </c>
      <c r="H2318" s="3" t="s">
        <v>27</v>
      </c>
      <c r="I2318" s="3" t="s">
        <v>21</v>
      </c>
    </row>
    <row r="2319" spans="1:9" s="3" customFormat="1" x14ac:dyDescent="0.3">
      <c r="A2319" s="3" t="s">
        <v>362</v>
      </c>
      <c r="B2319" s="3" t="s">
        <v>363</v>
      </c>
      <c r="C2319" s="3" t="s">
        <v>24</v>
      </c>
      <c r="D2319" s="3" t="s">
        <v>353</v>
      </c>
      <c r="E2319" s="6"/>
      <c r="F2319" s="6"/>
      <c r="G2319" s="3" t="s">
        <v>44</v>
      </c>
      <c r="H2319" s="3" t="s">
        <v>27</v>
      </c>
      <c r="I2319" s="3" t="s">
        <v>21</v>
      </c>
    </row>
    <row r="2320" spans="1:9" s="3" customFormat="1" x14ac:dyDescent="0.3">
      <c r="A2320" s="3" t="s">
        <v>28</v>
      </c>
      <c r="B2320" s="3" t="s">
        <v>29</v>
      </c>
      <c r="C2320" s="3" t="s">
        <v>18</v>
      </c>
      <c r="D2320" s="3" t="s">
        <v>376</v>
      </c>
      <c r="E2320" s="6">
        <v>0.40416666666666667</v>
      </c>
      <c r="F2320" s="6">
        <v>0.77083333333333337</v>
      </c>
      <c r="G2320" s="3" t="s">
        <v>20</v>
      </c>
      <c r="H2320" s="3" t="s">
        <v>27</v>
      </c>
      <c r="I2320" s="3" t="s">
        <v>21</v>
      </c>
    </row>
    <row r="2321" spans="1:9" s="3" customFormat="1" x14ac:dyDescent="0.3">
      <c r="A2321" s="3" t="s">
        <v>16</v>
      </c>
      <c r="B2321" s="3" t="s">
        <v>17</v>
      </c>
      <c r="C2321" s="3" t="s">
        <v>64</v>
      </c>
      <c r="D2321" s="3" t="s">
        <v>371</v>
      </c>
      <c r="E2321" s="6">
        <v>0.47847222222222224</v>
      </c>
      <c r="F2321" s="6">
        <v>0.82013888888888886</v>
      </c>
      <c r="G2321" s="3" t="s">
        <v>20</v>
      </c>
      <c r="H2321" s="3" t="s">
        <v>27</v>
      </c>
      <c r="I2321" s="3" t="s">
        <v>15</v>
      </c>
    </row>
    <row r="2322" spans="1:9" s="3" customFormat="1" x14ac:dyDescent="0.3">
      <c r="A2322" s="3" t="s">
        <v>45</v>
      </c>
      <c r="B2322" s="3" t="s">
        <v>46</v>
      </c>
      <c r="C2322" s="3" t="s">
        <v>64</v>
      </c>
      <c r="D2322" s="3" t="s">
        <v>169</v>
      </c>
      <c r="E2322" s="6">
        <v>0.46180555555555558</v>
      </c>
      <c r="F2322" s="6">
        <v>0.85555555555555551</v>
      </c>
      <c r="G2322" s="3" t="s">
        <v>20</v>
      </c>
      <c r="H2322" s="3" t="s">
        <v>27</v>
      </c>
      <c r="I2322" s="3" t="s">
        <v>21</v>
      </c>
    </row>
    <row r="2323" spans="1:9" s="3" customFormat="1" x14ac:dyDescent="0.3">
      <c r="A2323" s="3" t="s">
        <v>191</v>
      </c>
      <c r="B2323" s="3" t="s">
        <v>192</v>
      </c>
      <c r="C2323" s="3" t="s">
        <v>42</v>
      </c>
      <c r="D2323" s="3" t="s">
        <v>387</v>
      </c>
      <c r="E2323" s="6">
        <v>0.48888888888888887</v>
      </c>
      <c r="F2323" s="6">
        <v>0.79166666666666663</v>
      </c>
      <c r="G2323" s="3" t="s">
        <v>26</v>
      </c>
      <c r="H2323" s="3" t="s">
        <v>27</v>
      </c>
      <c r="I2323" s="3" t="s">
        <v>21</v>
      </c>
    </row>
    <row r="2324" spans="1:9" s="3" customFormat="1" x14ac:dyDescent="0.3">
      <c r="A2324" s="3" t="s">
        <v>69</v>
      </c>
      <c r="B2324" s="3" t="s">
        <v>70</v>
      </c>
      <c r="C2324" s="3" t="s">
        <v>60</v>
      </c>
      <c r="D2324" s="3" t="s">
        <v>163</v>
      </c>
      <c r="E2324" s="6">
        <v>0.44374999999999998</v>
      </c>
      <c r="F2324" s="6">
        <v>0.85833333333333328</v>
      </c>
      <c r="G2324" s="3" t="s">
        <v>26</v>
      </c>
      <c r="H2324" s="3" t="s">
        <v>14</v>
      </c>
      <c r="I2324" s="3" t="s">
        <v>15</v>
      </c>
    </row>
    <row r="2325" spans="1:9" s="3" customFormat="1" x14ac:dyDescent="0.3">
      <c r="A2325" s="3" t="s">
        <v>200</v>
      </c>
      <c r="B2325" s="3" t="s">
        <v>201</v>
      </c>
      <c r="C2325" s="3" t="s">
        <v>64</v>
      </c>
      <c r="D2325" s="3" t="s">
        <v>301</v>
      </c>
      <c r="E2325" s="6"/>
      <c r="F2325" s="6"/>
      <c r="G2325" s="3" t="s">
        <v>44</v>
      </c>
      <c r="H2325" s="3" t="s">
        <v>27</v>
      </c>
      <c r="I2325" s="3" t="s">
        <v>21</v>
      </c>
    </row>
    <row r="2326" spans="1:9" s="3" customFormat="1" x14ac:dyDescent="0.3">
      <c r="A2326" s="3" t="s">
        <v>194</v>
      </c>
      <c r="B2326" s="3" t="s">
        <v>195</v>
      </c>
      <c r="C2326" s="3" t="s">
        <v>60</v>
      </c>
      <c r="D2326" s="3" t="s">
        <v>335</v>
      </c>
      <c r="E2326" s="6">
        <v>0.43125000000000002</v>
      </c>
      <c r="F2326" s="6">
        <v>0.77500000000000002</v>
      </c>
      <c r="G2326" s="3" t="s">
        <v>13</v>
      </c>
      <c r="H2326" s="3" t="s">
        <v>27</v>
      </c>
      <c r="I2326" s="3" t="s">
        <v>21</v>
      </c>
    </row>
    <row r="2327" spans="1:9" s="3" customFormat="1" x14ac:dyDescent="0.3">
      <c r="A2327" s="3" t="s">
        <v>187</v>
      </c>
      <c r="B2327" s="3" t="s">
        <v>188</v>
      </c>
      <c r="C2327" s="3" t="s">
        <v>60</v>
      </c>
      <c r="D2327" s="3" t="s">
        <v>47</v>
      </c>
      <c r="E2327" s="6">
        <v>0.42777777777777776</v>
      </c>
      <c r="F2327" s="6">
        <v>0.81805555555555554</v>
      </c>
      <c r="G2327" s="3" t="s">
        <v>20</v>
      </c>
      <c r="H2327" s="3" t="s">
        <v>14</v>
      </c>
      <c r="I2327" s="3" t="s">
        <v>15</v>
      </c>
    </row>
    <row r="2328" spans="1:9" s="3" customFormat="1" x14ac:dyDescent="0.3">
      <c r="A2328" s="3" t="s">
        <v>291</v>
      </c>
      <c r="B2328" s="3" t="s">
        <v>292</v>
      </c>
      <c r="C2328" s="3" t="s">
        <v>60</v>
      </c>
      <c r="D2328" s="3" t="s">
        <v>132</v>
      </c>
      <c r="E2328" s="6"/>
      <c r="F2328" s="6"/>
      <c r="G2328" s="3" t="s">
        <v>51</v>
      </c>
      <c r="H2328" s="3" t="s">
        <v>27</v>
      </c>
      <c r="I2328" s="3" t="s">
        <v>15</v>
      </c>
    </row>
    <row r="2329" spans="1:9" s="3" customFormat="1" x14ac:dyDescent="0.3">
      <c r="A2329" s="3" t="s">
        <v>34</v>
      </c>
      <c r="B2329" s="3" t="s">
        <v>35</v>
      </c>
      <c r="C2329" s="3" t="s">
        <v>18</v>
      </c>
      <c r="D2329" s="3" t="s">
        <v>383</v>
      </c>
      <c r="E2329" s="6"/>
      <c r="F2329" s="6"/>
      <c r="G2329" s="3" t="s">
        <v>44</v>
      </c>
      <c r="H2329" s="3" t="s">
        <v>14</v>
      </c>
      <c r="I2329" s="3" t="s">
        <v>15</v>
      </c>
    </row>
    <row r="2330" spans="1:9" s="3" customFormat="1" x14ac:dyDescent="0.3">
      <c r="A2330" s="3" t="s">
        <v>338</v>
      </c>
      <c r="B2330" s="3" t="s">
        <v>339</v>
      </c>
      <c r="C2330" s="3" t="s">
        <v>42</v>
      </c>
      <c r="D2330" s="3" t="s">
        <v>394</v>
      </c>
      <c r="E2330" s="6">
        <v>0.35694444444444445</v>
      </c>
      <c r="F2330" s="6">
        <v>0.73472222222222228</v>
      </c>
      <c r="G2330" s="3" t="s">
        <v>26</v>
      </c>
      <c r="H2330" s="3" t="s">
        <v>14</v>
      </c>
      <c r="I2330" s="3" t="s">
        <v>15</v>
      </c>
    </row>
    <row r="2331" spans="1:9" s="3" customFormat="1" x14ac:dyDescent="0.3">
      <c r="A2331" s="3" t="s">
        <v>119</v>
      </c>
      <c r="B2331" s="3" t="s">
        <v>120</v>
      </c>
      <c r="C2331" s="3" t="s">
        <v>18</v>
      </c>
      <c r="D2331" s="3" t="s">
        <v>349</v>
      </c>
      <c r="E2331" s="6">
        <v>0.41944444444444445</v>
      </c>
      <c r="F2331" s="6">
        <v>0.83819444444444446</v>
      </c>
      <c r="G2331" s="3" t="s">
        <v>20</v>
      </c>
      <c r="H2331" s="3" t="s">
        <v>27</v>
      </c>
      <c r="I2331" s="3" t="s">
        <v>15</v>
      </c>
    </row>
    <row r="2332" spans="1:9" s="3" customFormat="1" x14ac:dyDescent="0.3">
      <c r="A2332" s="3" t="s">
        <v>236</v>
      </c>
      <c r="B2332" s="3" t="s">
        <v>237</v>
      </c>
      <c r="C2332" s="3" t="s">
        <v>64</v>
      </c>
      <c r="D2332" s="3" t="s">
        <v>376</v>
      </c>
      <c r="E2332" s="6">
        <v>0.45277777777777778</v>
      </c>
      <c r="F2332" s="6">
        <v>0.76111111111111107</v>
      </c>
      <c r="G2332" s="3" t="s">
        <v>149</v>
      </c>
      <c r="H2332" s="3" t="s">
        <v>27</v>
      </c>
      <c r="I2332" s="3" t="s">
        <v>21</v>
      </c>
    </row>
    <row r="2333" spans="1:9" s="3" customFormat="1" x14ac:dyDescent="0.3">
      <c r="A2333" s="3" t="s">
        <v>141</v>
      </c>
      <c r="B2333" s="3" t="s">
        <v>142</v>
      </c>
      <c r="C2333" s="3" t="s">
        <v>60</v>
      </c>
      <c r="D2333" s="3" t="s">
        <v>169</v>
      </c>
      <c r="E2333" s="6">
        <v>0.37569444444444444</v>
      </c>
      <c r="F2333" s="6">
        <v>0.75138888888888888</v>
      </c>
      <c r="G2333" s="3" t="s">
        <v>26</v>
      </c>
      <c r="H2333" s="3" t="s">
        <v>27</v>
      </c>
      <c r="I2333" s="3" t="s">
        <v>15</v>
      </c>
    </row>
    <row r="2334" spans="1:9" s="3" customFormat="1" x14ac:dyDescent="0.3">
      <c r="A2334" s="3" t="s">
        <v>78</v>
      </c>
      <c r="B2334" s="3" t="s">
        <v>79</v>
      </c>
      <c r="C2334" s="3" t="s">
        <v>64</v>
      </c>
      <c r="D2334" s="3" t="s">
        <v>273</v>
      </c>
      <c r="E2334" s="6"/>
      <c r="F2334" s="6"/>
      <c r="G2334" s="3" t="s">
        <v>44</v>
      </c>
      <c r="H2334" s="3" t="s">
        <v>14</v>
      </c>
      <c r="I2334" s="3" t="s">
        <v>21</v>
      </c>
    </row>
    <row r="2335" spans="1:9" s="3" customFormat="1" x14ac:dyDescent="0.3">
      <c r="A2335" s="3" t="s">
        <v>338</v>
      </c>
      <c r="B2335" s="3" t="s">
        <v>339</v>
      </c>
      <c r="C2335" s="3" t="s">
        <v>24</v>
      </c>
      <c r="D2335" s="3" t="s">
        <v>65</v>
      </c>
      <c r="E2335" s="6">
        <v>0.45763888888888887</v>
      </c>
      <c r="F2335" s="6">
        <v>0.86875000000000002</v>
      </c>
      <c r="G2335" s="3" t="s">
        <v>13</v>
      </c>
      <c r="H2335" s="3" t="s">
        <v>14</v>
      </c>
      <c r="I2335" s="3" t="s">
        <v>21</v>
      </c>
    </row>
    <row r="2336" spans="1:9" s="3" customFormat="1" x14ac:dyDescent="0.3">
      <c r="A2336" s="3" t="s">
        <v>246</v>
      </c>
      <c r="B2336" s="3" t="s">
        <v>247</v>
      </c>
      <c r="C2336" s="3" t="s">
        <v>60</v>
      </c>
      <c r="D2336" s="3" t="s">
        <v>121</v>
      </c>
      <c r="E2336" s="6">
        <v>0.44166666666666665</v>
      </c>
      <c r="F2336" s="6">
        <v>0.72499999999999998</v>
      </c>
      <c r="G2336" s="3" t="s">
        <v>20</v>
      </c>
      <c r="H2336" s="3" t="s">
        <v>14</v>
      </c>
      <c r="I2336" s="3" t="s">
        <v>15</v>
      </c>
    </row>
    <row r="2337" spans="1:9" s="3" customFormat="1" x14ac:dyDescent="0.3">
      <c r="A2337" s="3" t="s">
        <v>141</v>
      </c>
      <c r="B2337" s="3" t="s">
        <v>142</v>
      </c>
      <c r="C2337" s="3" t="s">
        <v>60</v>
      </c>
      <c r="D2337" s="3" t="s">
        <v>345</v>
      </c>
      <c r="E2337" s="6">
        <v>0.34652777777777777</v>
      </c>
      <c r="F2337" s="6">
        <v>0.71875</v>
      </c>
      <c r="G2337" s="3" t="s">
        <v>26</v>
      </c>
      <c r="H2337" s="3" t="s">
        <v>27</v>
      </c>
      <c r="I2337" s="3" t="s">
        <v>15</v>
      </c>
    </row>
    <row r="2338" spans="1:9" s="3" customFormat="1" x14ac:dyDescent="0.3">
      <c r="A2338" s="3" t="s">
        <v>157</v>
      </c>
      <c r="B2338" s="3" t="s">
        <v>158</v>
      </c>
      <c r="C2338" s="3" t="s">
        <v>42</v>
      </c>
      <c r="D2338" s="3" t="s">
        <v>253</v>
      </c>
      <c r="E2338" s="6">
        <v>0.42708333333333331</v>
      </c>
      <c r="F2338" s="6">
        <v>0.78194444444444444</v>
      </c>
      <c r="G2338" s="3" t="s">
        <v>13</v>
      </c>
      <c r="H2338" s="3" t="s">
        <v>14</v>
      </c>
      <c r="I2338" s="3" t="s">
        <v>15</v>
      </c>
    </row>
    <row r="2339" spans="1:9" s="3" customFormat="1" x14ac:dyDescent="0.3">
      <c r="A2339" s="3" t="s">
        <v>72</v>
      </c>
      <c r="B2339" s="3" t="s">
        <v>73</v>
      </c>
      <c r="C2339" s="3" t="s">
        <v>24</v>
      </c>
      <c r="D2339" s="3" t="s">
        <v>255</v>
      </c>
      <c r="E2339" s="6">
        <v>0.44791666666666669</v>
      </c>
      <c r="F2339" s="6">
        <v>0.83263888888888893</v>
      </c>
      <c r="G2339" s="3" t="s">
        <v>20</v>
      </c>
      <c r="H2339" s="3" t="s">
        <v>14</v>
      </c>
      <c r="I2339" s="3" t="s">
        <v>15</v>
      </c>
    </row>
    <row r="2340" spans="1:9" s="3" customFormat="1" x14ac:dyDescent="0.3">
      <c r="A2340" s="3" t="s">
        <v>115</v>
      </c>
      <c r="B2340" s="3" t="s">
        <v>116</v>
      </c>
      <c r="C2340" s="3" t="s">
        <v>64</v>
      </c>
      <c r="D2340" s="3" t="s">
        <v>361</v>
      </c>
      <c r="E2340" s="6">
        <v>0.35972222222222222</v>
      </c>
      <c r="F2340" s="6">
        <v>0.72916666666666663</v>
      </c>
      <c r="G2340" s="3" t="s">
        <v>26</v>
      </c>
      <c r="H2340" s="3" t="s">
        <v>27</v>
      </c>
      <c r="I2340" s="3" t="s">
        <v>15</v>
      </c>
    </row>
    <row r="2341" spans="1:9" s="3" customFormat="1" x14ac:dyDescent="0.3">
      <c r="A2341" s="3" t="s">
        <v>112</v>
      </c>
      <c r="B2341" s="3" t="s">
        <v>113</v>
      </c>
      <c r="C2341" s="3" t="s">
        <v>24</v>
      </c>
      <c r="D2341" s="3" t="s">
        <v>419</v>
      </c>
      <c r="E2341" s="6">
        <v>0.46180555555555558</v>
      </c>
      <c r="F2341" s="6">
        <v>0.76666666666666672</v>
      </c>
      <c r="G2341" s="3" t="s">
        <v>20</v>
      </c>
      <c r="H2341" s="3" t="s">
        <v>14</v>
      </c>
      <c r="I2341" s="3" t="s">
        <v>21</v>
      </c>
    </row>
    <row r="2342" spans="1:9" s="3" customFormat="1" x14ac:dyDescent="0.3">
      <c r="A2342" s="3" t="s">
        <v>246</v>
      </c>
      <c r="B2342" s="3" t="s">
        <v>247</v>
      </c>
      <c r="C2342" s="3" t="s">
        <v>60</v>
      </c>
      <c r="D2342" s="3" t="s">
        <v>361</v>
      </c>
      <c r="E2342" s="6"/>
      <c r="F2342" s="6"/>
      <c r="G2342" s="3" t="s">
        <v>44</v>
      </c>
      <c r="H2342" s="3" t="s">
        <v>14</v>
      </c>
      <c r="I2342" s="3" t="s">
        <v>21</v>
      </c>
    </row>
    <row r="2343" spans="1:9" s="3" customFormat="1" x14ac:dyDescent="0.3">
      <c r="A2343" s="3" t="s">
        <v>34</v>
      </c>
      <c r="B2343" s="3" t="s">
        <v>35</v>
      </c>
      <c r="C2343" s="3" t="s">
        <v>18</v>
      </c>
      <c r="D2343" s="3" t="s">
        <v>232</v>
      </c>
      <c r="E2343" s="6"/>
      <c r="F2343" s="6"/>
      <c r="G2343" s="3" t="s">
        <v>44</v>
      </c>
      <c r="H2343" s="3" t="s">
        <v>14</v>
      </c>
      <c r="I2343" s="3" t="s">
        <v>15</v>
      </c>
    </row>
    <row r="2344" spans="1:9" s="3" customFormat="1" x14ac:dyDescent="0.3">
      <c r="A2344" s="3" t="s">
        <v>84</v>
      </c>
      <c r="B2344" s="3" t="s">
        <v>85</v>
      </c>
      <c r="C2344" s="3" t="s">
        <v>42</v>
      </c>
      <c r="D2344" s="3" t="s">
        <v>159</v>
      </c>
      <c r="E2344" s="6">
        <v>0.44791666666666669</v>
      </c>
      <c r="F2344" s="6">
        <v>0.86250000000000004</v>
      </c>
      <c r="G2344" s="3" t="s">
        <v>20</v>
      </c>
      <c r="H2344" s="3" t="s">
        <v>14</v>
      </c>
      <c r="I2344" s="3" t="s">
        <v>15</v>
      </c>
    </row>
    <row r="2345" spans="1:9" s="3" customFormat="1" x14ac:dyDescent="0.3">
      <c r="A2345" s="3" t="s">
        <v>291</v>
      </c>
      <c r="B2345" s="3" t="s">
        <v>292</v>
      </c>
      <c r="C2345" s="3" t="s">
        <v>64</v>
      </c>
      <c r="D2345" s="3" t="s">
        <v>140</v>
      </c>
      <c r="E2345" s="6">
        <v>0.43194444444444446</v>
      </c>
      <c r="F2345" s="6">
        <v>0.74583333333333335</v>
      </c>
      <c r="G2345" s="3" t="s">
        <v>13</v>
      </c>
      <c r="H2345" s="3" t="s">
        <v>14</v>
      </c>
      <c r="I2345" s="3" t="s">
        <v>21</v>
      </c>
    </row>
    <row r="2346" spans="1:9" s="3" customFormat="1" x14ac:dyDescent="0.3">
      <c r="A2346" s="3" t="s">
        <v>16</v>
      </c>
      <c r="B2346" s="3" t="s">
        <v>17</v>
      </c>
      <c r="C2346" s="3" t="s">
        <v>42</v>
      </c>
      <c r="D2346" s="3" t="s">
        <v>253</v>
      </c>
      <c r="E2346" s="6">
        <v>0.44166666666666665</v>
      </c>
      <c r="F2346" s="6">
        <v>0.74652777777777779</v>
      </c>
      <c r="G2346" s="3" t="s">
        <v>26</v>
      </c>
      <c r="H2346" s="3" t="s">
        <v>14</v>
      </c>
      <c r="I2346" s="3" t="s">
        <v>21</v>
      </c>
    </row>
    <row r="2347" spans="1:9" s="3" customFormat="1" x14ac:dyDescent="0.3">
      <c r="A2347" s="3" t="s">
        <v>157</v>
      </c>
      <c r="B2347" s="3" t="s">
        <v>158</v>
      </c>
      <c r="C2347" s="3" t="s">
        <v>24</v>
      </c>
      <c r="D2347" s="3" t="s">
        <v>317</v>
      </c>
      <c r="E2347" s="6">
        <v>0.4152777777777778</v>
      </c>
      <c r="F2347" s="6">
        <v>0.81736111111111109</v>
      </c>
      <c r="G2347" s="3" t="s">
        <v>13</v>
      </c>
      <c r="H2347" s="3" t="s">
        <v>27</v>
      </c>
      <c r="I2347" s="3" t="s">
        <v>21</v>
      </c>
    </row>
    <row r="2348" spans="1:9" s="3" customFormat="1" x14ac:dyDescent="0.3">
      <c r="A2348" s="3" t="s">
        <v>150</v>
      </c>
      <c r="B2348" s="3" t="s">
        <v>151</v>
      </c>
      <c r="C2348" s="3" t="s">
        <v>18</v>
      </c>
      <c r="D2348" s="3" t="s">
        <v>384</v>
      </c>
      <c r="E2348" s="6">
        <v>0.38055555555555554</v>
      </c>
      <c r="F2348" s="6">
        <v>0.76041666666666663</v>
      </c>
      <c r="G2348" s="3" t="s">
        <v>26</v>
      </c>
      <c r="H2348" s="3" t="s">
        <v>27</v>
      </c>
      <c r="I2348" s="3" t="s">
        <v>15</v>
      </c>
    </row>
    <row r="2349" spans="1:9" s="3" customFormat="1" x14ac:dyDescent="0.3">
      <c r="A2349" s="3" t="s">
        <v>40</v>
      </c>
      <c r="B2349" s="3" t="s">
        <v>41</v>
      </c>
      <c r="C2349" s="3" t="s">
        <v>18</v>
      </c>
      <c r="D2349" s="3" t="s">
        <v>381</v>
      </c>
      <c r="E2349" s="6">
        <v>0.48749999999999999</v>
      </c>
      <c r="F2349" s="6">
        <v>0.78541666666666665</v>
      </c>
      <c r="G2349" s="3" t="s">
        <v>26</v>
      </c>
      <c r="H2349" s="3" t="s">
        <v>14</v>
      </c>
      <c r="I2349" s="3" t="s">
        <v>21</v>
      </c>
    </row>
    <row r="2350" spans="1:9" s="3" customFormat="1" x14ac:dyDescent="0.3">
      <c r="A2350" s="3" t="s">
        <v>69</v>
      </c>
      <c r="B2350" s="3" t="s">
        <v>70</v>
      </c>
      <c r="C2350" s="3" t="s">
        <v>24</v>
      </c>
      <c r="D2350" s="3" t="s">
        <v>415</v>
      </c>
      <c r="E2350" s="6">
        <v>0.45416666666666666</v>
      </c>
      <c r="F2350" s="6">
        <v>0.71180555555555558</v>
      </c>
      <c r="G2350" s="3" t="s">
        <v>26</v>
      </c>
      <c r="H2350" s="3" t="s">
        <v>14</v>
      </c>
      <c r="I2350" s="3" t="s">
        <v>15</v>
      </c>
    </row>
    <row r="2351" spans="1:9" s="3" customFormat="1" x14ac:dyDescent="0.3">
      <c r="A2351" s="3" t="s">
        <v>141</v>
      </c>
      <c r="B2351" s="3" t="s">
        <v>142</v>
      </c>
      <c r="C2351" s="3" t="s">
        <v>60</v>
      </c>
      <c r="D2351" s="3" t="s">
        <v>144</v>
      </c>
      <c r="E2351" s="6">
        <v>0.33402777777777776</v>
      </c>
      <c r="F2351" s="6">
        <v>0.77569444444444446</v>
      </c>
      <c r="G2351" s="3" t="s">
        <v>26</v>
      </c>
      <c r="H2351" s="3" t="s">
        <v>27</v>
      </c>
      <c r="I2351" s="3" t="s">
        <v>15</v>
      </c>
    </row>
    <row r="2352" spans="1:9" s="3" customFormat="1" x14ac:dyDescent="0.3">
      <c r="A2352" s="3" t="s">
        <v>191</v>
      </c>
      <c r="B2352" s="3" t="s">
        <v>192</v>
      </c>
      <c r="C2352" s="3" t="s">
        <v>42</v>
      </c>
      <c r="D2352" s="3" t="s">
        <v>289</v>
      </c>
      <c r="E2352" s="6">
        <v>0.49375000000000002</v>
      </c>
      <c r="F2352" s="6">
        <v>0.76944444444444449</v>
      </c>
      <c r="G2352" s="3" t="s">
        <v>26</v>
      </c>
      <c r="H2352" s="3" t="s">
        <v>14</v>
      </c>
      <c r="I2352" s="3" t="s">
        <v>15</v>
      </c>
    </row>
    <row r="2353" spans="1:9" s="3" customFormat="1" x14ac:dyDescent="0.3">
      <c r="A2353" s="3" t="s">
        <v>200</v>
      </c>
      <c r="B2353" s="3" t="s">
        <v>201</v>
      </c>
      <c r="C2353" s="3" t="s">
        <v>42</v>
      </c>
      <c r="D2353" s="3" t="s">
        <v>379</v>
      </c>
      <c r="E2353" s="6">
        <v>0.47847222222222224</v>
      </c>
      <c r="F2353" s="6">
        <v>0.72291666666666665</v>
      </c>
      <c r="G2353" s="3" t="s">
        <v>170</v>
      </c>
      <c r="H2353" s="3" t="s">
        <v>27</v>
      </c>
      <c r="I2353" s="3" t="s">
        <v>21</v>
      </c>
    </row>
    <row r="2354" spans="1:9" s="3" customFormat="1" x14ac:dyDescent="0.3">
      <c r="A2354" s="3" t="s">
        <v>200</v>
      </c>
      <c r="B2354" s="3" t="s">
        <v>201</v>
      </c>
      <c r="C2354" s="3" t="s">
        <v>18</v>
      </c>
      <c r="D2354" s="3" t="s">
        <v>343</v>
      </c>
      <c r="E2354" s="6"/>
      <c r="F2354" s="6"/>
      <c r="G2354" s="3" t="s">
        <v>44</v>
      </c>
      <c r="H2354" s="3" t="s">
        <v>27</v>
      </c>
      <c r="I2354" s="3" t="s">
        <v>21</v>
      </c>
    </row>
    <row r="2355" spans="1:9" s="3" customFormat="1" x14ac:dyDescent="0.3">
      <c r="A2355" s="3" t="s">
        <v>93</v>
      </c>
      <c r="B2355" s="3" t="s">
        <v>94</v>
      </c>
      <c r="C2355" s="3" t="s">
        <v>24</v>
      </c>
      <c r="D2355" s="3" t="s">
        <v>148</v>
      </c>
      <c r="E2355" s="6">
        <v>0.47152777777777777</v>
      </c>
      <c r="F2355" s="6">
        <v>0.72083333333333333</v>
      </c>
      <c r="G2355" s="3" t="s">
        <v>26</v>
      </c>
      <c r="H2355" s="3" t="s">
        <v>14</v>
      </c>
      <c r="I2355" s="3" t="s">
        <v>21</v>
      </c>
    </row>
    <row r="2356" spans="1:9" s="3" customFormat="1" x14ac:dyDescent="0.3">
      <c r="A2356" s="3" t="s">
        <v>93</v>
      </c>
      <c r="B2356" s="3" t="s">
        <v>94</v>
      </c>
      <c r="C2356" s="3" t="s">
        <v>24</v>
      </c>
      <c r="D2356" s="3" t="s">
        <v>314</v>
      </c>
      <c r="E2356" s="6"/>
      <c r="F2356" s="6"/>
      <c r="G2356" s="3" t="s">
        <v>51</v>
      </c>
      <c r="H2356" s="3" t="s">
        <v>27</v>
      </c>
      <c r="I2356" s="3" t="s">
        <v>15</v>
      </c>
    </row>
    <row r="2357" spans="1:9" s="3" customFormat="1" x14ac:dyDescent="0.3">
      <c r="A2357" s="3" t="s">
        <v>138</v>
      </c>
      <c r="B2357" s="3" t="s">
        <v>139</v>
      </c>
      <c r="C2357" s="3" t="s">
        <v>127</v>
      </c>
      <c r="D2357" s="3" t="s">
        <v>395</v>
      </c>
      <c r="E2357" s="6">
        <v>0.45833333333333331</v>
      </c>
      <c r="F2357" s="6">
        <v>0.66666666666666663</v>
      </c>
      <c r="G2357" s="3" t="s">
        <v>20</v>
      </c>
      <c r="H2357" s="3" t="s">
        <v>27</v>
      </c>
      <c r="I2357" s="3" t="s">
        <v>21</v>
      </c>
    </row>
    <row r="2358" spans="1:9" s="3" customFormat="1" x14ac:dyDescent="0.3">
      <c r="A2358" s="3" t="s">
        <v>45</v>
      </c>
      <c r="B2358" s="3" t="s">
        <v>46</v>
      </c>
      <c r="C2358" s="3" t="s">
        <v>24</v>
      </c>
      <c r="D2358" s="3" t="s">
        <v>276</v>
      </c>
      <c r="E2358" s="6">
        <v>0.41666666666666669</v>
      </c>
      <c r="F2358" s="6">
        <v>0.67638888888888893</v>
      </c>
      <c r="G2358" s="3" t="s">
        <v>20</v>
      </c>
      <c r="H2358" s="3" t="s">
        <v>27</v>
      </c>
      <c r="I2358" s="3" t="s">
        <v>21</v>
      </c>
    </row>
    <row r="2359" spans="1:9" s="3" customFormat="1" x14ac:dyDescent="0.3">
      <c r="A2359" s="3" t="s">
        <v>216</v>
      </c>
      <c r="B2359" s="3" t="s">
        <v>217</v>
      </c>
      <c r="C2359" s="3" t="s">
        <v>11</v>
      </c>
      <c r="D2359" s="3" t="s">
        <v>366</v>
      </c>
      <c r="E2359" s="6"/>
      <c r="F2359" s="6"/>
      <c r="G2359" s="3" t="s">
        <v>44</v>
      </c>
      <c r="H2359" s="3" t="s">
        <v>14</v>
      </c>
      <c r="I2359" s="3" t="s">
        <v>15</v>
      </c>
    </row>
    <row r="2360" spans="1:9" s="3" customFormat="1" x14ac:dyDescent="0.3">
      <c r="A2360" s="3" t="s">
        <v>216</v>
      </c>
      <c r="B2360" s="3" t="s">
        <v>217</v>
      </c>
      <c r="C2360" s="3" t="s">
        <v>24</v>
      </c>
      <c r="D2360" s="3" t="s">
        <v>359</v>
      </c>
      <c r="E2360" s="6">
        <v>0.49930555555555556</v>
      </c>
      <c r="F2360" s="6">
        <v>0.71180555555555558</v>
      </c>
      <c r="G2360" s="3" t="s">
        <v>125</v>
      </c>
      <c r="H2360" s="3" t="s">
        <v>27</v>
      </c>
      <c r="I2360" s="3" t="s">
        <v>15</v>
      </c>
    </row>
    <row r="2361" spans="1:9" s="3" customFormat="1" x14ac:dyDescent="0.3">
      <c r="A2361" s="3" t="s">
        <v>338</v>
      </c>
      <c r="B2361" s="3" t="s">
        <v>339</v>
      </c>
      <c r="C2361" s="3" t="s">
        <v>24</v>
      </c>
      <c r="D2361" s="3" t="s">
        <v>199</v>
      </c>
      <c r="E2361" s="6">
        <v>0.37569444444444444</v>
      </c>
      <c r="F2361" s="6">
        <v>0.76666666666666672</v>
      </c>
      <c r="G2361" s="3" t="s">
        <v>20</v>
      </c>
      <c r="H2361" s="3" t="s">
        <v>14</v>
      </c>
      <c r="I2361" s="3" t="s">
        <v>15</v>
      </c>
    </row>
    <row r="2362" spans="1:9" s="3" customFormat="1" x14ac:dyDescent="0.3">
      <c r="A2362" s="3" t="s">
        <v>246</v>
      </c>
      <c r="B2362" s="3" t="s">
        <v>247</v>
      </c>
      <c r="C2362" s="3" t="s">
        <v>24</v>
      </c>
      <c r="D2362" s="3" t="s">
        <v>327</v>
      </c>
      <c r="E2362" s="6"/>
      <c r="F2362" s="6"/>
      <c r="G2362" s="3" t="s">
        <v>44</v>
      </c>
      <c r="H2362" s="3" t="s">
        <v>14</v>
      </c>
      <c r="I2362" s="3" t="s">
        <v>15</v>
      </c>
    </row>
    <row r="2363" spans="1:9" s="3" customFormat="1" x14ac:dyDescent="0.3">
      <c r="A2363" s="3" t="s">
        <v>165</v>
      </c>
      <c r="B2363" s="3" t="s">
        <v>166</v>
      </c>
      <c r="C2363" s="3" t="s">
        <v>24</v>
      </c>
      <c r="D2363" s="3" t="s">
        <v>163</v>
      </c>
      <c r="E2363" s="6">
        <v>0.43402777777777779</v>
      </c>
      <c r="F2363" s="6">
        <v>0.83125000000000004</v>
      </c>
      <c r="G2363" s="3" t="s">
        <v>20</v>
      </c>
      <c r="H2363" s="3" t="s">
        <v>14</v>
      </c>
      <c r="I2363" s="3" t="s">
        <v>21</v>
      </c>
    </row>
    <row r="2364" spans="1:9" s="3" customFormat="1" x14ac:dyDescent="0.3">
      <c r="A2364" s="3" t="s">
        <v>55</v>
      </c>
      <c r="B2364" s="3" t="s">
        <v>56</v>
      </c>
      <c r="C2364" s="3" t="s">
        <v>64</v>
      </c>
      <c r="D2364" s="3" t="s">
        <v>118</v>
      </c>
      <c r="E2364" s="6"/>
      <c r="F2364" s="6"/>
      <c r="G2364" s="3" t="s">
        <v>44</v>
      </c>
      <c r="H2364" s="3" t="s">
        <v>27</v>
      </c>
      <c r="I2364" s="3" t="s">
        <v>15</v>
      </c>
    </row>
    <row r="2365" spans="1:9" s="3" customFormat="1" x14ac:dyDescent="0.3">
      <c r="A2365" s="3" t="s">
        <v>34</v>
      </c>
      <c r="B2365" s="3" t="s">
        <v>35</v>
      </c>
      <c r="C2365" s="3" t="s">
        <v>64</v>
      </c>
      <c r="D2365" s="3" t="s">
        <v>402</v>
      </c>
      <c r="E2365" s="6">
        <v>0.34375</v>
      </c>
      <c r="F2365" s="6">
        <v>0.67986111111111114</v>
      </c>
      <c r="G2365" s="3" t="s">
        <v>13</v>
      </c>
      <c r="H2365" s="3" t="s">
        <v>27</v>
      </c>
      <c r="I2365" s="3" t="s">
        <v>21</v>
      </c>
    </row>
    <row r="2366" spans="1:9" s="3" customFormat="1" x14ac:dyDescent="0.3">
      <c r="A2366" s="3" t="s">
        <v>99</v>
      </c>
      <c r="B2366" s="3" t="s">
        <v>100</v>
      </c>
      <c r="C2366" s="3" t="s">
        <v>42</v>
      </c>
      <c r="D2366" s="3" t="s">
        <v>196</v>
      </c>
      <c r="E2366" s="6">
        <v>0.33750000000000002</v>
      </c>
      <c r="F2366" s="6">
        <v>0.67013888888888884</v>
      </c>
      <c r="G2366" s="3" t="s">
        <v>20</v>
      </c>
      <c r="H2366" s="3" t="s">
        <v>14</v>
      </c>
      <c r="I2366" s="3" t="s">
        <v>21</v>
      </c>
    </row>
    <row r="2367" spans="1:9" s="3" customFormat="1" x14ac:dyDescent="0.3">
      <c r="A2367" s="3" t="s">
        <v>69</v>
      </c>
      <c r="B2367" s="3" t="s">
        <v>70</v>
      </c>
      <c r="C2367" s="3" t="s">
        <v>60</v>
      </c>
      <c r="D2367" s="3" t="s">
        <v>360</v>
      </c>
      <c r="E2367" s="6"/>
      <c r="F2367" s="6"/>
      <c r="G2367" s="3" t="s">
        <v>44</v>
      </c>
      <c r="H2367" s="3" t="s">
        <v>14</v>
      </c>
      <c r="I2367" s="3" t="s">
        <v>15</v>
      </c>
    </row>
    <row r="2368" spans="1:9" s="3" customFormat="1" x14ac:dyDescent="0.3">
      <c r="A2368" s="3" t="s">
        <v>37</v>
      </c>
      <c r="B2368" s="3" t="s">
        <v>38</v>
      </c>
      <c r="C2368" s="3" t="s">
        <v>18</v>
      </c>
      <c r="D2368" s="3" t="s">
        <v>415</v>
      </c>
      <c r="E2368" s="6">
        <v>0.4236111111111111</v>
      </c>
      <c r="F2368" s="6">
        <v>0.76527777777777772</v>
      </c>
      <c r="G2368" s="3" t="s">
        <v>26</v>
      </c>
      <c r="H2368" s="3" t="s">
        <v>14</v>
      </c>
      <c r="I2368" s="3" t="s">
        <v>15</v>
      </c>
    </row>
    <row r="2369" spans="1:9" s="3" customFormat="1" x14ac:dyDescent="0.3">
      <c r="A2369" s="3" t="s">
        <v>165</v>
      </c>
      <c r="B2369" s="3" t="s">
        <v>166</v>
      </c>
      <c r="C2369" s="3" t="s">
        <v>60</v>
      </c>
      <c r="D2369" s="3" t="s">
        <v>71</v>
      </c>
      <c r="E2369" s="6">
        <v>0.40555555555555556</v>
      </c>
      <c r="F2369" s="6">
        <v>0.73124999999999996</v>
      </c>
      <c r="G2369" s="3" t="s">
        <v>274</v>
      </c>
      <c r="H2369" s="3" t="s">
        <v>14</v>
      </c>
      <c r="I2369" s="3" t="s">
        <v>15</v>
      </c>
    </row>
    <row r="2370" spans="1:9" s="3" customFormat="1" x14ac:dyDescent="0.3">
      <c r="A2370" s="3" t="s">
        <v>93</v>
      </c>
      <c r="B2370" s="3" t="s">
        <v>94</v>
      </c>
      <c r="C2370" s="3" t="s">
        <v>60</v>
      </c>
      <c r="D2370" s="3" t="s">
        <v>54</v>
      </c>
      <c r="E2370" s="6">
        <v>0.42569444444444443</v>
      </c>
      <c r="F2370" s="6">
        <v>0.68055555555555558</v>
      </c>
      <c r="G2370" s="3" t="s">
        <v>274</v>
      </c>
      <c r="H2370" s="3" t="s">
        <v>27</v>
      </c>
      <c r="I2370" s="3" t="s">
        <v>15</v>
      </c>
    </row>
    <row r="2371" spans="1:9" s="3" customFormat="1" x14ac:dyDescent="0.3">
      <c r="A2371" s="3" t="s">
        <v>187</v>
      </c>
      <c r="B2371" s="3" t="s">
        <v>188</v>
      </c>
      <c r="C2371" s="3" t="s">
        <v>239</v>
      </c>
      <c r="D2371" s="3" t="s">
        <v>342</v>
      </c>
      <c r="E2371" s="6">
        <v>0.45347222222222222</v>
      </c>
      <c r="F2371" s="6">
        <v>0.77361111111111114</v>
      </c>
      <c r="G2371" s="3" t="s">
        <v>26</v>
      </c>
      <c r="H2371" s="3" t="s">
        <v>27</v>
      </c>
      <c r="I2371" s="3" t="s">
        <v>21</v>
      </c>
    </row>
    <row r="2372" spans="1:9" s="3" customFormat="1" x14ac:dyDescent="0.3">
      <c r="A2372" s="3" t="s">
        <v>28</v>
      </c>
      <c r="B2372" s="3" t="s">
        <v>29</v>
      </c>
      <c r="C2372" s="3" t="s">
        <v>64</v>
      </c>
      <c r="D2372" s="3" t="s">
        <v>228</v>
      </c>
      <c r="E2372" s="6">
        <v>0.37638888888888888</v>
      </c>
      <c r="F2372" s="6">
        <v>0.69444444444444442</v>
      </c>
      <c r="G2372" s="3" t="s">
        <v>149</v>
      </c>
      <c r="H2372" s="3" t="s">
        <v>27</v>
      </c>
      <c r="I2372" s="3" t="s">
        <v>15</v>
      </c>
    </row>
    <row r="2373" spans="1:9" s="3" customFormat="1" x14ac:dyDescent="0.3">
      <c r="A2373" s="3" t="s">
        <v>224</v>
      </c>
      <c r="B2373" s="3" t="s">
        <v>225</v>
      </c>
      <c r="C2373" s="3" t="s">
        <v>24</v>
      </c>
      <c r="D2373" s="3" t="s">
        <v>126</v>
      </c>
      <c r="E2373" s="6">
        <v>0.40208333333333335</v>
      </c>
      <c r="F2373" s="6">
        <v>0.78888888888888886</v>
      </c>
      <c r="G2373" s="3" t="s">
        <v>20</v>
      </c>
      <c r="H2373" s="3" t="s">
        <v>14</v>
      </c>
      <c r="I2373" s="3" t="s">
        <v>15</v>
      </c>
    </row>
    <row r="2374" spans="1:9" s="3" customFormat="1" x14ac:dyDescent="0.3">
      <c r="A2374" s="3" t="s">
        <v>81</v>
      </c>
      <c r="B2374" s="3" t="s">
        <v>82</v>
      </c>
      <c r="C2374" s="3" t="s">
        <v>64</v>
      </c>
      <c r="D2374" s="3" t="s">
        <v>47</v>
      </c>
      <c r="E2374" s="6">
        <v>0.41944444444444445</v>
      </c>
      <c r="F2374" s="6">
        <v>0.68125000000000002</v>
      </c>
      <c r="G2374" s="3" t="s">
        <v>13</v>
      </c>
      <c r="H2374" s="3" t="s">
        <v>14</v>
      </c>
      <c r="I2374" s="3" t="s">
        <v>15</v>
      </c>
    </row>
    <row r="2375" spans="1:9" s="3" customFormat="1" x14ac:dyDescent="0.3">
      <c r="A2375" s="3" t="s">
        <v>213</v>
      </c>
      <c r="B2375" s="3" t="s">
        <v>214</v>
      </c>
      <c r="C2375" s="3" t="s">
        <v>18</v>
      </c>
      <c r="D2375" s="3" t="s">
        <v>152</v>
      </c>
      <c r="E2375" s="6">
        <v>0.42083333333333334</v>
      </c>
      <c r="F2375" s="6">
        <v>0.67708333333333337</v>
      </c>
      <c r="G2375" s="3" t="s">
        <v>20</v>
      </c>
      <c r="H2375" s="3" t="s">
        <v>14</v>
      </c>
      <c r="I2375" s="3" t="s">
        <v>21</v>
      </c>
    </row>
    <row r="2376" spans="1:9" s="3" customFormat="1" x14ac:dyDescent="0.3">
      <c r="A2376" s="3" t="s">
        <v>315</v>
      </c>
      <c r="B2376" s="3" t="s">
        <v>316</v>
      </c>
      <c r="C2376" s="3" t="s">
        <v>18</v>
      </c>
      <c r="D2376" s="3" t="s">
        <v>309</v>
      </c>
      <c r="E2376" s="6">
        <v>0.36875000000000002</v>
      </c>
      <c r="F2376" s="6">
        <v>0.78611111111111109</v>
      </c>
      <c r="G2376" s="3" t="s">
        <v>20</v>
      </c>
      <c r="H2376" s="3" t="s">
        <v>27</v>
      </c>
      <c r="I2376" s="3" t="s">
        <v>15</v>
      </c>
    </row>
    <row r="2377" spans="1:9" s="3" customFormat="1" x14ac:dyDescent="0.3">
      <c r="A2377" s="3" t="s">
        <v>90</v>
      </c>
      <c r="B2377" s="3" t="s">
        <v>91</v>
      </c>
      <c r="C2377" s="3" t="s">
        <v>24</v>
      </c>
      <c r="D2377" s="3" t="s">
        <v>369</v>
      </c>
      <c r="E2377" s="6">
        <v>0.38472222222222224</v>
      </c>
      <c r="F2377" s="6">
        <v>0.69930555555555551</v>
      </c>
      <c r="G2377" s="3" t="s">
        <v>13</v>
      </c>
      <c r="H2377" s="3" t="s">
        <v>14</v>
      </c>
      <c r="I2377" s="3" t="s">
        <v>21</v>
      </c>
    </row>
    <row r="2378" spans="1:9" s="3" customFormat="1" x14ac:dyDescent="0.3">
      <c r="A2378" s="3" t="s">
        <v>28</v>
      </c>
      <c r="B2378" s="3" t="s">
        <v>29</v>
      </c>
      <c r="C2378" s="3" t="s">
        <v>24</v>
      </c>
      <c r="D2378" s="3" t="s">
        <v>349</v>
      </c>
      <c r="E2378" s="6">
        <v>0.47499999999999998</v>
      </c>
      <c r="F2378" s="6">
        <v>0.69027777777777777</v>
      </c>
      <c r="G2378" s="3" t="s">
        <v>13</v>
      </c>
      <c r="H2378" s="3" t="s">
        <v>14</v>
      </c>
      <c r="I2378" s="3" t="s">
        <v>15</v>
      </c>
    </row>
    <row r="2379" spans="1:9" s="3" customFormat="1" x14ac:dyDescent="0.3">
      <c r="A2379" s="3" t="s">
        <v>96</v>
      </c>
      <c r="B2379" s="3" t="s">
        <v>97</v>
      </c>
      <c r="C2379" s="3" t="s">
        <v>42</v>
      </c>
      <c r="D2379" s="3" t="s">
        <v>181</v>
      </c>
      <c r="E2379" s="6">
        <v>0.42777777777777776</v>
      </c>
      <c r="F2379" s="6">
        <v>0.80763888888888891</v>
      </c>
      <c r="G2379" s="3" t="s">
        <v>13</v>
      </c>
      <c r="H2379" s="3" t="s">
        <v>27</v>
      </c>
      <c r="I2379" s="3" t="s">
        <v>15</v>
      </c>
    </row>
    <row r="2380" spans="1:9" s="3" customFormat="1" x14ac:dyDescent="0.3">
      <c r="A2380" s="3" t="s">
        <v>224</v>
      </c>
      <c r="B2380" s="3" t="s">
        <v>225</v>
      </c>
      <c r="C2380" s="3" t="s">
        <v>24</v>
      </c>
      <c r="D2380" s="3" t="s">
        <v>267</v>
      </c>
      <c r="E2380" s="6"/>
      <c r="F2380" s="6"/>
      <c r="G2380" s="3" t="s">
        <v>44</v>
      </c>
      <c r="H2380" s="3" t="s">
        <v>14</v>
      </c>
      <c r="I2380" s="3" t="s">
        <v>15</v>
      </c>
    </row>
    <row r="2381" spans="1:9" s="3" customFormat="1" x14ac:dyDescent="0.3">
      <c r="A2381" s="3" t="s">
        <v>122</v>
      </c>
      <c r="B2381" s="3" t="s">
        <v>123</v>
      </c>
      <c r="C2381" s="3" t="s">
        <v>18</v>
      </c>
      <c r="D2381" s="3" t="s">
        <v>389</v>
      </c>
      <c r="E2381" s="6">
        <v>0.36458333333333331</v>
      </c>
      <c r="F2381" s="6">
        <v>0.75138888888888888</v>
      </c>
      <c r="G2381" s="3" t="s">
        <v>26</v>
      </c>
      <c r="H2381" s="3" t="s">
        <v>14</v>
      </c>
      <c r="I2381" s="3" t="s">
        <v>15</v>
      </c>
    </row>
    <row r="2382" spans="1:9" s="3" customFormat="1" x14ac:dyDescent="0.3">
      <c r="A2382" s="3" t="s">
        <v>55</v>
      </c>
      <c r="B2382" s="3" t="s">
        <v>56</v>
      </c>
      <c r="C2382" s="3" t="s">
        <v>64</v>
      </c>
      <c r="D2382" s="3" t="s">
        <v>376</v>
      </c>
      <c r="E2382" s="6">
        <v>0.4826388888888889</v>
      </c>
      <c r="F2382" s="6">
        <v>0.83888888888888891</v>
      </c>
      <c r="G2382" s="3" t="s">
        <v>26</v>
      </c>
      <c r="H2382" s="3" t="s">
        <v>27</v>
      </c>
      <c r="I2382" s="3" t="s">
        <v>21</v>
      </c>
    </row>
    <row r="2383" spans="1:9" s="3" customFormat="1" x14ac:dyDescent="0.3">
      <c r="A2383" s="3" t="s">
        <v>269</v>
      </c>
      <c r="B2383" s="3" t="s">
        <v>270</v>
      </c>
      <c r="C2383" s="3" t="s">
        <v>42</v>
      </c>
      <c r="D2383" s="3" t="s">
        <v>414</v>
      </c>
      <c r="E2383" s="6">
        <v>0.38611111111111113</v>
      </c>
      <c r="F2383" s="6">
        <v>0.71388888888888891</v>
      </c>
      <c r="G2383" s="3" t="s">
        <v>26</v>
      </c>
      <c r="H2383" s="3" t="s">
        <v>14</v>
      </c>
      <c r="I2383" s="3" t="s">
        <v>21</v>
      </c>
    </row>
    <row r="2384" spans="1:9" s="3" customFormat="1" x14ac:dyDescent="0.3">
      <c r="A2384" s="3" t="s">
        <v>40</v>
      </c>
      <c r="B2384" s="3" t="s">
        <v>41</v>
      </c>
      <c r="C2384" s="3" t="s">
        <v>24</v>
      </c>
      <c r="D2384" s="3" t="s">
        <v>312</v>
      </c>
      <c r="E2384" s="6">
        <v>0.41180555555555554</v>
      </c>
      <c r="F2384" s="6">
        <v>0.84861111111111109</v>
      </c>
      <c r="G2384" s="3" t="s">
        <v>13</v>
      </c>
      <c r="H2384" s="3" t="s">
        <v>14</v>
      </c>
      <c r="I2384" s="3" t="s">
        <v>15</v>
      </c>
    </row>
    <row r="2385" spans="1:9" s="3" customFormat="1" x14ac:dyDescent="0.3">
      <c r="A2385" s="3" t="s">
        <v>78</v>
      </c>
      <c r="B2385" s="3" t="s">
        <v>79</v>
      </c>
      <c r="C2385" s="3" t="s">
        <v>24</v>
      </c>
      <c r="D2385" s="3" t="s">
        <v>47</v>
      </c>
      <c r="E2385" s="6">
        <v>0.42430555555555555</v>
      </c>
      <c r="F2385" s="6">
        <v>0.70277777777777772</v>
      </c>
      <c r="G2385" s="3" t="s">
        <v>125</v>
      </c>
      <c r="H2385" s="3" t="s">
        <v>14</v>
      </c>
      <c r="I2385" s="3" t="s">
        <v>21</v>
      </c>
    </row>
    <row r="2386" spans="1:9" s="3" customFormat="1" x14ac:dyDescent="0.3">
      <c r="A2386" s="3" t="s">
        <v>213</v>
      </c>
      <c r="B2386" s="3" t="s">
        <v>214</v>
      </c>
      <c r="C2386" s="3" t="s">
        <v>24</v>
      </c>
      <c r="D2386" s="3" t="s">
        <v>212</v>
      </c>
      <c r="E2386" s="6">
        <v>0.46388888888888891</v>
      </c>
      <c r="F2386" s="6">
        <v>0.70763888888888893</v>
      </c>
      <c r="G2386" s="3" t="s">
        <v>20</v>
      </c>
      <c r="H2386" s="3" t="s">
        <v>27</v>
      </c>
      <c r="I2386" s="3" t="s">
        <v>15</v>
      </c>
    </row>
    <row r="2387" spans="1:9" s="3" customFormat="1" x14ac:dyDescent="0.3">
      <c r="A2387" s="3" t="s">
        <v>75</v>
      </c>
      <c r="B2387" s="3" t="s">
        <v>76</v>
      </c>
      <c r="C2387" s="3" t="s">
        <v>18</v>
      </c>
      <c r="D2387" s="3" t="s">
        <v>398</v>
      </c>
      <c r="E2387" s="6">
        <v>0.39861111111111114</v>
      </c>
      <c r="F2387" s="6">
        <v>0.69930555555555551</v>
      </c>
      <c r="G2387" s="3" t="s">
        <v>149</v>
      </c>
      <c r="H2387" s="3" t="s">
        <v>27</v>
      </c>
      <c r="I2387" s="3" t="s">
        <v>15</v>
      </c>
    </row>
    <row r="2388" spans="1:9" s="3" customFormat="1" x14ac:dyDescent="0.3">
      <c r="A2388" s="3" t="s">
        <v>62</v>
      </c>
      <c r="B2388" s="3" t="s">
        <v>63</v>
      </c>
      <c r="C2388" s="3" t="s">
        <v>60</v>
      </c>
      <c r="D2388" s="3" t="s">
        <v>152</v>
      </c>
      <c r="E2388" s="6">
        <v>0.33680555555555558</v>
      </c>
      <c r="F2388" s="6">
        <v>0.79652777777777772</v>
      </c>
      <c r="G2388" s="3" t="s">
        <v>20</v>
      </c>
      <c r="H2388" s="3" t="s">
        <v>27</v>
      </c>
      <c r="I2388" s="3" t="s">
        <v>21</v>
      </c>
    </row>
    <row r="2389" spans="1:9" s="3" customFormat="1" x14ac:dyDescent="0.3">
      <c r="A2389" s="3" t="s">
        <v>69</v>
      </c>
      <c r="B2389" s="3" t="s">
        <v>70</v>
      </c>
      <c r="C2389" s="3" t="s">
        <v>18</v>
      </c>
      <c r="D2389" s="3" t="s">
        <v>186</v>
      </c>
      <c r="E2389" s="6">
        <v>0.44930555555555557</v>
      </c>
      <c r="F2389" s="6">
        <v>0.7944444444444444</v>
      </c>
      <c r="G2389" s="3" t="s">
        <v>20</v>
      </c>
      <c r="H2389" s="3" t="s">
        <v>14</v>
      </c>
      <c r="I2389" s="3" t="s">
        <v>15</v>
      </c>
    </row>
    <row r="2390" spans="1:9" s="3" customFormat="1" x14ac:dyDescent="0.3">
      <c r="A2390" s="3" t="s">
        <v>9</v>
      </c>
      <c r="B2390" s="3" t="s">
        <v>10</v>
      </c>
      <c r="C2390" s="3" t="s">
        <v>64</v>
      </c>
      <c r="D2390" s="3" t="s">
        <v>295</v>
      </c>
      <c r="E2390" s="6">
        <v>0.41875000000000001</v>
      </c>
      <c r="F2390" s="6">
        <v>0.83611111111111114</v>
      </c>
      <c r="G2390" s="3" t="s">
        <v>20</v>
      </c>
      <c r="H2390" s="3" t="s">
        <v>27</v>
      </c>
      <c r="I2390" s="3" t="s">
        <v>15</v>
      </c>
    </row>
    <row r="2391" spans="1:9" s="3" customFormat="1" x14ac:dyDescent="0.3">
      <c r="A2391" s="3" t="s">
        <v>224</v>
      </c>
      <c r="B2391" s="3" t="s">
        <v>225</v>
      </c>
      <c r="C2391" s="3" t="s">
        <v>11</v>
      </c>
      <c r="D2391" s="3" t="s">
        <v>126</v>
      </c>
      <c r="E2391" s="6"/>
      <c r="F2391" s="6"/>
      <c r="G2391" s="3" t="s">
        <v>44</v>
      </c>
      <c r="H2391" s="3" t="s">
        <v>14</v>
      </c>
      <c r="I2391" s="3" t="s">
        <v>21</v>
      </c>
    </row>
    <row r="2392" spans="1:9" s="3" customFormat="1" x14ac:dyDescent="0.3">
      <c r="A2392" s="3" t="s">
        <v>37</v>
      </c>
      <c r="B2392" s="3" t="s">
        <v>38</v>
      </c>
      <c r="C2392" s="3" t="s">
        <v>24</v>
      </c>
      <c r="D2392" s="3" t="s">
        <v>177</v>
      </c>
      <c r="E2392" s="6"/>
      <c r="F2392" s="6"/>
      <c r="G2392" s="3" t="s">
        <v>44</v>
      </c>
      <c r="H2392" s="3" t="s">
        <v>27</v>
      </c>
      <c r="I2392" s="3" t="s">
        <v>15</v>
      </c>
    </row>
    <row r="2393" spans="1:9" s="3" customFormat="1" x14ac:dyDescent="0.3">
      <c r="A2393" s="3" t="s">
        <v>48</v>
      </c>
      <c r="B2393" s="3" t="s">
        <v>49</v>
      </c>
      <c r="C2393" s="3" t="s">
        <v>24</v>
      </c>
      <c r="D2393" s="3" t="s">
        <v>184</v>
      </c>
      <c r="E2393" s="6"/>
      <c r="F2393" s="6"/>
      <c r="G2393" s="3" t="s">
        <v>44</v>
      </c>
      <c r="H2393" s="3" t="s">
        <v>27</v>
      </c>
      <c r="I2393" s="3" t="s">
        <v>15</v>
      </c>
    </row>
    <row r="2394" spans="1:9" s="3" customFormat="1" x14ac:dyDescent="0.3">
      <c r="A2394" s="3" t="s">
        <v>246</v>
      </c>
      <c r="B2394" s="3" t="s">
        <v>247</v>
      </c>
      <c r="C2394" s="3" t="s">
        <v>42</v>
      </c>
      <c r="D2394" s="3" t="s">
        <v>346</v>
      </c>
      <c r="E2394" s="6">
        <v>0.44374999999999998</v>
      </c>
      <c r="F2394" s="6">
        <v>0.67291666666666672</v>
      </c>
      <c r="G2394" s="3" t="s">
        <v>26</v>
      </c>
      <c r="H2394" s="3" t="s">
        <v>27</v>
      </c>
      <c r="I2394" s="3" t="s">
        <v>21</v>
      </c>
    </row>
    <row r="2395" spans="1:9" s="3" customFormat="1" x14ac:dyDescent="0.3">
      <c r="A2395" s="3" t="s">
        <v>141</v>
      </c>
      <c r="B2395" s="3" t="s">
        <v>142</v>
      </c>
      <c r="C2395" s="3" t="s">
        <v>24</v>
      </c>
      <c r="D2395" s="3" t="s">
        <v>260</v>
      </c>
      <c r="E2395" s="6">
        <v>0.36666666666666664</v>
      </c>
      <c r="F2395" s="6">
        <v>0.6791666666666667</v>
      </c>
      <c r="G2395" s="3" t="s">
        <v>13</v>
      </c>
      <c r="H2395" s="3" t="s">
        <v>27</v>
      </c>
      <c r="I2395" s="3" t="s">
        <v>21</v>
      </c>
    </row>
    <row r="2396" spans="1:9" s="3" customFormat="1" x14ac:dyDescent="0.3">
      <c r="A2396" s="3" t="s">
        <v>175</v>
      </c>
      <c r="B2396" s="3" t="s">
        <v>176</v>
      </c>
      <c r="C2396" s="3" t="s">
        <v>60</v>
      </c>
      <c r="D2396" s="3" t="s">
        <v>233</v>
      </c>
      <c r="E2396" s="6">
        <v>0.40347222222222223</v>
      </c>
      <c r="F2396" s="6">
        <v>0.81180555555555556</v>
      </c>
      <c r="G2396" s="3" t="s">
        <v>20</v>
      </c>
      <c r="H2396" s="3" t="s">
        <v>14</v>
      </c>
      <c r="I2396" s="3" t="s">
        <v>15</v>
      </c>
    </row>
    <row r="2397" spans="1:9" s="3" customFormat="1" x14ac:dyDescent="0.3">
      <c r="A2397" s="3" t="s">
        <v>194</v>
      </c>
      <c r="B2397" s="3" t="s">
        <v>195</v>
      </c>
      <c r="C2397" s="3" t="s">
        <v>18</v>
      </c>
      <c r="D2397" s="3" t="s">
        <v>245</v>
      </c>
      <c r="E2397" s="6">
        <v>0.4548611111111111</v>
      </c>
      <c r="F2397" s="6">
        <v>0.81874999999999998</v>
      </c>
      <c r="G2397" s="3" t="s">
        <v>13</v>
      </c>
      <c r="H2397" s="3" t="s">
        <v>14</v>
      </c>
      <c r="I2397" s="3" t="s">
        <v>21</v>
      </c>
    </row>
    <row r="2398" spans="1:9" s="3" customFormat="1" x14ac:dyDescent="0.3">
      <c r="A2398" s="3" t="s">
        <v>165</v>
      </c>
      <c r="B2398" s="3" t="s">
        <v>166</v>
      </c>
      <c r="C2398" s="3" t="s">
        <v>24</v>
      </c>
      <c r="D2398" s="3" t="s">
        <v>164</v>
      </c>
      <c r="E2398" s="6">
        <v>0.36180555555555555</v>
      </c>
      <c r="F2398" s="6">
        <v>0.79583333333333328</v>
      </c>
      <c r="G2398" s="3" t="s">
        <v>170</v>
      </c>
      <c r="H2398" s="3" t="s">
        <v>27</v>
      </c>
      <c r="I2398" s="3" t="s">
        <v>15</v>
      </c>
    </row>
    <row r="2399" spans="1:9" s="3" customFormat="1" x14ac:dyDescent="0.3">
      <c r="A2399" s="3" t="s">
        <v>250</v>
      </c>
      <c r="B2399" s="3" t="s">
        <v>251</v>
      </c>
      <c r="C2399" s="3" t="s">
        <v>64</v>
      </c>
      <c r="D2399" s="3" t="s">
        <v>220</v>
      </c>
      <c r="E2399" s="6">
        <v>0.37083333333333335</v>
      </c>
      <c r="F2399" s="6">
        <v>0.84583333333333333</v>
      </c>
      <c r="G2399" s="3" t="s">
        <v>13</v>
      </c>
      <c r="H2399" s="3" t="s">
        <v>27</v>
      </c>
      <c r="I2399" s="3" t="s">
        <v>15</v>
      </c>
    </row>
    <row r="2400" spans="1:9" s="3" customFormat="1" x14ac:dyDescent="0.3">
      <c r="A2400" s="3" t="s">
        <v>90</v>
      </c>
      <c r="B2400" s="3" t="s">
        <v>91</v>
      </c>
      <c r="C2400" s="3" t="s">
        <v>24</v>
      </c>
      <c r="D2400" s="3" t="s">
        <v>258</v>
      </c>
      <c r="E2400" s="6"/>
      <c r="F2400" s="6"/>
      <c r="G2400" s="3" t="s">
        <v>44</v>
      </c>
      <c r="H2400" s="3" t="s">
        <v>27</v>
      </c>
      <c r="I2400" s="3" t="s">
        <v>15</v>
      </c>
    </row>
    <row r="2401" spans="1:9" s="3" customFormat="1" x14ac:dyDescent="0.3">
      <c r="A2401" s="3" t="s">
        <v>55</v>
      </c>
      <c r="B2401" s="3" t="s">
        <v>56</v>
      </c>
      <c r="C2401" s="3" t="s">
        <v>18</v>
      </c>
      <c r="D2401" s="3" t="s">
        <v>389</v>
      </c>
      <c r="E2401" s="6">
        <v>0.38194444444444442</v>
      </c>
      <c r="F2401" s="6">
        <v>0.78125</v>
      </c>
      <c r="G2401" s="3" t="s">
        <v>20</v>
      </c>
      <c r="H2401" s="3" t="s">
        <v>14</v>
      </c>
      <c r="I2401" s="3" t="s">
        <v>21</v>
      </c>
    </row>
    <row r="2402" spans="1:9" s="3" customFormat="1" x14ac:dyDescent="0.3">
      <c r="A2402" s="3" t="s">
        <v>146</v>
      </c>
      <c r="B2402" s="3" t="s">
        <v>147</v>
      </c>
      <c r="C2402" s="3" t="s">
        <v>24</v>
      </c>
      <c r="D2402" s="3" t="s">
        <v>209</v>
      </c>
      <c r="E2402" s="6">
        <v>0.36041666666666666</v>
      </c>
      <c r="F2402" s="6">
        <v>0.80486111111111114</v>
      </c>
      <c r="G2402" s="3" t="s">
        <v>26</v>
      </c>
      <c r="H2402" s="3" t="s">
        <v>14</v>
      </c>
      <c r="I2402" s="3" t="s">
        <v>21</v>
      </c>
    </row>
    <row r="2403" spans="1:9" s="3" customFormat="1" x14ac:dyDescent="0.3">
      <c r="A2403" s="3" t="s">
        <v>62</v>
      </c>
      <c r="B2403" s="3" t="s">
        <v>63</v>
      </c>
      <c r="C2403" s="3" t="s">
        <v>24</v>
      </c>
      <c r="D2403" s="3" t="s">
        <v>376</v>
      </c>
      <c r="E2403" s="6"/>
      <c r="F2403" s="6"/>
      <c r="G2403" s="3" t="s">
        <v>44</v>
      </c>
      <c r="H2403" s="3" t="s">
        <v>14</v>
      </c>
      <c r="I2403" s="3" t="s">
        <v>15</v>
      </c>
    </row>
    <row r="2404" spans="1:9" s="3" customFormat="1" x14ac:dyDescent="0.3">
      <c r="A2404" s="3" t="s">
        <v>362</v>
      </c>
      <c r="B2404" s="3" t="s">
        <v>363</v>
      </c>
      <c r="C2404" s="3" t="s">
        <v>42</v>
      </c>
      <c r="D2404" s="3" t="s">
        <v>321</v>
      </c>
      <c r="E2404" s="6">
        <v>0.43125000000000002</v>
      </c>
      <c r="F2404" s="6">
        <v>0.85972222222222228</v>
      </c>
      <c r="G2404" s="3" t="s">
        <v>13</v>
      </c>
      <c r="H2404" s="3" t="s">
        <v>14</v>
      </c>
      <c r="I2404" s="3" t="s">
        <v>21</v>
      </c>
    </row>
    <row r="2405" spans="1:9" s="3" customFormat="1" x14ac:dyDescent="0.3">
      <c r="A2405" s="3" t="s">
        <v>109</v>
      </c>
      <c r="B2405" s="3" t="s">
        <v>110</v>
      </c>
      <c r="C2405" s="3" t="s">
        <v>24</v>
      </c>
      <c r="D2405" s="3" t="s">
        <v>258</v>
      </c>
      <c r="E2405" s="6">
        <v>0.44236111111111109</v>
      </c>
      <c r="F2405" s="6">
        <v>0.85277777777777775</v>
      </c>
      <c r="G2405" s="3" t="s">
        <v>26</v>
      </c>
      <c r="H2405" s="3" t="s">
        <v>14</v>
      </c>
      <c r="I2405" s="3" t="s">
        <v>21</v>
      </c>
    </row>
    <row r="2406" spans="1:9" s="3" customFormat="1" x14ac:dyDescent="0.3">
      <c r="A2406" s="3" t="s">
        <v>62</v>
      </c>
      <c r="B2406" s="3" t="s">
        <v>63</v>
      </c>
      <c r="C2406" s="3" t="s">
        <v>60</v>
      </c>
      <c r="D2406" s="3" t="s">
        <v>174</v>
      </c>
      <c r="E2406" s="6">
        <v>0.37708333333333333</v>
      </c>
      <c r="F2406" s="6">
        <v>0.8256944444444444</v>
      </c>
      <c r="G2406" s="3" t="s">
        <v>13</v>
      </c>
      <c r="H2406" s="3" t="s">
        <v>27</v>
      </c>
      <c r="I2406" s="3" t="s">
        <v>21</v>
      </c>
    </row>
    <row r="2407" spans="1:9" s="3" customFormat="1" x14ac:dyDescent="0.3">
      <c r="A2407" s="3" t="s">
        <v>338</v>
      </c>
      <c r="B2407" s="3" t="s">
        <v>339</v>
      </c>
      <c r="C2407" s="3" t="s">
        <v>64</v>
      </c>
      <c r="D2407" s="3" t="s">
        <v>263</v>
      </c>
      <c r="E2407" s="6">
        <v>0.38124999999999998</v>
      </c>
      <c r="F2407" s="6">
        <v>0.83819444444444446</v>
      </c>
      <c r="G2407" s="3" t="s">
        <v>13</v>
      </c>
      <c r="H2407" s="3" t="s">
        <v>27</v>
      </c>
      <c r="I2407" s="3" t="s">
        <v>21</v>
      </c>
    </row>
    <row r="2408" spans="1:9" s="3" customFormat="1" x14ac:dyDescent="0.3">
      <c r="A2408" s="3" t="s">
        <v>157</v>
      </c>
      <c r="B2408" s="3" t="s">
        <v>158</v>
      </c>
      <c r="C2408" s="3" t="s">
        <v>42</v>
      </c>
      <c r="D2408" s="3" t="s">
        <v>89</v>
      </c>
      <c r="E2408" s="6"/>
      <c r="F2408" s="6"/>
      <c r="G2408" s="3" t="s">
        <v>44</v>
      </c>
      <c r="H2408" s="3" t="s">
        <v>14</v>
      </c>
      <c r="I2408" s="3" t="s">
        <v>21</v>
      </c>
    </row>
    <row r="2409" spans="1:9" s="3" customFormat="1" x14ac:dyDescent="0.3">
      <c r="A2409" s="3" t="s">
        <v>246</v>
      </c>
      <c r="B2409" s="3" t="s">
        <v>247</v>
      </c>
      <c r="C2409" s="3" t="s">
        <v>42</v>
      </c>
      <c r="D2409" s="3" t="s">
        <v>218</v>
      </c>
      <c r="E2409" s="6">
        <v>0.36527777777777776</v>
      </c>
      <c r="F2409" s="6">
        <v>0.70347222222222228</v>
      </c>
      <c r="G2409" s="3" t="s">
        <v>13</v>
      </c>
      <c r="H2409" s="3" t="s">
        <v>27</v>
      </c>
      <c r="I2409" s="3" t="s">
        <v>15</v>
      </c>
    </row>
    <row r="2410" spans="1:9" s="3" customFormat="1" x14ac:dyDescent="0.3">
      <c r="A2410" s="3" t="s">
        <v>236</v>
      </c>
      <c r="B2410" s="3" t="s">
        <v>237</v>
      </c>
      <c r="C2410" s="3" t="s">
        <v>64</v>
      </c>
      <c r="D2410" s="3" t="s">
        <v>39</v>
      </c>
      <c r="E2410" s="6">
        <v>0.43680555555555556</v>
      </c>
      <c r="F2410" s="6">
        <v>0.69027777777777777</v>
      </c>
      <c r="G2410" s="3" t="s">
        <v>26</v>
      </c>
      <c r="H2410" s="3" t="s">
        <v>27</v>
      </c>
      <c r="I2410" s="3" t="s">
        <v>15</v>
      </c>
    </row>
    <row r="2411" spans="1:9" s="3" customFormat="1" x14ac:dyDescent="0.3">
      <c r="A2411" s="3" t="s">
        <v>216</v>
      </c>
      <c r="B2411" s="3" t="s">
        <v>217</v>
      </c>
      <c r="C2411" s="3" t="s">
        <v>64</v>
      </c>
      <c r="D2411" s="3" t="s">
        <v>258</v>
      </c>
      <c r="E2411" s="6"/>
      <c r="F2411" s="6"/>
      <c r="G2411" s="3" t="s">
        <v>44</v>
      </c>
      <c r="H2411" s="3" t="s">
        <v>27</v>
      </c>
      <c r="I2411" s="3" t="s">
        <v>21</v>
      </c>
    </row>
    <row r="2412" spans="1:9" s="3" customFormat="1" x14ac:dyDescent="0.3">
      <c r="A2412" s="3" t="s">
        <v>362</v>
      </c>
      <c r="B2412" s="3" t="s">
        <v>363</v>
      </c>
      <c r="C2412" s="3" t="s">
        <v>24</v>
      </c>
      <c r="D2412" s="3" t="s">
        <v>396</v>
      </c>
      <c r="E2412" s="6"/>
      <c r="F2412" s="6"/>
      <c r="G2412" s="3" t="s">
        <v>44</v>
      </c>
      <c r="H2412" s="3" t="s">
        <v>27</v>
      </c>
      <c r="I2412" s="3" t="s">
        <v>21</v>
      </c>
    </row>
    <row r="2413" spans="1:9" s="3" customFormat="1" x14ac:dyDescent="0.3">
      <c r="A2413" s="3" t="s">
        <v>194</v>
      </c>
      <c r="B2413" s="3" t="s">
        <v>195</v>
      </c>
      <c r="C2413" s="3" t="s">
        <v>18</v>
      </c>
      <c r="D2413" s="3" t="s">
        <v>398</v>
      </c>
      <c r="E2413" s="6"/>
      <c r="F2413" s="6"/>
      <c r="G2413" s="3" t="s">
        <v>44</v>
      </c>
      <c r="H2413" s="3" t="s">
        <v>14</v>
      </c>
      <c r="I2413" s="3" t="s">
        <v>15</v>
      </c>
    </row>
    <row r="2414" spans="1:9" s="3" customFormat="1" x14ac:dyDescent="0.3">
      <c r="A2414" s="3" t="s">
        <v>187</v>
      </c>
      <c r="B2414" s="3" t="s">
        <v>188</v>
      </c>
      <c r="C2414" s="3" t="s">
        <v>60</v>
      </c>
      <c r="D2414" s="3" t="s">
        <v>208</v>
      </c>
      <c r="E2414" s="6">
        <v>0.42430555555555555</v>
      </c>
      <c r="F2414" s="6">
        <v>0.79236111111111107</v>
      </c>
      <c r="G2414" s="3" t="s">
        <v>13</v>
      </c>
      <c r="H2414" s="3" t="s">
        <v>14</v>
      </c>
      <c r="I2414" s="3" t="s">
        <v>15</v>
      </c>
    </row>
    <row r="2415" spans="1:9" s="3" customFormat="1" x14ac:dyDescent="0.3">
      <c r="A2415" s="3" t="s">
        <v>22</v>
      </c>
      <c r="B2415" s="3" t="s">
        <v>23</v>
      </c>
      <c r="C2415" s="3" t="s">
        <v>18</v>
      </c>
      <c r="D2415" s="3" t="s">
        <v>392</v>
      </c>
      <c r="E2415" s="6"/>
      <c r="F2415" s="6"/>
      <c r="G2415" s="3" t="s">
        <v>44</v>
      </c>
      <c r="H2415" s="3" t="s">
        <v>27</v>
      </c>
      <c r="I2415" s="3" t="s">
        <v>15</v>
      </c>
    </row>
    <row r="2416" spans="1:9" s="3" customFormat="1" x14ac:dyDescent="0.3">
      <c r="A2416" s="3" t="s">
        <v>9</v>
      </c>
      <c r="B2416" s="3" t="s">
        <v>10</v>
      </c>
      <c r="C2416" s="3" t="s">
        <v>60</v>
      </c>
      <c r="D2416" s="3" t="s">
        <v>320</v>
      </c>
      <c r="E2416" s="6">
        <v>0.34097222222222223</v>
      </c>
      <c r="F2416" s="6">
        <v>0.73055555555555551</v>
      </c>
      <c r="G2416" s="3" t="s">
        <v>26</v>
      </c>
      <c r="H2416" s="3" t="s">
        <v>27</v>
      </c>
      <c r="I2416" s="3" t="s">
        <v>15</v>
      </c>
    </row>
    <row r="2417" spans="1:9" s="3" customFormat="1" x14ac:dyDescent="0.3">
      <c r="A2417" s="3" t="s">
        <v>119</v>
      </c>
      <c r="B2417" s="3" t="s">
        <v>120</v>
      </c>
      <c r="C2417" s="3" t="s">
        <v>18</v>
      </c>
      <c r="D2417" s="3" t="s">
        <v>321</v>
      </c>
      <c r="E2417" s="6">
        <v>0.47847222222222224</v>
      </c>
      <c r="F2417" s="6">
        <v>0.78472222222222221</v>
      </c>
      <c r="G2417" s="3" t="s">
        <v>26</v>
      </c>
      <c r="H2417" s="3" t="s">
        <v>27</v>
      </c>
      <c r="I2417" s="3" t="s">
        <v>21</v>
      </c>
    </row>
    <row r="2418" spans="1:9" s="3" customFormat="1" x14ac:dyDescent="0.3">
      <c r="A2418" s="3" t="s">
        <v>141</v>
      </c>
      <c r="B2418" s="3" t="s">
        <v>142</v>
      </c>
      <c r="C2418" s="3" t="s">
        <v>18</v>
      </c>
      <c r="D2418" s="3" t="s">
        <v>359</v>
      </c>
      <c r="E2418" s="6">
        <v>0.42777777777777776</v>
      </c>
      <c r="F2418" s="6">
        <v>0.75555555555555554</v>
      </c>
      <c r="G2418" s="3" t="s">
        <v>26</v>
      </c>
      <c r="H2418" s="3" t="s">
        <v>27</v>
      </c>
      <c r="I2418" s="3" t="s">
        <v>21</v>
      </c>
    </row>
    <row r="2419" spans="1:9" s="3" customFormat="1" x14ac:dyDescent="0.3">
      <c r="A2419" s="3" t="s">
        <v>112</v>
      </c>
      <c r="B2419" s="3" t="s">
        <v>113</v>
      </c>
      <c r="C2419" s="3" t="s">
        <v>18</v>
      </c>
      <c r="D2419" s="3" t="s">
        <v>375</v>
      </c>
      <c r="E2419" s="6">
        <v>0.39097222222222222</v>
      </c>
      <c r="F2419" s="6">
        <v>0.77847222222222223</v>
      </c>
      <c r="G2419" s="3" t="s">
        <v>20</v>
      </c>
      <c r="H2419" s="3" t="s">
        <v>27</v>
      </c>
      <c r="I2419" s="3" t="s">
        <v>15</v>
      </c>
    </row>
    <row r="2420" spans="1:9" s="3" customFormat="1" x14ac:dyDescent="0.3">
      <c r="A2420" s="3" t="s">
        <v>31</v>
      </c>
      <c r="B2420" s="3" t="s">
        <v>32</v>
      </c>
      <c r="C2420" s="3" t="s">
        <v>24</v>
      </c>
      <c r="D2420" s="3" t="s">
        <v>241</v>
      </c>
      <c r="E2420" s="6">
        <v>0.49722222222222223</v>
      </c>
      <c r="F2420" s="6">
        <v>0.87013888888888891</v>
      </c>
      <c r="G2420" s="3" t="s">
        <v>26</v>
      </c>
      <c r="H2420" s="3" t="s">
        <v>27</v>
      </c>
      <c r="I2420" s="3" t="s">
        <v>15</v>
      </c>
    </row>
    <row r="2421" spans="1:9" s="3" customFormat="1" x14ac:dyDescent="0.3">
      <c r="A2421" s="3" t="s">
        <v>200</v>
      </c>
      <c r="B2421" s="3" t="s">
        <v>201</v>
      </c>
      <c r="C2421" s="3" t="s">
        <v>24</v>
      </c>
      <c r="D2421" s="3" t="s">
        <v>361</v>
      </c>
      <c r="E2421" s="6"/>
      <c r="F2421" s="6"/>
      <c r="G2421" s="3" t="s">
        <v>44</v>
      </c>
      <c r="H2421" s="3" t="s">
        <v>27</v>
      </c>
      <c r="I2421" s="3" t="s">
        <v>21</v>
      </c>
    </row>
    <row r="2422" spans="1:9" s="3" customFormat="1" x14ac:dyDescent="0.3">
      <c r="A2422" s="3" t="s">
        <v>16</v>
      </c>
      <c r="B2422" s="3" t="s">
        <v>17</v>
      </c>
      <c r="C2422" s="3" t="s">
        <v>64</v>
      </c>
      <c r="D2422" s="3" t="s">
        <v>164</v>
      </c>
      <c r="E2422" s="6">
        <v>0.3840277777777778</v>
      </c>
      <c r="F2422" s="6">
        <v>0.81944444444444442</v>
      </c>
      <c r="G2422" s="3" t="s">
        <v>26</v>
      </c>
      <c r="H2422" s="3" t="s">
        <v>27</v>
      </c>
      <c r="I2422" s="3" t="s">
        <v>15</v>
      </c>
    </row>
    <row r="2423" spans="1:9" s="3" customFormat="1" x14ac:dyDescent="0.3">
      <c r="A2423" s="3" t="s">
        <v>171</v>
      </c>
      <c r="B2423" s="3" t="s">
        <v>172</v>
      </c>
      <c r="C2423" s="3" t="s">
        <v>18</v>
      </c>
      <c r="D2423" s="3" t="s">
        <v>160</v>
      </c>
      <c r="E2423" s="6">
        <v>0.38750000000000001</v>
      </c>
      <c r="F2423" s="6">
        <v>0.80069444444444449</v>
      </c>
      <c r="G2423" s="3" t="s">
        <v>20</v>
      </c>
      <c r="H2423" s="3" t="s">
        <v>14</v>
      </c>
      <c r="I2423" s="3" t="s">
        <v>21</v>
      </c>
    </row>
    <row r="2424" spans="1:9" s="3" customFormat="1" x14ac:dyDescent="0.3">
      <c r="A2424" s="3" t="s">
        <v>175</v>
      </c>
      <c r="B2424" s="3" t="s">
        <v>176</v>
      </c>
      <c r="C2424" s="3" t="s">
        <v>64</v>
      </c>
      <c r="D2424" s="3" t="s">
        <v>284</v>
      </c>
      <c r="E2424" s="6"/>
      <c r="F2424" s="6"/>
      <c r="G2424" s="3" t="s">
        <v>44</v>
      </c>
      <c r="H2424" s="3" t="s">
        <v>27</v>
      </c>
      <c r="I2424" s="3" t="s">
        <v>21</v>
      </c>
    </row>
    <row r="2425" spans="1:9" s="3" customFormat="1" x14ac:dyDescent="0.3">
      <c r="A2425" s="3" t="s">
        <v>246</v>
      </c>
      <c r="B2425" s="3" t="s">
        <v>247</v>
      </c>
      <c r="C2425" s="3" t="s">
        <v>60</v>
      </c>
      <c r="D2425" s="3" t="s">
        <v>367</v>
      </c>
      <c r="E2425" s="6">
        <v>0.40833333333333333</v>
      </c>
      <c r="F2425" s="6">
        <v>0.80833333333333335</v>
      </c>
      <c r="G2425" s="3" t="s">
        <v>13</v>
      </c>
      <c r="H2425" s="3" t="s">
        <v>14</v>
      </c>
      <c r="I2425" s="3" t="s">
        <v>21</v>
      </c>
    </row>
    <row r="2426" spans="1:9" s="3" customFormat="1" x14ac:dyDescent="0.3">
      <c r="A2426" s="3" t="s">
        <v>171</v>
      </c>
      <c r="B2426" s="3" t="s">
        <v>172</v>
      </c>
      <c r="C2426" s="3" t="s">
        <v>64</v>
      </c>
      <c r="D2426" s="3" t="s">
        <v>160</v>
      </c>
      <c r="E2426" s="6">
        <v>0.47499999999999998</v>
      </c>
      <c r="F2426" s="6">
        <v>0.85277777777777775</v>
      </c>
      <c r="G2426" s="3" t="s">
        <v>26</v>
      </c>
      <c r="H2426" s="3" t="s">
        <v>14</v>
      </c>
      <c r="I2426" s="3" t="s">
        <v>21</v>
      </c>
    </row>
    <row r="2427" spans="1:9" s="3" customFormat="1" x14ac:dyDescent="0.3">
      <c r="A2427" s="3" t="s">
        <v>236</v>
      </c>
      <c r="B2427" s="3" t="s">
        <v>237</v>
      </c>
      <c r="C2427" s="3" t="s">
        <v>64</v>
      </c>
      <c r="D2427" s="3" t="s">
        <v>159</v>
      </c>
      <c r="E2427" s="6">
        <v>0.44791666666666669</v>
      </c>
      <c r="F2427" s="6">
        <v>0.71875</v>
      </c>
      <c r="G2427" s="3" t="s">
        <v>13</v>
      </c>
      <c r="H2427" s="3" t="s">
        <v>14</v>
      </c>
      <c r="I2427" s="3" t="s">
        <v>21</v>
      </c>
    </row>
    <row r="2428" spans="1:9" s="3" customFormat="1" x14ac:dyDescent="0.3">
      <c r="A2428" s="3" t="s">
        <v>362</v>
      </c>
      <c r="B2428" s="3" t="s">
        <v>363</v>
      </c>
      <c r="C2428" s="3" t="s">
        <v>24</v>
      </c>
      <c r="D2428" s="3" t="s">
        <v>179</v>
      </c>
      <c r="E2428" s="6">
        <v>0.3659722222222222</v>
      </c>
      <c r="F2428" s="6">
        <v>0.82916666666666672</v>
      </c>
      <c r="G2428" s="3" t="s">
        <v>13</v>
      </c>
      <c r="H2428" s="3" t="s">
        <v>27</v>
      </c>
      <c r="I2428" s="3" t="s">
        <v>21</v>
      </c>
    </row>
    <row r="2429" spans="1:9" s="3" customFormat="1" x14ac:dyDescent="0.3">
      <c r="A2429" s="3" t="s">
        <v>150</v>
      </c>
      <c r="B2429" s="3" t="s">
        <v>151</v>
      </c>
      <c r="C2429" s="3" t="s">
        <v>60</v>
      </c>
      <c r="D2429" s="3" t="s">
        <v>106</v>
      </c>
      <c r="E2429" s="6">
        <v>0.39444444444444443</v>
      </c>
      <c r="F2429" s="6">
        <v>0.84375</v>
      </c>
      <c r="G2429" s="3" t="s">
        <v>26</v>
      </c>
      <c r="H2429" s="3" t="s">
        <v>14</v>
      </c>
      <c r="I2429" s="3" t="s">
        <v>21</v>
      </c>
    </row>
    <row r="2430" spans="1:9" s="3" customFormat="1" x14ac:dyDescent="0.3">
      <c r="A2430" s="3" t="s">
        <v>55</v>
      </c>
      <c r="B2430" s="3" t="s">
        <v>56</v>
      </c>
      <c r="C2430" s="3" t="s">
        <v>18</v>
      </c>
      <c r="D2430" s="3" t="s">
        <v>153</v>
      </c>
      <c r="E2430" s="6">
        <v>0.47638888888888886</v>
      </c>
      <c r="F2430" s="6">
        <v>0.76875000000000004</v>
      </c>
      <c r="G2430" s="3" t="s">
        <v>20</v>
      </c>
      <c r="H2430" s="3" t="s">
        <v>27</v>
      </c>
      <c r="I2430" s="3" t="s">
        <v>15</v>
      </c>
    </row>
    <row r="2431" spans="1:9" s="3" customFormat="1" x14ac:dyDescent="0.3">
      <c r="A2431" s="3" t="s">
        <v>115</v>
      </c>
      <c r="B2431" s="3" t="s">
        <v>116</v>
      </c>
      <c r="C2431" s="3" t="s">
        <v>60</v>
      </c>
      <c r="D2431" s="3" t="s">
        <v>369</v>
      </c>
      <c r="E2431" s="6">
        <v>0.3659722222222222</v>
      </c>
      <c r="F2431" s="6">
        <v>0.84236111111111112</v>
      </c>
      <c r="G2431" s="3" t="s">
        <v>26</v>
      </c>
      <c r="H2431" s="3" t="s">
        <v>27</v>
      </c>
      <c r="I2431" s="3" t="s">
        <v>15</v>
      </c>
    </row>
    <row r="2432" spans="1:9" s="3" customFormat="1" x14ac:dyDescent="0.3">
      <c r="A2432" s="3" t="s">
        <v>16</v>
      </c>
      <c r="B2432" s="3" t="s">
        <v>17</v>
      </c>
      <c r="C2432" s="3" t="s">
        <v>64</v>
      </c>
      <c r="D2432" s="3" t="s">
        <v>254</v>
      </c>
      <c r="E2432" s="6">
        <v>0.45</v>
      </c>
      <c r="F2432" s="6">
        <v>0.71875</v>
      </c>
      <c r="G2432" s="3" t="s">
        <v>20</v>
      </c>
      <c r="H2432" s="3" t="s">
        <v>14</v>
      </c>
      <c r="I2432" s="3" t="s">
        <v>21</v>
      </c>
    </row>
    <row r="2433" spans="1:9" s="3" customFormat="1" x14ac:dyDescent="0.3">
      <c r="A2433" s="3" t="s">
        <v>62</v>
      </c>
      <c r="B2433" s="3" t="s">
        <v>63</v>
      </c>
      <c r="C2433" s="3" t="s">
        <v>64</v>
      </c>
      <c r="D2433" s="3" t="s">
        <v>105</v>
      </c>
      <c r="E2433" s="6">
        <v>0.37361111111111112</v>
      </c>
      <c r="F2433" s="6">
        <v>0.6875</v>
      </c>
      <c r="G2433" s="3" t="s">
        <v>26</v>
      </c>
      <c r="H2433" s="3" t="s">
        <v>14</v>
      </c>
      <c r="I2433" s="3" t="s">
        <v>21</v>
      </c>
    </row>
    <row r="2434" spans="1:9" s="3" customFormat="1" x14ac:dyDescent="0.3">
      <c r="A2434" s="3" t="s">
        <v>216</v>
      </c>
      <c r="B2434" s="3" t="s">
        <v>217</v>
      </c>
      <c r="C2434" s="3" t="s">
        <v>64</v>
      </c>
      <c r="D2434" s="3" t="s">
        <v>98</v>
      </c>
      <c r="E2434" s="6">
        <v>0.46736111111111112</v>
      </c>
      <c r="F2434" s="6">
        <v>0.71180555555555558</v>
      </c>
      <c r="G2434" s="3" t="s">
        <v>149</v>
      </c>
      <c r="H2434" s="3" t="s">
        <v>27</v>
      </c>
      <c r="I2434" s="3" t="s">
        <v>15</v>
      </c>
    </row>
    <row r="2435" spans="1:9" s="3" customFormat="1" x14ac:dyDescent="0.3">
      <c r="A2435" s="3" t="s">
        <v>84</v>
      </c>
      <c r="B2435" s="3" t="s">
        <v>85</v>
      </c>
      <c r="C2435" s="3" t="s">
        <v>60</v>
      </c>
      <c r="D2435" s="3" t="s">
        <v>136</v>
      </c>
      <c r="E2435" s="6">
        <v>0.35</v>
      </c>
      <c r="F2435" s="6">
        <v>0.71736111111111112</v>
      </c>
      <c r="G2435" s="3" t="s">
        <v>20</v>
      </c>
      <c r="H2435" s="3" t="s">
        <v>14</v>
      </c>
      <c r="I2435" s="3" t="s">
        <v>15</v>
      </c>
    </row>
    <row r="2436" spans="1:9" s="3" customFormat="1" x14ac:dyDescent="0.3">
      <c r="A2436" s="3" t="s">
        <v>138</v>
      </c>
      <c r="B2436" s="3" t="s">
        <v>139</v>
      </c>
      <c r="C2436" s="3" t="s">
        <v>64</v>
      </c>
      <c r="D2436" s="3" t="s">
        <v>111</v>
      </c>
      <c r="E2436" s="6">
        <v>0.41319444444444442</v>
      </c>
      <c r="F2436" s="6">
        <v>0.87152777777777779</v>
      </c>
      <c r="G2436" s="3" t="s">
        <v>13</v>
      </c>
      <c r="H2436" s="3" t="s">
        <v>27</v>
      </c>
      <c r="I2436" s="3" t="s">
        <v>21</v>
      </c>
    </row>
    <row r="2437" spans="1:9" s="3" customFormat="1" x14ac:dyDescent="0.3">
      <c r="A2437" s="3" t="s">
        <v>146</v>
      </c>
      <c r="B2437" s="3" t="s">
        <v>147</v>
      </c>
      <c r="C2437" s="3" t="s">
        <v>167</v>
      </c>
      <c r="D2437" s="3" t="s">
        <v>104</v>
      </c>
      <c r="E2437" s="6">
        <v>0.36388888888888887</v>
      </c>
      <c r="F2437" s="6">
        <v>0.78402777777777777</v>
      </c>
      <c r="G2437" s="3" t="s">
        <v>13</v>
      </c>
      <c r="H2437" s="3" t="s">
        <v>27</v>
      </c>
      <c r="I2437" s="3" t="s">
        <v>21</v>
      </c>
    </row>
    <row r="2438" spans="1:9" s="3" customFormat="1" x14ac:dyDescent="0.3">
      <c r="A2438" s="3" t="s">
        <v>204</v>
      </c>
      <c r="B2438" s="3" t="s">
        <v>205</v>
      </c>
      <c r="C2438" s="3" t="s">
        <v>18</v>
      </c>
      <c r="D2438" s="3" t="s">
        <v>208</v>
      </c>
      <c r="E2438" s="6"/>
      <c r="F2438" s="6"/>
      <c r="G2438" s="3" t="s">
        <v>44</v>
      </c>
      <c r="H2438" s="3" t="s">
        <v>27</v>
      </c>
      <c r="I2438" s="3" t="s">
        <v>15</v>
      </c>
    </row>
    <row r="2439" spans="1:9" s="3" customFormat="1" x14ac:dyDescent="0.3">
      <c r="A2439" s="3" t="s">
        <v>69</v>
      </c>
      <c r="B2439" s="3" t="s">
        <v>70</v>
      </c>
      <c r="C2439" s="3" t="s">
        <v>42</v>
      </c>
      <c r="D2439" s="3" t="s">
        <v>145</v>
      </c>
      <c r="E2439" s="6">
        <v>0.48680555555555555</v>
      </c>
      <c r="F2439" s="6">
        <v>0.84652777777777777</v>
      </c>
      <c r="G2439" s="3" t="s">
        <v>20</v>
      </c>
      <c r="H2439" s="3" t="s">
        <v>14</v>
      </c>
      <c r="I2439" s="3" t="s">
        <v>15</v>
      </c>
    </row>
    <row r="2440" spans="1:9" s="3" customFormat="1" x14ac:dyDescent="0.3">
      <c r="A2440" s="3" t="s">
        <v>34</v>
      </c>
      <c r="B2440" s="3" t="s">
        <v>35</v>
      </c>
      <c r="C2440" s="3" t="s">
        <v>143</v>
      </c>
      <c r="D2440" s="3" t="s">
        <v>301</v>
      </c>
      <c r="E2440" s="6">
        <v>0.40763888888888888</v>
      </c>
      <c r="F2440" s="6">
        <v>0.8618055555555556</v>
      </c>
      <c r="G2440" s="3" t="s">
        <v>13</v>
      </c>
      <c r="H2440" s="3" t="s">
        <v>14</v>
      </c>
      <c r="I2440" s="3" t="s">
        <v>15</v>
      </c>
    </row>
    <row r="2441" spans="1:9" s="3" customFormat="1" x14ac:dyDescent="0.3">
      <c r="A2441" s="3" t="s">
        <v>55</v>
      </c>
      <c r="B2441" s="3" t="s">
        <v>56</v>
      </c>
      <c r="C2441" s="3" t="s">
        <v>24</v>
      </c>
      <c r="D2441" s="3" t="s">
        <v>359</v>
      </c>
      <c r="E2441" s="6">
        <v>0.36319444444444443</v>
      </c>
      <c r="F2441" s="6">
        <v>0.80069444444444449</v>
      </c>
      <c r="G2441" s="3" t="s">
        <v>26</v>
      </c>
      <c r="H2441" s="3" t="s">
        <v>27</v>
      </c>
      <c r="I2441" s="3" t="s">
        <v>15</v>
      </c>
    </row>
    <row r="2442" spans="1:9" s="3" customFormat="1" x14ac:dyDescent="0.3">
      <c r="A2442" s="3" t="s">
        <v>197</v>
      </c>
      <c r="B2442" s="3" t="s">
        <v>198</v>
      </c>
      <c r="C2442" s="3" t="s">
        <v>239</v>
      </c>
      <c r="D2442" s="3" t="s">
        <v>19</v>
      </c>
      <c r="E2442" s="6">
        <v>0.47847222222222224</v>
      </c>
      <c r="F2442" s="6">
        <v>0.74791666666666667</v>
      </c>
      <c r="G2442" s="3" t="s">
        <v>20</v>
      </c>
      <c r="H2442" s="3" t="s">
        <v>27</v>
      </c>
      <c r="I2442" s="3" t="s">
        <v>15</v>
      </c>
    </row>
    <row r="2443" spans="1:9" s="3" customFormat="1" x14ac:dyDescent="0.3">
      <c r="A2443" s="3" t="s">
        <v>187</v>
      </c>
      <c r="B2443" s="3" t="s">
        <v>188</v>
      </c>
      <c r="C2443" s="3" t="s">
        <v>24</v>
      </c>
      <c r="D2443" s="3" t="s">
        <v>413</v>
      </c>
      <c r="E2443" s="6"/>
      <c r="F2443" s="6"/>
      <c r="G2443" s="3" t="s">
        <v>44</v>
      </c>
      <c r="H2443" s="3" t="s">
        <v>14</v>
      </c>
      <c r="I2443" s="3" t="s">
        <v>15</v>
      </c>
    </row>
    <row r="2444" spans="1:9" s="3" customFormat="1" x14ac:dyDescent="0.3">
      <c r="A2444" s="3" t="s">
        <v>269</v>
      </c>
      <c r="B2444" s="3" t="s">
        <v>270</v>
      </c>
      <c r="C2444" s="3" t="s">
        <v>64</v>
      </c>
      <c r="D2444" s="3" t="s">
        <v>365</v>
      </c>
      <c r="E2444" s="6">
        <v>0.37847222222222221</v>
      </c>
      <c r="F2444" s="6">
        <v>0.87013888888888891</v>
      </c>
      <c r="G2444" s="3" t="s">
        <v>20</v>
      </c>
      <c r="H2444" s="3" t="s">
        <v>27</v>
      </c>
      <c r="I2444" s="3" t="s">
        <v>15</v>
      </c>
    </row>
    <row r="2445" spans="1:9" s="3" customFormat="1" x14ac:dyDescent="0.3">
      <c r="A2445" s="3" t="s">
        <v>93</v>
      </c>
      <c r="B2445" s="3" t="s">
        <v>94</v>
      </c>
      <c r="C2445" s="3" t="s">
        <v>64</v>
      </c>
      <c r="D2445" s="3" t="s">
        <v>336</v>
      </c>
      <c r="E2445" s="6">
        <v>0.48472222222222222</v>
      </c>
      <c r="F2445" s="6">
        <v>0.72361111111111109</v>
      </c>
      <c r="G2445" s="3" t="s">
        <v>20</v>
      </c>
      <c r="H2445" s="3" t="s">
        <v>27</v>
      </c>
      <c r="I2445" s="3" t="s">
        <v>15</v>
      </c>
    </row>
    <row r="2446" spans="1:9" s="3" customFormat="1" x14ac:dyDescent="0.3">
      <c r="A2446" s="3" t="s">
        <v>28</v>
      </c>
      <c r="B2446" s="3" t="s">
        <v>29</v>
      </c>
      <c r="C2446" s="3" t="s">
        <v>24</v>
      </c>
      <c r="D2446" s="3" t="s">
        <v>348</v>
      </c>
      <c r="E2446" s="6">
        <v>0.44861111111111113</v>
      </c>
      <c r="F2446" s="6">
        <v>0.7104166666666667</v>
      </c>
      <c r="G2446" s="3" t="s">
        <v>20</v>
      </c>
      <c r="H2446" s="3" t="s">
        <v>14</v>
      </c>
      <c r="I2446" s="3" t="s">
        <v>15</v>
      </c>
    </row>
    <row r="2447" spans="1:9" s="3" customFormat="1" x14ac:dyDescent="0.3">
      <c r="A2447" s="3" t="s">
        <v>52</v>
      </c>
      <c r="B2447" s="3" t="s">
        <v>53</v>
      </c>
      <c r="C2447" s="3" t="s">
        <v>64</v>
      </c>
      <c r="D2447" s="3" t="s">
        <v>290</v>
      </c>
      <c r="E2447" s="6"/>
      <c r="F2447" s="6"/>
      <c r="G2447" s="3" t="s">
        <v>44</v>
      </c>
      <c r="H2447" s="3" t="s">
        <v>27</v>
      </c>
      <c r="I2447" s="3" t="s">
        <v>21</v>
      </c>
    </row>
    <row r="2448" spans="1:9" s="3" customFormat="1" x14ac:dyDescent="0.3">
      <c r="A2448" s="3" t="s">
        <v>75</v>
      </c>
      <c r="B2448" s="3" t="s">
        <v>76</v>
      </c>
      <c r="C2448" s="3" t="s">
        <v>64</v>
      </c>
      <c r="D2448" s="3" t="s">
        <v>219</v>
      </c>
      <c r="E2448" s="6">
        <v>0.40486111111111112</v>
      </c>
      <c r="F2448" s="6">
        <v>0.68263888888888891</v>
      </c>
      <c r="G2448" s="3" t="s">
        <v>26</v>
      </c>
      <c r="H2448" s="3" t="s">
        <v>14</v>
      </c>
      <c r="I2448" s="3" t="s">
        <v>15</v>
      </c>
    </row>
    <row r="2449" spans="1:9" s="3" customFormat="1" x14ac:dyDescent="0.3">
      <c r="A2449" s="3" t="s">
        <v>197</v>
      </c>
      <c r="B2449" s="3" t="s">
        <v>198</v>
      </c>
      <c r="C2449" s="3" t="s">
        <v>24</v>
      </c>
      <c r="D2449" s="3" t="s">
        <v>33</v>
      </c>
      <c r="E2449" s="6"/>
      <c r="F2449" s="6"/>
      <c r="G2449" s="3" t="s">
        <v>51</v>
      </c>
      <c r="H2449" s="3" t="s">
        <v>14</v>
      </c>
      <c r="I2449" s="3" t="s">
        <v>21</v>
      </c>
    </row>
    <row r="2450" spans="1:9" s="3" customFormat="1" x14ac:dyDescent="0.3">
      <c r="A2450" s="3" t="s">
        <v>200</v>
      </c>
      <c r="B2450" s="3" t="s">
        <v>201</v>
      </c>
      <c r="C2450" s="3" t="s">
        <v>18</v>
      </c>
      <c r="D2450" s="3" t="s">
        <v>180</v>
      </c>
      <c r="E2450" s="6">
        <v>0.40763888888888888</v>
      </c>
      <c r="F2450" s="6">
        <v>0.70833333333333337</v>
      </c>
      <c r="G2450" s="3" t="s">
        <v>26</v>
      </c>
      <c r="H2450" s="3" t="s">
        <v>14</v>
      </c>
      <c r="I2450" s="3" t="s">
        <v>15</v>
      </c>
    </row>
    <row r="2451" spans="1:9" s="3" customFormat="1" x14ac:dyDescent="0.3">
      <c r="A2451" s="3" t="s">
        <v>150</v>
      </c>
      <c r="B2451" s="3" t="s">
        <v>151</v>
      </c>
      <c r="C2451" s="3" t="s">
        <v>64</v>
      </c>
      <c r="D2451" s="3" t="s">
        <v>202</v>
      </c>
      <c r="E2451" s="6">
        <v>0.39652777777777776</v>
      </c>
      <c r="F2451" s="6">
        <v>0.81874999999999998</v>
      </c>
      <c r="G2451" s="3" t="s">
        <v>13</v>
      </c>
      <c r="H2451" s="3" t="s">
        <v>14</v>
      </c>
      <c r="I2451" s="3" t="s">
        <v>21</v>
      </c>
    </row>
    <row r="2452" spans="1:9" s="3" customFormat="1" x14ac:dyDescent="0.3">
      <c r="A2452" s="3" t="s">
        <v>87</v>
      </c>
      <c r="B2452" s="3" t="s">
        <v>88</v>
      </c>
      <c r="C2452" s="3" t="s">
        <v>18</v>
      </c>
      <c r="D2452" s="3" t="s">
        <v>389</v>
      </c>
      <c r="E2452" s="6">
        <v>0.37291666666666667</v>
      </c>
      <c r="F2452" s="6">
        <v>0.86736111111111114</v>
      </c>
      <c r="G2452" s="3" t="s">
        <v>20</v>
      </c>
      <c r="H2452" s="3" t="s">
        <v>14</v>
      </c>
      <c r="I2452" s="3" t="s">
        <v>15</v>
      </c>
    </row>
    <row r="2453" spans="1:9" s="3" customFormat="1" x14ac:dyDescent="0.3">
      <c r="A2453" s="3" t="s">
        <v>34</v>
      </c>
      <c r="B2453" s="3" t="s">
        <v>35</v>
      </c>
      <c r="C2453" s="3" t="s">
        <v>24</v>
      </c>
      <c r="D2453" s="3" t="s">
        <v>129</v>
      </c>
      <c r="E2453" s="6">
        <v>0.43541666666666667</v>
      </c>
      <c r="F2453" s="6">
        <v>0.86111111111111116</v>
      </c>
      <c r="G2453" s="3" t="s">
        <v>149</v>
      </c>
      <c r="H2453" s="3" t="s">
        <v>14</v>
      </c>
      <c r="I2453" s="3" t="s">
        <v>15</v>
      </c>
    </row>
    <row r="2454" spans="1:9" s="3" customFormat="1" x14ac:dyDescent="0.3">
      <c r="A2454" s="3" t="s">
        <v>48</v>
      </c>
      <c r="B2454" s="3" t="s">
        <v>49</v>
      </c>
      <c r="C2454" s="3" t="s">
        <v>24</v>
      </c>
      <c r="D2454" s="3" t="s">
        <v>255</v>
      </c>
      <c r="E2454" s="6">
        <v>0.43125000000000002</v>
      </c>
      <c r="F2454" s="6">
        <v>0.79027777777777775</v>
      </c>
      <c r="G2454" s="3" t="s">
        <v>20</v>
      </c>
      <c r="H2454" s="3" t="s">
        <v>27</v>
      </c>
      <c r="I2454" s="3" t="s">
        <v>21</v>
      </c>
    </row>
    <row r="2455" spans="1:9" s="3" customFormat="1" x14ac:dyDescent="0.3">
      <c r="A2455" s="3" t="s">
        <v>315</v>
      </c>
      <c r="B2455" s="3" t="s">
        <v>316</v>
      </c>
      <c r="C2455" s="3" t="s">
        <v>42</v>
      </c>
      <c r="D2455" s="3" t="s">
        <v>202</v>
      </c>
      <c r="E2455" s="6">
        <v>0.4513888888888889</v>
      </c>
      <c r="F2455" s="6">
        <v>0.72083333333333333</v>
      </c>
      <c r="G2455" s="3" t="s">
        <v>125</v>
      </c>
      <c r="H2455" s="3" t="s">
        <v>27</v>
      </c>
      <c r="I2455" s="3" t="s">
        <v>15</v>
      </c>
    </row>
    <row r="2456" spans="1:9" s="3" customFormat="1" x14ac:dyDescent="0.3">
      <c r="A2456" s="3" t="s">
        <v>291</v>
      </c>
      <c r="B2456" s="3" t="s">
        <v>292</v>
      </c>
      <c r="C2456" s="3" t="s">
        <v>24</v>
      </c>
      <c r="D2456" s="3" t="s">
        <v>47</v>
      </c>
      <c r="E2456" s="6">
        <v>0.4236111111111111</v>
      </c>
      <c r="F2456" s="6">
        <v>0.81666666666666665</v>
      </c>
      <c r="G2456" s="3" t="s">
        <v>13</v>
      </c>
      <c r="H2456" s="3" t="s">
        <v>27</v>
      </c>
      <c r="I2456" s="3" t="s">
        <v>15</v>
      </c>
    </row>
    <row r="2457" spans="1:9" s="3" customFormat="1" x14ac:dyDescent="0.3">
      <c r="A2457" s="3" t="s">
        <v>87</v>
      </c>
      <c r="B2457" s="3" t="s">
        <v>88</v>
      </c>
      <c r="C2457" s="3" t="s">
        <v>64</v>
      </c>
      <c r="D2457" s="3" t="s">
        <v>80</v>
      </c>
      <c r="E2457" s="6">
        <v>0.43819444444444444</v>
      </c>
      <c r="F2457" s="6">
        <v>0.84444444444444444</v>
      </c>
      <c r="G2457" s="3" t="s">
        <v>13</v>
      </c>
      <c r="H2457" s="3" t="s">
        <v>27</v>
      </c>
      <c r="I2457" s="3" t="s">
        <v>15</v>
      </c>
    </row>
    <row r="2458" spans="1:9" s="3" customFormat="1" x14ac:dyDescent="0.3">
      <c r="A2458" s="3" t="s">
        <v>93</v>
      </c>
      <c r="B2458" s="3" t="s">
        <v>94</v>
      </c>
      <c r="C2458" s="3" t="s">
        <v>24</v>
      </c>
      <c r="D2458" s="3" t="s">
        <v>388</v>
      </c>
      <c r="E2458" s="6">
        <v>0.37986111111111109</v>
      </c>
      <c r="F2458" s="6">
        <v>0.77500000000000002</v>
      </c>
      <c r="G2458" s="3" t="s">
        <v>20</v>
      </c>
      <c r="H2458" s="3" t="s">
        <v>14</v>
      </c>
      <c r="I2458" s="3" t="s">
        <v>15</v>
      </c>
    </row>
    <row r="2459" spans="1:9" s="3" customFormat="1" x14ac:dyDescent="0.3">
      <c r="A2459" s="3" t="s">
        <v>81</v>
      </c>
      <c r="B2459" s="3" t="s">
        <v>82</v>
      </c>
      <c r="C2459" s="3" t="s">
        <v>24</v>
      </c>
      <c r="D2459" s="3" t="s">
        <v>207</v>
      </c>
      <c r="E2459" s="6"/>
      <c r="F2459" s="6"/>
      <c r="G2459" s="3" t="s">
        <v>44</v>
      </c>
      <c r="H2459" s="3" t="s">
        <v>14</v>
      </c>
      <c r="I2459" s="3" t="s">
        <v>21</v>
      </c>
    </row>
    <row r="2460" spans="1:9" s="3" customFormat="1" x14ac:dyDescent="0.3">
      <c r="A2460" s="3" t="s">
        <v>130</v>
      </c>
      <c r="B2460" s="3" t="s">
        <v>131</v>
      </c>
      <c r="C2460" s="3" t="s">
        <v>64</v>
      </c>
      <c r="D2460" s="3" t="s">
        <v>159</v>
      </c>
      <c r="E2460" s="6">
        <v>0.4777777777777778</v>
      </c>
      <c r="F2460" s="6">
        <v>0.77361111111111114</v>
      </c>
      <c r="G2460" s="3" t="s">
        <v>26</v>
      </c>
      <c r="H2460" s="3" t="s">
        <v>14</v>
      </c>
      <c r="I2460" s="3" t="s">
        <v>15</v>
      </c>
    </row>
    <row r="2461" spans="1:9" s="3" customFormat="1" x14ac:dyDescent="0.3">
      <c r="A2461" s="3" t="s">
        <v>40</v>
      </c>
      <c r="B2461" s="3" t="s">
        <v>41</v>
      </c>
      <c r="C2461" s="3" t="s">
        <v>60</v>
      </c>
      <c r="D2461" s="3" t="s">
        <v>257</v>
      </c>
      <c r="E2461" s="6">
        <v>0.38055555555555554</v>
      </c>
      <c r="F2461" s="6">
        <v>0.75555555555555554</v>
      </c>
      <c r="G2461" s="3" t="s">
        <v>26</v>
      </c>
      <c r="H2461" s="3" t="s">
        <v>14</v>
      </c>
      <c r="I2461" s="3" t="s">
        <v>21</v>
      </c>
    </row>
    <row r="2462" spans="1:9" s="3" customFormat="1" x14ac:dyDescent="0.3">
      <c r="A2462" s="3" t="s">
        <v>134</v>
      </c>
      <c r="B2462" s="3" t="s">
        <v>135</v>
      </c>
      <c r="C2462" s="3" t="s">
        <v>64</v>
      </c>
      <c r="D2462" s="3" t="s">
        <v>129</v>
      </c>
      <c r="E2462" s="6"/>
      <c r="F2462" s="6"/>
      <c r="G2462" s="3" t="s">
        <v>44</v>
      </c>
      <c r="H2462" s="3" t="s">
        <v>14</v>
      </c>
      <c r="I2462" s="3" t="s">
        <v>21</v>
      </c>
    </row>
    <row r="2463" spans="1:9" s="3" customFormat="1" x14ac:dyDescent="0.3">
      <c r="A2463" s="3" t="s">
        <v>250</v>
      </c>
      <c r="B2463" s="3" t="s">
        <v>251</v>
      </c>
      <c r="C2463" s="3" t="s">
        <v>24</v>
      </c>
      <c r="D2463" s="3" t="s">
        <v>357</v>
      </c>
      <c r="E2463" s="6">
        <v>0.37152777777777779</v>
      </c>
      <c r="F2463" s="6">
        <v>0.68611111111111112</v>
      </c>
      <c r="G2463" s="3" t="s">
        <v>20</v>
      </c>
      <c r="H2463" s="3" t="s">
        <v>14</v>
      </c>
      <c r="I2463" s="3" t="s">
        <v>21</v>
      </c>
    </row>
    <row r="2464" spans="1:9" s="3" customFormat="1" x14ac:dyDescent="0.3">
      <c r="A2464" s="3" t="s">
        <v>246</v>
      </c>
      <c r="B2464" s="3" t="s">
        <v>247</v>
      </c>
      <c r="C2464" s="3" t="s">
        <v>64</v>
      </c>
      <c r="D2464" s="3" t="s">
        <v>416</v>
      </c>
      <c r="E2464" s="6"/>
      <c r="F2464" s="6"/>
      <c r="G2464" s="3" t="s">
        <v>44</v>
      </c>
      <c r="H2464" s="3" t="s">
        <v>27</v>
      </c>
      <c r="I2464" s="3" t="s">
        <v>21</v>
      </c>
    </row>
    <row r="2465" spans="1:9" s="3" customFormat="1" x14ac:dyDescent="0.3">
      <c r="A2465" s="3" t="s">
        <v>119</v>
      </c>
      <c r="B2465" s="3" t="s">
        <v>120</v>
      </c>
      <c r="C2465" s="3" t="s">
        <v>42</v>
      </c>
      <c r="D2465" s="3" t="s">
        <v>162</v>
      </c>
      <c r="E2465" s="6">
        <v>0.42222222222222222</v>
      </c>
      <c r="F2465" s="6">
        <v>0.72847222222222219</v>
      </c>
      <c r="G2465" s="3" t="s">
        <v>20</v>
      </c>
      <c r="H2465" s="3" t="s">
        <v>27</v>
      </c>
      <c r="I2465" s="3" t="s">
        <v>21</v>
      </c>
    </row>
    <row r="2466" spans="1:9" s="3" customFormat="1" x14ac:dyDescent="0.3">
      <c r="A2466" s="3" t="s">
        <v>338</v>
      </c>
      <c r="B2466" s="3" t="s">
        <v>339</v>
      </c>
      <c r="C2466" s="3" t="s">
        <v>64</v>
      </c>
      <c r="D2466" s="3" t="s">
        <v>386</v>
      </c>
      <c r="E2466" s="6">
        <v>0.41041666666666665</v>
      </c>
      <c r="F2466" s="6">
        <v>0.72361111111111109</v>
      </c>
      <c r="G2466" s="3" t="s">
        <v>26</v>
      </c>
      <c r="H2466" s="3" t="s">
        <v>14</v>
      </c>
      <c r="I2466" s="3" t="s">
        <v>15</v>
      </c>
    </row>
    <row r="2467" spans="1:9" s="3" customFormat="1" x14ac:dyDescent="0.3">
      <c r="A2467" s="3" t="s">
        <v>213</v>
      </c>
      <c r="B2467" s="3" t="s">
        <v>214</v>
      </c>
      <c r="C2467" s="3" t="s">
        <v>64</v>
      </c>
      <c r="D2467" s="3" t="s">
        <v>393</v>
      </c>
      <c r="E2467" s="6"/>
      <c r="F2467" s="6"/>
      <c r="G2467" s="3" t="s">
        <v>44</v>
      </c>
      <c r="H2467" s="3" t="s">
        <v>14</v>
      </c>
      <c r="I2467" s="3" t="s">
        <v>21</v>
      </c>
    </row>
    <row r="2468" spans="1:9" s="3" customFormat="1" x14ac:dyDescent="0.3">
      <c r="A2468" s="3" t="s">
        <v>78</v>
      </c>
      <c r="B2468" s="3" t="s">
        <v>79</v>
      </c>
      <c r="C2468" s="3" t="s">
        <v>18</v>
      </c>
      <c r="D2468" s="3" t="s">
        <v>161</v>
      </c>
      <c r="E2468" s="6">
        <v>0.40208333333333335</v>
      </c>
      <c r="F2468" s="6">
        <v>0.73333333333333328</v>
      </c>
      <c r="G2468" s="3" t="s">
        <v>20</v>
      </c>
      <c r="H2468" s="3" t="s">
        <v>14</v>
      </c>
      <c r="I2468" s="3" t="s">
        <v>15</v>
      </c>
    </row>
    <row r="2469" spans="1:9" s="3" customFormat="1" x14ac:dyDescent="0.3">
      <c r="A2469" s="3" t="s">
        <v>165</v>
      </c>
      <c r="B2469" s="3" t="s">
        <v>166</v>
      </c>
      <c r="C2469" s="3" t="s">
        <v>64</v>
      </c>
      <c r="D2469" s="3" t="s">
        <v>121</v>
      </c>
      <c r="E2469" s="6">
        <v>0.38750000000000001</v>
      </c>
      <c r="F2469" s="6">
        <v>0.67777777777777781</v>
      </c>
      <c r="G2469" s="3" t="s">
        <v>26</v>
      </c>
      <c r="H2469" s="3" t="s">
        <v>14</v>
      </c>
      <c r="I2469" s="3" t="s">
        <v>21</v>
      </c>
    </row>
    <row r="2470" spans="1:9" s="3" customFormat="1" x14ac:dyDescent="0.3">
      <c r="A2470" s="3" t="s">
        <v>171</v>
      </c>
      <c r="B2470" s="3" t="s">
        <v>172</v>
      </c>
      <c r="C2470" s="3" t="s">
        <v>60</v>
      </c>
      <c r="D2470" s="3" t="s">
        <v>353</v>
      </c>
      <c r="E2470" s="6">
        <v>0.4375</v>
      </c>
      <c r="F2470" s="6">
        <v>0.6791666666666667</v>
      </c>
      <c r="G2470" s="3" t="s">
        <v>13</v>
      </c>
      <c r="H2470" s="3" t="s">
        <v>14</v>
      </c>
      <c r="I2470" s="3" t="s">
        <v>15</v>
      </c>
    </row>
    <row r="2471" spans="1:9" s="3" customFormat="1" x14ac:dyDescent="0.3">
      <c r="A2471" s="3" t="s">
        <v>112</v>
      </c>
      <c r="B2471" s="3" t="s">
        <v>113</v>
      </c>
      <c r="C2471" s="3" t="s">
        <v>42</v>
      </c>
      <c r="D2471" s="3" t="s">
        <v>345</v>
      </c>
      <c r="E2471" s="6"/>
      <c r="F2471" s="6"/>
      <c r="G2471" s="3" t="s">
        <v>44</v>
      </c>
      <c r="H2471" s="3" t="s">
        <v>14</v>
      </c>
      <c r="I2471" s="3" t="s">
        <v>15</v>
      </c>
    </row>
    <row r="2472" spans="1:9" s="3" customFormat="1" x14ac:dyDescent="0.3">
      <c r="A2472" s="3" t="s">
        <v>66</v>
      </c>
      <c r="B2472" s="3" t="s">
        <v>67</v>
      </c>
      <c r="C2472" s="3" t="s">
        <v>42</v>
      </c>
      <c r="D2472" s="3" t="s">
        <v>144</v>
      </c>
      <c r="E2472" s="6">
        <v>0.48819444444444443</v>
      </c>
      <c r="F2472" s="6">
        <v>0.78888888888888886</v>
      </c>
      <c r="G2472" s="3" t="s">
        <v>20</v>
      </c>
      <c r="H2472" s="3" t="s">
        <v>27</v>
      </c>
      <c r="I2472" s="3" t="s">
        <v>15</v>
      </c>
    </row>
    <row r="2473" spans="1:9" s="3" customFormat="1" x14ac:dyDescent="0.3">
      <c r="A2473" s="3" t="s">
        <v>102</v>
      </c>
      <c r="B2473" s="3" t="s">
        <v>103</v>
      </c>
      <c r="C2473" s="3" t="s">
        <v>24</v>
      </c>
      <c r="D2473" s="3" t="s">
        <v>356</v>
      </c>
      <c r="E2473" s="6"/>
      <c r="F2473" s="6"/>
      <c r="G2473" s="3" t="s">
        <v>44</v>
      </c>
      <c r="H2473" s="3" t="s">
        <v>14</v>
      </c>
      <c r="I2473" s="3" t="s">
        <v>21</v>
      </c>
    </row>
    <row r="2474" spans="1:9" s="3" customFormat="1" x14ac:dyDescent="0.3">
      <c r="A2474" s="3" t="s">
        <v>52</v>
      </c>
      <c r="B2474" s="3" t="s">
        <v>53</v>
      </c>
      <c r="C2474" s="3" t="s">
        <v>42</v>
      </c>
      <c r="D2474" s="3" t="s">
        <v>77</v>
      </c>
      <c r="E2474" s="6">
        <v>0.43958333333333333</v>
      </c>
      <c r="F2474" s="6">
        <v>0.86458333333333337</v>
      </c>
      <c r="G2474" s="3" t="s">
        <v>20</v>
      </c>
      <c r="H2474" s="3" t="s">
        <v>27</v>
      </c>
      <c r="I2474" s="3" t="s">
        <v>21</v>
      </c>
    </row>
    <row r="2475" spans="1:9" s="3" customFormat="1" x14ac:dyDescent="0.3">
      <c r="A2475" s="3" t="s">
        <v>216</v>
      </c>
      <c r="B2475" s="3" t="s">
        <v>217</v>
      </c>
      <c r="C2475" s="3" t="s">
        <v>42</v>
      </c>
      <c r="D2475" s="3" t="s">
        <v>196</v>
      </c>
      <c r="E2475" s="6">
        <v>0.43125000000000002</v>
      </c>
      <c r="F2475" s="6">
        <v>0.86041666666666672</v>
      </c>
      <c r="G2475" s="3" t="s">
        <v>20</v>
      </c>
      <c r="H2475" s="3" t="s">
        <v>27</v>
      </c>
      <c r="I2475" s="3" t="s">
        <v>21</v>
      </c>
    </row>
    <row r="2476" spans="1:9" s="3" customFormat="1" x14ac:dyDescent="0.3">
      <c r="A2476" s="3" t="s">
        <v>78</v>
      </c>
      <c r="B2476" s="3" t="s">
        <v>79</v>
      </c>
      <c r="C2476" s="3" t="s">
        <v>60</v>
      </c>
      <c r="D2476" s="3" t="s">
        <v>54</v>
      </c>
      <c r="E2476" s="6"/>
      <c r="F2476" s="6"/>
      <c r="G2476" s="3" t="s">
        <v>44</v>
      </c>
      <c r="H2476" s="3" t="s">
        <v>27</v>
      </c>
      <c r="I2476" s="3" t="s">
        <v>15</v>
      </c>
    </row>
    <row r="2477" spans="1:9" s="3" customFormat="1" x14ac:dyDescent="0.3">
      <c r="A2477" s="3" t="s">
        <v>338</v>
      </c>
      <c r="B2477" s="3" t="s">
        <v>339</v>
      </c>
      <c r="C2477" s="3" t="s">
        <v>11</v>
      </c>
      <c r="D2477" s="3" t="s">
        <v>402</v>
      </c>
      <c r="E2477" s="6"/>
      <c r="F2477" s="6"/>
      <c r="G2477" s="3" t="s">
        <v>44</v>
      </c>
      <c r="H2477" s="3" t="s">
        <v>14</v>
      </c>
      <c r="I2477" s="3" t="s">
        <v>15</v>
      </c>
    </row>
    <row r="2478" spans="1:9" s="3" customFormat="1" x14ac:dyDescent="0.3">
      <c r="A2478" s="3" t="s">
        <v>55</v>
      </c>
      <c r="B2478" s="3" t="s">
        <v>56</v>
      </c>
      <c r="C2478" s="3" t="s">
        <v>64</v>
      </c>
      <c r="D2478" s="3" t="s">
        <v>207</v>
      </c>
      <c r="E2478" s="6">
        <v>0.41597222222222224</v>
      </c>
      <c r="F2478" s="6">
        <v>0.68055555555555558</v>
      </c>
      <c r="G2478" s="3" t="s">
        <v>20</v>
      </c>
      <c r="H2478" s="3" t="s">
        <v>27</v>
      </c>
      <c r="I2478" s="3" t="s">
        <v>21</v>
      </c>
    </row>
    <row r="2479" spans="1:9" s="3" customFormat="1" x14ac:dyDescent="0.3">
      <c r="A2479" s="3" t="s">
        <v>55</v>
      </c>
      <c r="B2479" s="3" t="s">
        <v>56</v>
      </c>
      <c r="C2479" s="3" t="s">
        <v>24</v>
      </c>
      <c r="D2479" s="3" t="s">
        <v>193</v>
      </c>
      <c r="E2479" s="6">
        <v>0.4465277777777778</v>
      </c>
      <c r="F2479" s="6">
        <v>0.83819444444444446</v>
      </c>
      <c r="G2479" s="3" t="s">
        <v>13</v>
      </c>
      <c r="H2479" s="3" t="s">
        <v>27</v>
      </c>
      <c r="I2479" s="3" t="s">
        <v>21</v>
      </c>
    </row>
    <row r="2480" spans="1:9" s="3" customFormat="1" x14ac:dyDescent="0.3">
      <c r="A2480" s="3" t="s">
        <v>72</v>
      </c>
      <c r="B2480" s="3" t="s">
        <v>73</v>
      </c>
      <c r="C2480" s="3" t="s">
        <v>42</v>
      </c>
      <c r="D2480" s="3" t="s">
        <v>133</v>
      </c>
      <c r="E2480" s="6">
        <v>0.44791666666666669</v>
      </c>
      <c r="F2480" s="6">
        <v>0.78055555555555556</v>
      </c>
      <c r="G2480" s="3" t="s">
        <v>26</v>
      </c>
      <c r="H2480" s="3" t="s">
        <v>27</v>
      </c>
      <c r="I2480" s="3" t="s">
        <v>21</v>
      </c>
    </row>
    <row r="2481" spans="1:9" s="3" customFormat="1" x14ac:dyDescent="0.3">
      <c r="A2481" s="3" t="s">
        <v>16</v>
      </c>
      <c r="B2481" s="3" t="s">
        <v>17</v>
      </c>
      <c r="C2481" s="3" t="s">
        <v>60</v>
      </c>
      <c r="D2481" s="3" t="s">
        <v>264</v>
      </c>
      <c r="E2481" s="6">
        <v>0.40694444444444444</v>
      </c>
      <c r="F2481" s="6">
        <v>0.85069444444444442</v>
      </c>
      <c r="G2481" s="3" t="s">
        <v>26</v>
      </c>
      <c r="H2481" s="3" t="s">
        <v>27</v>
      </c>
      <c r="I2481" s="3" t="s">
        <v>15</v>
      </c>
    </row>
    <row r="2482" spans="1:9" s="3" customFormat="1" x14ac:dyDescent="0.3">
      <c r="A2482" s="3" t="s">
        <v>175</v>
      </c>
      <c r="B2482" s="3" t="s">
        <v>176</v>
      </c>
      <c r="C2482" s="3" t="s">
        <v>18</v>
      </c>
      <c r="D2482" s="3" t="s">
        <v>253</v>
      </c>
      <c r="E2482" s="6">
        <v>0.43194444444444446</v>
      </c>
      <c r="F2482" s="6">
        <v>0.69722222222222219</v>
      </c>
      <c r="G2482" s="3" t="s">
        <v>13</v>
      </c>
      <c r="H2482" s="3" t="s">
        <v>27</v>
      </c>
      <c r="I2482" s="3" t="s">
        <v>21</v>
      </c>
    </row>
    <row r="2483" spans="1:9" s="3" customFormat="1" x14ac:dyDescent="0.3">
      <c r="A2483" s="3" t="s">
        <v>146</v>
      </c>
      <c r="B2483" s="3" t="s">
        <v>147</v>
      </c>
      <c r="C2483" s="3" t="s">
        <v>42</v>
      </c>
      <c r="D2483" s="3" t="s">
        <v>254</v>
      </c>
      <c r="E2483" s="6"/>
      <c r="F2483" s="6"/>
      <c r="G2483" s="3" t="s">
        <v>44</v>
      </c>
      <c r="H2483" s="3" t="s">
        <v>14</v>
      </c>
      <c r="I2483" s="3" t="s">
        <v>21</v>
      </c>
    </row>
    <row r="2484" spans="1:9" s="3" customFormat="1" x14ac:dyDescent="0.3">
      <c r="A2484" s="3" t="s">
        <v>96</v>
      </c>
      <c r="B2484" s="3" t="s">
        <v>97</v>
      </c>
      <c r="C2484" s="3" t="s">
        <v>18</v>
      </c>
      <c r="D2484" s="3" t="s">
        <v>266</v>
      </c>
      <c r="E2484" s="6">
        <v>0.43194444444444446</v>
      </c>
      <c r="F2484" s="6">
        <v>0.77916666666666667</v>
      </c>
      <c r="G2484" s="3" t="s">
        <v>125</v>
      </c>
      <c r="H2484" s="3" t="s">
        <v>27</v>
      </c>
      <c r="I2484" s="3" t="s">
        <v>15</v>
      </c>
    </row>
    <row r="2485" spans="1:9" s="3" customFormat="1" x14ac:dyDescent="0.3">
      <c r="A2485" s="3" t="s">
        <v>9</v>
      </c>
      <c r="B2485" s="3" t="s">
        <v>10</v>
      </c>
      <c r="C2485" s="3" t="s">
        <v>60</v>
      </c>
      <c r="D2485" s="3" t="s">
        <v>417</v>
      </c>
      <c r="E2485" s="6">
        <v>0.38194444444444442</v>
      </c>
      <c r="F2485" s="6">
        <v>0.67569444444444449</v>
      </c>
      <c r="G2485" s="3" t="s">
        <v>20</v>
      </c>
      <c r="H2485" s="3" t="s">
        <v>14</v>
      </c>
      <c r="I2485" s="3" t="s">
        <v>15</v>
      </c>
    </row>
    <row r="2486" spans="1:9" s="3" customFormat="1" x14ac:dyDescent="0.3">
      <c r="A2486" s="3" t="s">
        <v>250</v>
      </c>
      <c r="B2486" s="3" t="s">
        <v>251</v>
      </c>
      <c r="C2486" s="3" t="s">
        <v>64</v>
      </c>
      <c r="D2486" s="3" t="s">
        <v>226</v>
      </c>
      <c r="E2486" s="6">
        <v>0.48333333333333334</v>
      </c>
      <c r="F2486" s="6">
        <v>0.72916666666666663</v>
      </c>
      <c r="G2486" s="3" t="s">
        <v>26</v>
      </c>
      <c r="H2486" s="3" t="s">
        <v>27</v>
      </c>
      <c r="I2486" s="3" t="s">
        <v>21</v>
      </c>
    </row>
    <row r="2487" spans="1:9" s="3" customFormat="1" x14ac:dyDescent="0.3">
      <c r="A2487" s="3" t="s">
        <v>157</v>
      </c>
      <c r="B2487" s="3" t="s">
        <v>158</v>
      </c>
      <c r="C2487" s="3" t="s">
        <v>18</v>
      </c>
      <c r="D2487" s="3" t="s">
        <v>308</v>
      </c>
      <c r="E2487" s="6">
        <v>0.38611111111111113</v>
      </c>
      <c r="F2487" s="6">
        <v>0.77916666666666667</v>
      </c>
      <c r="G2487" s="3" t="s">
        <v>20</v>
      </c>
      <c r="H2487" s="3" t="s">
        <v>27</v>
      </c>
      <c r="I2487" s="3" t="s">
        <v>21</v>
      </c>
    </row>
    <row r="2488" spans="1:9" s="3" customFormat="1" x14ac:dyDescent="0.3">
      <c r="A2488" s="3" t="s">
        <v>216</v>
      </c>
      <c r="B2488" s="3" t="s">
        <v>217</v>
      </c>
      <c r="C2488" s="3" t="s">
        <v>24</v>
      </c>
      <c r="D2488" s="3" t="s">
        <v>144</v>
      </c>
      <c r="E2488" s="6">
        <v>0.38333333333333336</v>
      </c>
      <c r="F2488" s="6">
        <v>0.75486111111111109</v>
      </c>
      <c r="G2488" s="3" t="s">
        <v>20</v>
      </c>
      <c r="H2488" s="3" t="s">
        <v>14</v>
      </c>
      <c r="I2488" s="3" t="s">
        <v>15</v>
      </c>
    </row>
    <row r="2489" spans="1:9" s="3" customFormat="1" x14ac:dyDescent="0.3">
      <c r="A2489" s="3" t="s">
        <v>102</v>
      </c>
      <c r="B2489" s="3" t="s">
        <v>103</v>
      </c>
      <c r="C2489" s="3" t="s">
        <v>18</v>
      </c>
      <c r="D2489" s="3" t="s">
        <v>286</v>
      </c>
      <c r="E2489" s="6">
        <v>0.41319444444444442</v>
      </c>
      <c r="F2489" s="6">
        <v>0.70138888888888884</v>
      </c>
      <c r="G2489" s="3" t="s">
        <v>20</v>
      </c>
      <c r="H2489" s="3" t="s">
        <v>27</v>
      </c>
      <c r="I2489" s="3" t="s">
        <v>21</v>
      </c>
    </row>
    <row r="2490" spans="1:9" s="3" customFormat="1" x14ac:dyDescent="0.3">
      <c r="A2490" s="3" t="s">
        <v>81</v>
      </c>
      <c r="B2490" s="3" t="s">
        <v>82</v>
      </c>
      <c r="C2490" s="3" t="s">
        <v>60</v>
      </c>
      <c r="D2490" s="3" t="s">
        <v>203</v>
      </c>
      <c r="E2490" s="6"/>
      <c r="F2490" s="6"/>
      <c r="G2490" s="3" t="s">
        <v>44</v>
      </c>
      <c r="H2490" s="3" t="s">
        <v>14</v>
      </c>
      <c r="I2490" s="3" t="s">
        <v>15</v>
      </c>
    </row>
    <row r="2491" spans="1:9" s="3" customFormat="1" x14ac:dyDescent="0.3">
      <c r="A2491" s="3" t="s">
        <v>16</v>
      </c>
      <c r="B2491" s="3" t="s">
        <v>17</v>
      </c>
      <c r="C2491" s="3" t="s">
        <v>64</v>
      </c>
      <c r="D2491" s="3" t="s">
        <v>242</v>
      </c>
      <c r="E2491" s="6">
        <v>0.41597222222222224</v>
      </c>
      <c r="F2491" s="6">
        <v>0.81736111111111109</v>
      </c>
      <c r="G2491" s="3" t="s">
        <v>13</v>
      </c>
      <c r="H2491" s="3" t="s">
        <v>27</v>
      </c>
      <c r="I2491" s="3" t="s">
        <v>21</v>
      </c>
    </row>
    <row r="2492" spans="1:9" s="3" customFormat="1" x14ac:dyDescent="0.3">
      <c r="A2492" s="3" t="s">
        <v>175</v>
      </c>
      <c r="B2492" s="3" t="s">
        <v>176</v>
      </c>
      <c r="C2492" s="3" t="s">
        <v>18</v>
      </c>
      <c r="D2492" s="3" t="s">
        <v>212</v>
      </c>
      <c r="E2492" s="6">
        <v>0.39027777777777778</v>
      </c>
      <c r="F2492" s="6">
        <v>0.70486111111111116</v>
      </c>
      <c r="G2492" s="3" t="s">
        <v>274</v>
      </c>
      <c r="H2492" s="3" t="s">
        <v>14</v>
      </c>
      <c r="I2492" s="3" t="s">
        <v>21</v>
      </c>
    </row>
    <row r="2493" spans="1:9" s="3" customFormat="1" x14ac:dyDescent="0.3">
      <c r="A2493" s="3" t="s">
        <v>194</v>
      </c>
      <c r="B2493" s="3" t="s">
        <v>195</v>
      </c>
      <c r="C2493" s="3" t="s">
        <v>42</v>
      </c>
      <c r="D2493" s="3" t="s">
        <v>268</v>
      </c>
      <c r="E2493" s="6"/>
      <c r="F2493" s="6"/>
      <c r="G2493" s="3" t="s">
        <v>125</v>
      </c>
      <c r="H2493" s="3" t="s">
        <v>14</v>
      </c>
      <c r="I2493" s="3" t="s">
        <v>21</v>
      </c>
    </row>
    <row r="2494" spans="1:9" s="3" customFormat="1" x14ac:dyDescent="0.3">
      <c r="A2494" s="3" t="s">
        <v>48</v>
      </c>
      <c r="B2494" s="3" t="s">
        <v>49</v>
      </c>
      <c r="C2494" s="3" t="s">
        <v>60</v>
      </c>
      <c r="D2494" s="3" t="s">
        <v>288</v>
      </c>
      <c r="E2494" s="6"/>
      <c r="F2494" s="6"/>
      <c r="G2494" s="3" t="s">
        <v>44</v>
      </c>
      <c r="H2494" s="3" t="s">
        <v>14</v>
      </c>
      <c r="I2494" s="3" t="s">
        <v>15</v>
      </c>
    </row>
    <row r="2495" spans="1:9" s="3" customFormat="1" x14ac:dyDescent="0.3">
      <c r="A2495" s="3" t="s">
        <v>34</v>
      </c>
      <c r="B2495" s="3" t="s">
        <v>35</v>
      </c>
      <c r="C2495" s="3" t="s">
        <v>24</v>
      </c>
      <c r="D2495" s="3" t="s">
        <v>403</v>
      </c>
      <c r="E2495" s="6">
        <v>0.43472222222222223</v>
      </c>
      <c r="F2495" s="6">
        <v>0.73333333333333328</v>
      </c>
      <c r="G2495" s="3" t="s">
        <v>26</v>
      </c>
      <c r="H2495" s="3" t="s">
        <v>27</v>
      </c>
      <c r="I2495" s="3" t="s">
        <v>15</v>
      </c>
    </row>
    <row r="2496" spans="1:9" s="3" customFormat="1" x14ac:dyDescent="0.3">
      <c r="A2496" s="3" t="s">
        <v>90</v>
      </c>
      <c r="B2496" s="3" t="s">
        <v>91</v>
      </c>
      <c r="C2496" s="3" t="s">
        <v>24</v>
      </c>
      <c r="D2496" s="3" t="s">
        <v>124</v>
      </c>
      <c r="E2496" s="6">
        <v>0.4375</v>
      </c>
      <c r="F2496" s="6">
        <v>0.85069444444444442</v>
      </c>
      <c r="G2496" s="3" t="s">
        <v>26</v>
      </c>
      <c r="H2496" s="3" t="s">
        <v>27</v>
      </c>
      <c r="I2496" s="3" t="s">
        <v>21</v>
      </c>
    </row>
    <row r="2497" spans="1:9" s="3" customFormat="1" x14ac:dyDescent="0.3">
      <c r="A2497" s="3" t="s">
        <v>204</v>
      </c>
      <c r="B2497" s="3" t="s">
        <v>205</v>
      </c>
      <c r="C2497" s="3" t="s">
        <v>64</v>
      </c>
      <c r="D2497" s="3" t="s">
        <v>223</v>
      </c>
      <c r="E2497" s="6">
        <v>0.43541666666666667</v>
      </c>
      <c r="F2497" s="6">
        <v>0.67291666666666672</v>
      </c>
      <c r="G2497" s="3" t="s">
        <v>13</v>
      </c>
      <c r="H2497" s="3" t="s">
        <v>14</v>
      </c>
      <c r="I2497" s="3" t="s">
        <v>21</v>
      </c>
    </row>
    <row r="2498" spans="1:9" s="3" customFormat="1" x14ac:dyDescent="0.3">
      <c r="A2498" s="3" t="s">
        <v>204</v>
      </c>
      <c r="B2498" s="3" t="s">
        <v>205</v>
      </c>
      <c r="C2498" s="3" t="s">
        <v>42</v>
      </c>
      <c r="D2498" s="3" t="s">
        <v>169</v>
      </c>
      <c r="E2498" s="6"/>
      <c r="F2498" s="6"/>
      <c r="G2498" s="3" t="s">
        <v>51</v>
      </c>
      <c r="H2498" s="3" t="s">
        <v>14</v>
      </c>
      <c r="I2498" s="3" t="s">
        <v>21</v>
      </c>
    </row>
    <row r="2499" spans="1:9" s="3" customFormat="1" x14ac:dyDescent="0.3">
      <c r="A2499" s="3" t="s">
        <v>87</v>
      </c>
      <c r="B2499" s="3" t="s">
        <v>88</v>
      </c>
      <c r="C2499" s="3" t="s">
        <v>64</v>
      </c>
      <c r="D2499" s="3" t="s">
        <v>370</v>
      </c>
      <c r="E2499" s="6"/>
      <c r="F2499" s="6"/>
      <c r="G2499" s="3" t="s">
        <v>44</v>
      </c>
      <c r="H2499" s="3" t="s">
        <v>27</v>
      </c>
      <c r="I2499" s="3" t="s">
        <v>21</v>
      </c>
    </row>
    <row r="2500" spans="1:9" s="3" customFormat="1" x14ac:dyDescent="0.3">
      <c r="A2500" s="3" t="s">
        <v>134</v>
      </c>
      <c r="B2500" s="3" t="s">
        <v>135</v>
      </c>
      <c r="C2500" s="3" t="s">
        <v>60</v>
      </c>
      <c r="D2500" s="3" t="s">
        <v>179</v>
      </c>
      <c r="E2500" s="6"/>
      <c r="F2500" s="6"/>
      <c r="G2500" s="3" t="s">
        <v>44</v>
      </c>
      <c r="H2500" s="3" t="s">
        <v>27</v>
      </c>
      <c r="I2500" s="3" t="s">
        <v>21</v>
      </c>
    </row>
    <row r="2501" spans="1:9" s="3" customFormat="1" x14ac:dyDescent="0.3">
      <c r="A2501" s="3" t="s">
        <v>52</v>
      </c>
      <c r="B2501" s="3" t="s">
        <v>53</v>
      </c>
      <c r="C2501" s="3" t="s">
        <v>18</v>
      </c>
      <c r="D2501" s="3" t="s">
        <v>311</v>
      </c>
      <c r="E2501" s="6">
        <v>0.42222222222222222</v>
      </c>
      <c r="F2501" s="6">
        <v>0.86875000000000002</v>
      </c>
      <c r="G2501" s="3" t="s">
        <v>20</v>
      </c>
      <c r="H2501" s="3" t="s">
        <v>14</v>
      </c>
      <c r="I2501" s="3" t="s">
        <v>15</v>
      </c>
    </row>
    <row r="2502" spans="1:9" s="3" customFormat="1" x14ac:dyDescent="0.3">
      <c r="A2502" s="3" t="s">
        <v>191</v>
      </c>
      <c r="B2502" s="3" t="s">
        <v>192</v>
      </c>
      <c r="C2502" s="3" t="s">
        <v>18</v>
      </c>
      <c r="D2502" s="3" t="s">
        <v>304</v>
      </c>
      <c r="E2502" s="6">
        <v>0.39652777777777776</v>
      </c>
      <c r="F2502" s="6">
        <v>0.78472222222222221</v>
      </c>
      <c r="G2502" s="3" t="s">
        <v>20</v>
      </c>
      <c r="H2502" s="3" t="s">
        <v>14</v>
      </c>
      <c r="I2502" s="3" t="s">
        <v>21</v>
      </c>
    </row>
    <row r="2503" spans="1:9" s="3" customFormat="1" x14ac:dyDescent="0.3">
      <c r="A2503" s="3" t="s">
        <v>154</v>
      </c>
      <c r="B2503" s="3" t="s">
        <v>155</v>
      </c>
      <c r="C2503" s="3" t="s">
        <v>42</v>
      </c>
      <c r="D2503" s="3" t="s">
        <v>220</v>
      </c>
      <c r="E2503" s="6">
        <v>0.38472222222222224</v>
      </c>
      <c r="F2503" s="6">
        <v>0.76458333333333328</v>
      </c>
      <c r="G2503" s="3" t="s">
        <v>26</v>
      </c>
      <c r="H2503" s="3" t="s">
        <v>27</v>
      </c>
      <c r="I2503" s="3" t="s">
        <v>15</v>
      </c>
    </row>
    <row r="2504" spans="1:9" s="3" customFormat="1" x14ac:dyDescent="0.3">
      <c r="A2504" s="3" t="s">
        <v>93</v>
      </c>
      <c r="B2504" s="3" t="s">
        <v>94</v>
      </c>
      <c r="C2504" s="3" t="s">
        <v>42</v>
      </c>
      <c r="D2504" s="3" t="s">
        <v>206</v>
      </c>
      <c r="E2504" s="6">
        <v>0.48819444444444443</v>
      </c>
      <c r="F2504" s="6">
        <v>0.8256944444444444</v>
      </c>
      <c r="G2504" s="3" t="s">
        <v>26</v>
      </c>
      <c r="H2504" s="3" t="s">
        <v>27</v>
      </c>
      <c r="I2504" s="3" t="s">
        <v>15</v>
      </c>
    </row>
    <row r="2505" spans="1:9" s="3" customFormat="1" x14ac:dyDescent="0.3">
      <c r="A2505" s="3" t="s">
        <v>93</v>
      </c>
      <c r="B2505" s="3" t="s">
        <v>94</v>
      </c>
      <c r="C2505" s="3" t="s">
        <v>42</v>
      </c>
      <c r="D2505" s="3" t="s">
        <v>199</v>
      </c>
      <c r="E2505" s="6"/>
      <c r="F2505" s="6"/>
      <c r="G2505" s="3" t="s">
        <v>44</v>
      </c>
      <c r="H2505" s="3" t="s">
        <v>27</v>
      </c>
      <c r="I2505" s="3" t="s">
        <v>15</v>
      </c>
    </row>
    <row r="2506" spans="1:9" s="3" customFormat="1" x14ac:dyDescent="0.3">
      <c r="A2506" s="3" t="s">
        <v>146</v>
      </c>
      <c r="B2506" s="3" t="s">
        <v>147</v>
      </c>
      <c r="C2506" s="3" t="s">
        <v>24</v>
      </c>
      <c r="D2506" s="3" t="s">
        <v>95</v>
      </c>
      <c r="E2506" s="6">
        <v>0.37638888888888888</v>
      </c>
      <c r="F2506" s="6">
        <v>0.68263888888888891</v>
      </c>
      <c r="G2506" s="3" t="s">
        <v>20</v>
      </c>
      <c r="H2506" s="3" t="s">
        <v>14</v>
      </c>
      <c r="I2506" s="3" t="s">
        <v>21</v>
      </c>
    </row>
    <row r="2507" spans="1:9" s="3" customFormat="1" x14ac:dyDescent="0.3">
      <c r="A2507" s="3" t="s">
        <v>48</v>
      </c>
      <c r="B2507" s="3" t="s">
        <v>49</v>
      </c>
      <c r="C2507" s="3" t="s">
        <v>24</v>
      </c>
      <c r="D2507" s="3" t="s">
        <v>262</v>
      </c>
      <c r="E2507" s="6"/>
      <c r="F2507" s="6"/>
      <c r="G2507" s="3" t="s">
        <v>44</v>
      </c>
      <c r="H2507" s="3" t="s">
        <v>14</v>
      </c>
      <c r="I2507" s="3" t="s">
        <v>21</v>
      </c>
    </row>
    <row r="2508" spans="1:9" s="3" customFormat="1" x14ac:dyDescent="0.3">
      <c r="A2508" s="3" t="s">
        <v>362</v>
      </c>
      <c r="B2508" s="3" t="s">
        <v>363</v>
      </c>
      <c r="C2508" s="3" t="s">
        <v>24</v>
      </c>
      <c r="D2508" s="3" t="s">
        <v>364</v>
      </c>
      <c r="E2508" s="6">
        <v>0.4236111111111111</v>
      </c>
      <c r="F2508" s="6">
        <v>0.84861111111111109</v>
      </c>
      <c r="G2508" s="3" t="s">
        <v>20</v>
      </c>
      <c r="H2508" s="3" t="s">
        <v>14</v>
      </c>
      <c r="I2508" s="3" t="s">
        <v>15</v>
      </c>
    </row>
    <row r="2509" spans="1:9" s="3" customFormat="1" x14ac:dyDescent="0.3">
      <c r="A2509" s="3" t="s">
        <v>291</v>
      </c>
      <c r="B2509" s="3" t="s">
        <v>292</v>
      </c>
      <c r="C2509" s="3" t="s">
        <v>24</v>
      </c>
      <c r="D2509" s="3" t="s">
        <v>418</v>
      </c>
      <c r="E2509" s="6"/>
      <c r="F2509" s="6"/>
      <c r="G2509" s="3" t="s">
        <v>44</v>
      </c>
      <c r="H2509" s="3" t="s">
        <v>14</v>
      </c>
      <c r="I2509" s="3" t="s">
        <v>15</v>
      </c>
    </row>
    <row r="2510" spans="1:9" s="3" customFormat="1" x14ac:dyDescent="0.3">
      <c r="A2510" s="3" t="s">
        <v>157</v>
      </c>
      <c r="B2510" s="3" t="s">
        <v>158</v>
      </c>
      <c r="C2510" s="3" t="s">
        <v>24</v>
      </c>
      <c r="D2510" s="3" t="s">
        <v>317</v>
      </c>
      <c r="E2510" s="6">
        <v>0.4152777777777778</v>
      </c>
      <c r="F2510" s="6">
        <v>0.81736111111111109</v>
      </c>
      <c r="G2510" s="3" t="s">
        <v>13</v>
      </c>
      <c r="H2510" s="3" t="s">
        <v>27</v>
      </c>
      <c r="I2510" s="3" t="s">
        <v>21</v>
      </c>
    </row>
    <row r="2511" spans="1:9" s="3" customFormat="1" x14ac:dyDescent="0.3">
      <c r="A2511" s="3" t="s">
        <v>165</v>
      </c>
      <c r="B2511" s="3" t="s">
        <v>166</v>
      </c>
      <c r="C2511" s="3" t="s">
        <v>60</v>
      </c>
      <c r="D2511" s="3" t="s">
        <v>238</v>
      </c>
      <c r="E2511" s="6">
        <v>0.49652777777777779</v>
      </c>
      <c r="F2511" s="6">
        <v>0.75138888888888888</v>
      </c>
      <c r="G2511" s="3" t="s">
        <v>20</v>
      </c>
      <c r="H2511" s="3" t="s">
        <v>27</v>
      </c>
      <c r="I2511" s="3" t="s">
        <v>15</v>
      </c>
    </row>
    <row r="2512" spans="1:9" s="3" customFormat="1" x14ac:dyDescent="0.3">
      <c r="A2512" s="3" t="s">
        <v>78</v>
      </c>
      <c r="B2512" s="3" t="s">
        <v>79</v>
      </c>
      <c r="C2512" s="3" t="s">
        <v>64</v>
      </c>
      <c r="D2512" s="3" t="s">
        <v>411</v>
      </c>
      <c r="E2512" s="6"/>
      <c r="F2512" s="6"/>
      <c r="G2512" s="3" t="s">
        <v>44</v>
      </c>
      <c r="H2512" s="3" t="s">
        <v>27</v>
      </c>
      <c r="I2512" s="3" t="s">
        <v>15</v>
      </c>
    </row>
    <row r="2513" spans="1:9" s="3" customFormat="1" x14ac:dyDescent="0.3">
      <c r="A2513" s="3" t="s">
        <v>99</v>
      </c>
      <c r="B2513" s="3" t="s">
        <v>100</v>
      </c>
      <c r="C2513" s="3" t="s">
        <v>64</v>
      </c>
      <c r="D2513" s="3" t="s">
        <v>351</v>
      </c>
      <c r="E2513" s="6"/>
      <c r="F2513" s="6"/>
      <c r="G2513" s="3" t="s">
        <v>44</v>
      </c>
      <c r="H2513" s="3" t="s">
        <v>27</v>
      </c>
      <c r="I2513" s="3" t="s">
        <v>21</v>
      </c>
    </row>
    <row r="2514" spans="1:9" s="3" customFormat="1" x14ac:dyDescent="0.3">
      <c r="A2514" s="3" t="s">
        <v>122</v>
      </c>
      <c r="B2514" s="3" t="s">
        <v>123</v>
      </c>
      <c r="C2514" s="3" t="s">
        <v>18</v>
      </c>
      <c r="D2514" s="3" t="s">
        <v>293</v>
      </c>
      <c r="E2514" s="6">
        <v>0.48402777777777778</v>
      </c>
      <c r="F2514" s="6">
        <v>0.67500000000000004</v>
      </c>
      <c r="G2514" s="3" t="s">
        <v>20</v>
      </c>
      <c r="H2514" s="3" t="s">
        <v>14</v>
      </c>
      <c r="I2514" s="3" t="s">
        <v>15</v>
      </c>
    </row>
    <row r="2515" spans="1:9" s="3" customFormat="1" x14ac:dyDescent="0.3">
      <c r="A2515" s="3" t="s">
        <v>81</v>
      </c>
      <c r="B2515" s="3" t="s">
        <v>82</v>
      </c>
      <c r="C2515" s="3" t="s">
        <v>60</v>
      </c>
      <c r="D2515" s="3" t="s">
        <v>256</v>
      </c>
      <c r="E2515" s="6"/>
      <c r="F2515" s="6"/>
      <c r="G2515" s="3" t="s">
        <v>44</v>
      </c>
      <c r="H2515" s="3" t="s">
        <v>27</v>
      </c>
      <c r="I2515" s="3" t="s">
        <v>21</v>
      </c>
    </row>
    <row r="2516" spans="1:9" s="3" customFormat="1" x14ac:dyDescent="0.3">
      <c r="A2516" s="3" t="s">
        <v>165</v>
      </c>
      <c r="B2516" s="3" t="s">
        <v>166</v>
      </c>
      <c r="C2516" s="3" t="s">
        <v>60</v>
      </c>
      <c r="D2516" s="3" t="s">
        <v>369</v>
      </c>
      <c r="E2516" s="6">
        <v>0.34097222222222223</v>
      </c>
      <c r="F2516" s="6">
        <v>0.77361111111111114</v>
      </c>
      <c r="G2516" s="3" t="s">
        <v>13</v>
      </c>
      <c r="H2516" s="3" t="s">
        <v>14</v>
      </c>
      <c r="I2516" s="3" t="s">
        <v>15</v>
      </c>
    </row>
    <row r="2517" spans="1:9" s="3" customFormat="1" x14ac:dyDescent="0.3">
      <c r="A2517" s="3" t="s">
        <v>109</v>
      </c>
      <c r="B2517" s="3" t="s">
        <v>110</v>
      </c>
      <c r="C2517" s="3" t="s">
        <v>60</v>
      </c>
      <c r="D2517" s="3" t="s">
        <v>61</v>
      </c>
      <c r="E2517" s="6"/>
      <c r="F2517" s="6"/>
      <c r="G2517" s="3" t="s">
        <v>44</v>
      </c>
      <c r="H2517" s="3" t="s">
        <v>14</v>
      </c>
      <c r="I2517" s="3" t="s">
        <v>21</v>
      </c>
    </row>
    <row r="2518" spans="1:9" s="3" customFormat="1" x14ac:dyDescent="0.3">
      <c r="A2518" s="3" t="s">
        <v>216</v>
      </c>
      <c r="B2518" s="3" t="s">
        <v>217</v>
      </c>
      <c r="C2518" s="3" t="s">
        <v>64</v>
      </c>
      <c r="D2518" s="3" t="s">
        <v>304</v>
      </c>
      <c r="E2518" s="6">
        <v>0.42916666666666664</v>
      </c>
      <c r="F2518" s="6">
        <v>0.82430555555555551</v>
      </c>
      <c r="G2518" s="3" t="s">
        <v>26</v>
      </c>
      <c r="H2518" s="3" t="s">
        <v>14</v>
      </c>
      <c r="I2518" s="3" t="s">
        <v>21</v>
      </c>
    </row>
    <row r="2519" spans="1:9" s="3" customFormat="1" x14ac:dyDescent="0.3">
      <c r="A2519" s="3" t="s">
        <v>204</v>
      </c>
      <c r="B2519" s="3" t="s">
        <v>205</v>
      </c>
      <c r="C2519" s="3" t="s">
        <v>42</v>
      </c>
      <c r="D2519" s="3" t="s">
        <v>263</v>
      </c>
      <c r="E2519" s="6">
        <v>0.37569444444444444</v>
      </c>
      <c r="F2519" s="6">
        <v>0.83611111111111114</v>
      </c>
      <c r="G2519" s="3" t="s">
        <v>13</v>
      </c>
      <c r="H2519" s="3" t="s">
        <v>14</v>
      </c>
      <c r="I2519" s="3" t="s">
        <v>15</v>
      </c>
    </row>
    <row r="2520" spans="1:9" s="3" customFormat="1" x14ac:dyDescent="0.3">
      <c r="A2520" s="3" t="s">
        <v>141</v>
      </c>
      <c r="B2520" s="3" t="s">
        <v>142</v>
      </c>
      <c r="C2520" s="3" t="s">
        <v>42</v>
      </c>
      <c r="D2520" s="3" t="s">
        <v>302</v>
      </c>
      <c r="E2520" s="6">
        <v>0.33333333333333331</v>
      </c>
      <c r="F2520" s="6">
        <v>0.87361111111111112</v>
      </c>
      <c r="G2520" s="3" t="s">
        <v>20</v>
      </c>
      <c r="H2520" s="3" t="s">
        <v>27</v>
      </c>
      <c r="I2520" s="3" t="s">
        <v>21</v>
      </c>
    </row>
    <row r="2521" spans="1:9" s="3" customFormat="1" x14ac:dyDescent="0.3">
      <c r="A2521" s="3" t="s">
        <v>52</v>
      </c>
      <c r="B2521" s="3" t="s">
        <v>53</v>
      </c>
      <c r="C2521" s="3" t="s">
        <v>42</v>
      </c>
      <c r="D2521" s="3" t="s">
        <v>387</v>
      </c>
      <c r="E2521" s="6">
        <v>0.38472222222222224</v>
      </c>
      <c r="F2521" s="6">
        <v>0.76875000000000004</v>
      </c>
      <c r="G2521" s="3" t="s">
        <v>20</v>
      </c>
      <c r="H2521" s="3" t="s">
        <v>14</v>
      </c>
      <c r="I2521" s="3" t="s">
        <v>21</v>
      </c>
    </row>
    <row r="2522" spans="1:9" s="3" customFormat="1" x14ac:dyDescent="0.3">
      <c r="A2522" s="3" t="s">
        <v>154</v>
      </c>
      <c r="B2522" s="3" t="s">
        <v>155</v>
      </c>
      <c r="C2522" s="3" t="s">
        <v>64</v>
      </c>
      <c r="D2522" s="3" t="s">
        <v>25</v>
      </c>
      <c r="E2522" s="6">
        <v>0.43680555555555556</v>
      </c>
      <c r="F2522" s="6">
        <v>0.84375</v>
      </c>
      <c r="G2522" s="3" t="s">
        <v>13</v>
      </c>
      <c r="H2522" s="3" t="s">
        <v>14</v>
      </c>
      <c r="I2522" s="3" t="s">
        <v>15</v>
      </c>
    </row>
    <row r="2523" spans="1:9" s="3" customFormat="1" x14ac:dyDescent="0.3">
      <c r="A2523" s="3" t="s">
        <v>122</v>
      </c>
      <c r="B2523" s="3" t="s">
        <v>123</v>
      </c>
      <c r="C2523" s="3" t="s">
        <v>42</v>
      </c>
      <c r="D2523" s="3" t="s">
        <v>180</v>
      </c>
      <c r="E2523" s="6">
        <v>0.38333333333333336</v>
      </c>
      <c r="F2523" s="6">
        <v>0.82013888888888886</v>
      </c>
      <c r="G2523" s="3" t="s">
        <v>170</v>
      </c>
      <c r="H2523" s="3" t="s">
        <v>27</v>
      </c>
      <c r="I2523" s="3" t="s">
        <v>15</v>
      </c>
    </row>
    <row r="2524" spans="1:9" s="3" customFormat="1" x14ac:dyDescent="0.3">
      <c r="A2524" s="3" t="s">
        <v>157</v>
      </c>
      <c r="B2524" s="3" t="s">
        <v>158</v>
      </c>
      <c r="C2524" s="3" t="s">
        <v>24</v>
      </c>
      <c r="D2524" s="3" t="s">
        <v>347</v>
      </c>
      <c r="E2524" s="6">
        <v>0.38124999999999998</v>
      </c>
      <c r="F2524" s="6">
        <v>0.77847222222222223</v>
      </c>
      <c r="G2524" s="3" t="s">
        <v>125</v>
      </c>
      <c r="H2524" s="3" t="s">
        <v>27</v>
      </c>
      <c r="I2524" s="3" t="s">
        <v>21</v>
      </c>
    </row>
    <row r="2525" spans="1:9" s="3" customFormat="1" x14ac:dyDescent="0.3">
      <c r="A2525" s="3" t="s">
        <v>194</v>
      </c>
      <c r="B2525" s="3" t="s">
        <v>195</v>
      </c>
      <c r="C2525" s="3" t="s">
        <v>18</v>
      </c>
      <c r="D2525" s="3" t="s">
        <v>299</v>
      </c>
      <c r="E2525" s="6">
        <v>0.47847222222222224</v>
      </c>
      <c r="F2525" s="6">
        <v>0.75902777777777775</v>
      </c>
      <c r="G2525" s="3" t="s">
        <v>13</v>
      </c>
      <c r="H2525" s="3" t="s">
        <v>14</v>
      </c>
      <c r="I2525" s="3" t="s">
        <v>21</v>
      </c>
    </row>
    <row r="2526" spans="1:9" s="3" customFormat="1" x14ac:dyDescent="0.3">
      <c r="A2526" s="3" t="s">
        <v>175</v>
      </c>
      <c r="B2526" s="3" t="s">
        <v>176</v>
      </c>
      <c r="C2526" s="3" t="s">
        <v>42</v>
      </c>
      <c r="D2526" s="3" t="s">
        <v>288</v>
      </c>
      <c r="E2526" s="6">
        <v>0.46388888888888891</v>
      </c>
      <c r="F2526" s="6">
        <v>0.87013888888888891</v>
      </c>
      <c r="G2526" s="3" t="s">
        <v>13</v>
      </c>
      <c r="H2526" s="3" t="s">
        <v>14</v>
      </c>
      <c r="I2526" s="3" t="s">
        <v>21</v>
      </c>
    </row>
    <row r="2527" spans="1:9" s="3" customFormat="1" x14ac:dyDescent="0.3">
      <c r="A2527" s="3" t="s">
        <v>52</v>
      </c>
      <c r="B2527" s="3" t="s">
        <v>53</v>
      </c>
      <c r="C2527" s="3" t="s">
        <v>60</v>
      </c>
      <c r="D2527" s="3" t="s">
        <v>367</v>
      </c>
      <c r="E2527" s="6">
        <v>0.37986111111111109</v>
      </c>
      <c r="F2527" s="6">
        <v>0.7583333333333333</v>
      </c>
      <c r="G2527" s="3" t="s">
        <v>13</v>
      </c>
      <c r="H2527" s="3" t="s">
        <v>14</v>
      </c>
      <c r="I2527" s="3" t="s">
        <v>21</v>
      </c>
    </row>
    <row r="2528" spans="1:9" s="3" customFormat="1" x14ac:dyDescent="0.3">
      <c r="A2528" s="3" t="s">
        <v>66</v>
      </c>
      <c r="B2528" s="3" t="s">
        <v>67</v>
      </c>
      <c r="C2528" s="3" t="s">
        <v>42</v>
      </c>
      <c r="D2528" s="3" t="s">
        <v>144</v>
      </c>
      <c r="E2528" s="6">
        <v>0.48819444444444443</v>
      </c>
      <c r="F2528" s="6">
        <v>0.78888888888888886</v>
      </c>
      <c r="G2528" s="3" t="s">
        <v>20</v>
      </c>
      <c r="H2528" s="3" t="s">
        <v>27</v>
      </c>
      <c r="I2528" s="3" t="s">
        <v>15</v>
      </c>
    </row>
    <row r="2529" spans="1:9" s="3" customFormat="1" x14ac:dyDescent="0.3">
      <c r="A2529" s="3" t="s">
        <v>48</v>
      </c>
      <c r="B2529" s="3" t="s">
        <v>49</v>
      </c>
      <c r="C2529" s="3" t="s">
        <v>24</v>
      </c>
      <c r="D2529" s="3" t="s">
        <v>327</v>
      </c>
      <c r="E2529" s="6"/>
      <c r="F2529" s="6"/>
      <c r="G2529" s="3" t="s">
        <v>44</v>
      </c>
      <c r="H2529" s="3" t="s">
        <v>27</v>
      </c>
      <c r="I2529" s="3" t="s">
        <v>15</v>
      </c>
    </row>
    <row r="2530" spans="1:9" s="3" customFormat="1" x14ac:dyDescent="0.3">
      <c r="A2530" s="3" t="s">
        <v>204</v>
      </c>
      <c r="B2530" s="3" t="s">
        <v>205</v>
      </c>
      <c r="C2530" s="3" t="s">
        <v>64</v>
      </c>
      <c r="D2530" s="3" t="s">
        <v>145</v>
      </c>
      <c r="E2530" s="6">
        <v>0.36180555555555555</v>
      </c>
      <c r="F2530" s="6">
        <v>0.83402777777777781</v>
      </c>
      <c r="G2530" s="3" t="s">
        <v>13</v>
      </c>
      <c r="H2530" s="3" t="s">
        <v>27</v>
      </c>
      <c r="I2530" s="3" t="s">
        <v>15</v>
      </c>
    </row>
    <row r="2531" spans="1:9" s="3" customFormat="1" x14ac:dyDescent="0.3">
      <c r="A2531" s="3" t="s">
        <v>75</v>
      </c>
      <c r="B2531" s="3" t="s">
        <v>76</v>
      </c>
      <c r="C2531" s="3" t="s">
        <v>60</v>
      </c>
      <c r="D2531" s="3" t="s">
        <v>344</v>
      </c>
      <c r="E2531" s="6">
        <v>0.40069444444444446</v>
      </c>
      <c r="F2531" s="6">
        <v>0.73611111111111116</v>
      </c>
      <c r="G2531" s="3" t="s">
        <v>20</v>
      </c>
      <c r="H2531" s="3" t="s">
        <v>14</v>
      </c>
      <c r="I2531" s="3" t="s">
        <v>15</v>
      </c>
    </row>
    <row r="2532" spans="1:9" s="3" customFormat="1" x14ac:dyDescent="0.3">
      <c r="A2532" s="3" t="s">
        <v>187</v>
      </c>
      <c r="B2532" s="3" t="s">
        <v>188</v>
      </c>
      <c r="C2532" s="3" t="s">
        <v>24</v>
      </c>
      <c r="D2532" s="3" t="s">
        <v>312</v>
      </c>
      <c r="E2532" s="6">
        <v>0.45347222222222222</v>
      </c>
      <c r="F2532" s="6">
        <v>0.74305555555555558</v>
      </c>
      <c r="G2532" s="3" t="s">
        <v>13</v>
      </c>
      <c r="H2532" s="3" t="s">
        <v>14</v>
      </c>
      <c r="I2532" s="3" t="s">
        <v>21</v>
      </c>
    </row>
    <row r="2533" spans="1:9" s="3" customFormat="1" x14ac:dyDescent="0.3">
      <c r="A2533" s="3" t="s">
        <v>96</v>
      </c>
      <c r="B2533" s="3" t="s">
        <v>97</v>
      </c>
      <c r="C2533" s="3" t="s">
        <v>127</v>
      </c>
      <c r="D2533" s="3" t="s">
        <v>218</v>
      </c>
      <c r="E2533" s="6">
        <v>0.43958333333333333</v>
      </c>
      <c r="F2533" s="6">
        <v>0.67569444444444449</v>
      </c>
      <c r="G2533" s="3" t="s">
        <v>26</v>
      </c>
      <c r="H2533" s="3" t="s">
        <v>14</v>
      </c>
      <c r="I2533" s="3" t="s">
        <v>15</v>
      </c>
    </row>
    <row r="2534" spans="1:9" s="3" customFormat="1" x14ac:dyDescent="0.3">
      <c r="A2534" s="3" t="s">
        <v>109</v>
      </c>
      <c r="B2534" s="3" t="s">
        <v>110</v>
      </c>
      <c r="C2534" s="3" t="s">
        <v>60</v>
      </c>
      <c r="D2534" s="3" t="s">
        <v>323</v>
      </c>
      <c r="E2534" s="6">
        <v>0.33541666666666664</v>
      </c>
      <c r="F2534" s="6">
        <v>0.69513888888888886</v>
      </c>
      <c r="G2534" s="3" t="s">
        <v>20</v>
      </c>
      <c r="H2534" s="3" t="s">
        <v>27</v>
      </c>
      <c r="I2534" s="3" t="s">
        <v>15</v>
      </c>
    </row>
    <row r="2535" spans="1:9" s="3" customFormat="1" x14ac:dyDescent="0.3">
      <c r="A2535" s="3" t="s">
        <v>150</v>
      </c>
      <c r="B2535" s="3" t="s">
        <v>151</v>
      </c>
      <c r="C2535" s="3" t="s">
        <v>18</v>
      </c>
      <c r="D2535" s="3" t="s">
        <v>302</v>
      </c>
      <c r="E2535" s="6">
        <v>0.37291666666666667</v>
      </c>
      <c r="F2535" s="6">
        <v>0.82638888888888884</v>
      </c>
      <c r="G2535" s="3" t="s">
        <v>20</v>
      </c>
      <c r="H2535" s="3" t="s">
        <v>27</v>
      </c>
      <c r="I2535" s="3" t="s">
        <v>21</v>
      </c>
    </row>
    <row r="2536" spans="1:9" s="3" customFormat="1" x14ac:dyDescent="0.3">
      <c r="A2536" s="3" t="s">
        <v>224</v>
      </c>
      <c r="B2536" s="3" t="s">
        <v>225</v>
      </c>
      <c r="C2536" s="3" t="s">
        <v>64</v>
      </c>
      <c r="D2536" s="3" t="s">
        <v>12</v>
      </c>
      <c r="E2536" s="6">
        <v>0.3659722222222222</v>
      </c>
      <c r="F2536" s="6">
        <v>0.85347222222222219</v>
      </c>
      <c r="G2536" s="3" t="s">
        <v>13</v>
      </c>
      <c r="H2536" s="3" t="s">
        <v>27</v>
      </c>
      <c r="I2536" s="3" t="s">
        <v>21</v>
      </c>
    </row>
    <row r="2537" spans="1:9" s="3" customFormat="1" x14ac:dyDescent="0.3">
      <c r="A2537" s="3" t="s">
        <v>72</v>
      </c>
      <c r="B2537" s="3" t="s">
        <v>73</v>
      </c>
      <c r="C2537" s="3" t="s">
        <v>64</v>
      </c>
      <c r="D2537" s="3" t="s">
        <v>282</v>
      </c>
      <c r="E2537" s="6">
        <v>0.35902777777777778</v>
      </c>
      <c r="F2537" s="6">
        <v>0.83888888888888891</v>
      </c>
      <c r="G2537" s="3" t="s">
        <v>20</v>
      </c>
      <c r="H2537" s="3" t="s">
        <v>27</v>
      </c>
      <c r="I2537" s="3" t="s">
        <v>15</v>
      </c>
    </row>
    <row r="2538" spans="1:9" s="3" customFormat="1" x14ac:dyDescent="0.3">
      <c r="A2538" s="3" t="s">
        <v>216</v>
      </c>
      <c r="B2538" s="3" t="s">
        <v>217</v>
      </c>
      <c r="C2538" s="3" t="s">
        <v>64</v>
      </c>
      <c r="D2538" s="3" t="s">
        <v>326</v>
      </c>
      <c r="E2538" s="6">
        <v>0.35069444444444442</v>
      </c>
      <c r="F2538" s="6">
        <v>0.85902777777777772</v>
      </c>
      <c r="G2538" s="3" t="s">
        <v>13</v>
      </c>
      <c r="H2538" s="3" t="s">
        <v>27</v>
      </c>
      <c r="I2538" s="3" t="s">
        <v>15</v>
      </c>
    </row>
    <row r="2539" spans="1:9" s="3" customFormat="1" x14ac:dyDescent="0.3">
      <c r="A2539" s="3" t="s">
        <v>40</v>
      </c>
      <c r="B2539" s="3" t="s">
        <v>41</v>
      </c>
      <c r="C2539" s="3" t="s">
        <v>18</v>
      </c>
      <c r="D2539" s="3" t="s">
        <v>321</v>
      </c>
      <c r="E2539" s="6">
        <v>0.39513888888888887</v>
      </c>
      <c r="F2539" s="6">
        <v>0.7006944444444444</v>
      </c>
      <c r="G2539" s="3" t="s">
        <v>13</v>
      </c>
      <c r="H2539" s="3" t="s">
        <v>14</v>
      </c>
      <c r="I2539" s="3" t="s">
        <v>21</v>
      </c>
    </row>
    <row r="2540" spans="1:9" s="3" customFormat="1" x14ac:dyDescent="0.3">
      <c r="A2540" s="3" t="s">
        <v>216</v>
      </c>
      <c r="B2540" s="3" t="s">
        <v>217</v>
      </c>
      <c r="C2540" s="3" t="s">
        <v>24</v>
      </c>
      <c r="D2540" s="3" t="s">
        <v>148</v>
      </c>
      <c r="E2540" s="6">
        <v>0.49861111111111112</v>
      </c>
      <c r="F2540" s="6">
        <v>0.77430555555555558</v>
      </c>
      <c r="G2540" s="3" t="s">
        <v>13</v>
      </c>
      <c r="H2540" s="3" t="s">
        <v>14</v>
      </c>
      <c r="I2540" s="3" t="s">
        <v>15</v>
      </c>
    </row>
    <row r="2541" spans="1:9" s="3" customFormat="1" x14ac:dyDescent="0.3">
      <c r="A2541" s="3" t="s">
        <v>204</v>
      </c>
      <c r="B2541" s="3" t="s">
        <v>205</v>
      </c>
      <c r="C2541" s="3" t="s">
        <v>60</v>
      </c>
      <c r="D2541" s="3" t="s">
        <v>300</v>
      </c>
      <c r="E2541" s="6">
        <v>0.36527777777777776</v>
      </c>
      <c r="F2541" s="6">
        <v>0.85763888888888884</v>
      </c>
      <c r="G2541" s="3" t="s">
        <v>20</v>
      </c>
      <c r="H2541" s="3" t="s">
        <v>27</v>
      </c>
      <c r="I2541" s="3" t="s">
        <v>21</v>
      </c>
    </row>
    <row r="2542" spans="1:9" s="3" customFormat="1" x14ac:dyDescent="0.3">
      <c r="A2542" s="3" t="s">
        <v>134</v>
      </c>
      <c r="B2542" s="3" t="s">
        <v>135</v>
      </c>
      <c r="C2542" s="3" t="s">
        <v>60</v>
      </c>
      <c r="D2542" s="3" t="s">
        <v>228</v>
      </c>
      <c r="E2542" s="6">
        <v>0.37013888888888891</v>
      </c>
      <c r="F2542" s="6">
        <v>0.81180555555555556</v>
      </c>
      <c r="G2542" s="3" t="s">
        <v>13</v>
      </c>
      <c r="H2542" s="3" t="s">
        <v>27</v>
      </c>
      <c r="I2542" s="3" t="s">
        <v>21</v>
      </c>
    </row>
    <row r="2543" spans="1:9" s="3" customFormat="1" x14ac:dyDescent="0.3">
      <c r="A2543" s="3" t="s">
        <v>187</v>
      </c>
      <c r="B2543" s="3" t="s">
        <v>188</v>
      </c>
      <c r="C2543" s="3" t="s">
        <v>42</v>
      </c>
      <c r="D2543" s="3" t="s">
        <v>71</v>
      </c>
      <c r="E2543" s="6"/>
      <c r="F2543" s="6"/>
      <c r="G2543" s="3" t="s">
        <v>44</v>
      </c>
      <c r="H2543" s="3" t="s">
        <v>27</v>
      </c>
      <c r="I2543" s="3" t="s">
        <v>21</v>
      </c>
    </row>
    <row r="2544" spans="1:9" s="3" customFormat="1" x14ac:dyDescent="0.3">
      <c r="A2544" s="3" t="s">
        <v>138</v>
      </c>
      <c r="B2544" s="3" t="s">
        <v>139</v>
      </c>
      <c r="C2544" s="3" t="s">
        <v>64</v>
      </c>
      <c r="D2544" s="3" t="s">
        <v>273</v>
      </c>
      <c r="E2544" s="6">
        <v>0.4375</v>
      </c>
      <c r="F2544" s="6">
        <v>0.68402777777777779</v>
      </c>
      <c r="G2544" s="3" t="s">
        <v>26</v>
      </c>
      <c r="H2544" s="3" t="s">
        <v>27</v>
      </c>
      <c r="I2544" s="3" t="s">
        <v>15</v>
      </c>
    </row>
    <row r="2545" spans="1:9" s="3" customFormat="1" x14ac:dyDescent="0.3">
      <c r="A2545" s="3" t="s">
        <v>187</v>
      </c>
      <c r="B2545" s="3" t="s">
        <v>188</v>
      </c>
      <c r="C2545" s="3" t="s">
        <v>42</v>
      </c>
      <c r="D2545" s="3" t="s">
        <v>207</v>
      </c>
      <c r="E2545" s="6">
        <v>0.40833333333333333</v>
      </c>
      <c r="F2545" s="6">
        <v>0.79861111111111116</v>
      </c>
      <c r="G2545" s="3" t="s">
        <v>20</v>
      </c>
      <c r="H2545" s="3" t="s">
        <v>14</v>
      </c>
      <c r="I2545" s="3" t="s">
        <v>21</v>
      </c>
    </row>
    <row r="2546" spans="1:9" s="3" customFormat="1" x14ac:dyDescent="0.3">
      <c r="A2546" s="3" t="s">
        <v>40</v>
      </c>
      <c r="B2546" s="3" t="s">
        <v>41</v>
      </c>
      <c r="C2546" s="3" t="s">
        <v>24</v>
      </c>
      <c r="D2546" s="3" t="s">
        <v>312</v>
      </c>
      <c r="E2546" s="6">
        <v>0.41180555555555554</v>
      </c>
      <c r="F2546" s="6">
        <v>0.84861111111111109</v>
      </c>
      <c r="G2546" s="3" t="s">
        <v>13</v>
      </c>
      <c r="H2546" s="3" t="s">
        <v>14</v>
      </c>
      <c r="I2546" s="3" t="s">
        <v>15</v>
      </c>
    </row>
    <row r="2547" spans="1:9" s="3" customFormat="1" x14ac:dyDescent="0.3">
      <c r="A2547" s="3" t="s">
        <v>84</v>
      </c>
      <c r="B2547" s="3" t="s">
        <v>85</v>
      </c>
      <c r="C2547" s="3" t="s">
        <v>60</v>
      </c>
      <c r="D2547" s="3" t="s">
        <v>285</v>
      </c>
      <c r="E2547" s="6">
        <v>0.34027777777777779</v>
      </c>
      <c r="F2547" s="6">
        <v>0.82708333333333328</v>
      </c>
      <c r="G2547" s="3" t="s">
        <v>26</v>
      </c>
      <c r="H2547" s="3" t="s">
        <v>27</v>
      </c>
      <c r="I2547" s="3" t="s">
        <v>15</v>
      </c>
    </row>
    <row r="2548" spans="1:9" s="3" customFormat="1" x14ac:dyDescent="0.3">
      <c r="A2548" s="3" t="s">
        <v>109</v>
      </c>
      <c r="B2548" s="3" t="s">
        <v>110</v>
      </c>
      <c r="C2548" s="3" t="s">
        <v>64</v>
      </c>
      <c r="D2548" s="3" t="s">
        <v>351</v>
      </c>
      <c r="E2548" s="6">
        <v>0.40486111111111112</v>
      </c>
      <c r="F2548" s="6">
        <v>0.82430555555555551</v>
      </c>
      <c r="G2548" s="3" t="s">
        <v>26</v>
      </c>
      <c r="H2548" s="3" t="s">
        <v>14</v>
      </c>
      <c r="I2548" s="3" t="s">
        <v>15</v>
      </c>
    </row>
    <row r="2549" spans="1:9" s="3" customFormat="1" x14ac:dyDescent="0.3">
      <c r="A2549" s="3" t="s">
        <v>213</v>
      </c>
      <c r="B2549" s="3" t="s">
        <v>214</v>
      </c>
      <c r="C2549" s="3" t="s">
        <v>42</v>
      </c>
      <c r="D2549" s="3" t="s">
        <v>272</v>
      </c>
      <c r="E2549" s="6">
        <v>0.41875000000000001</v>
      </c>
      <c r="F2549" s="6">
        <v>0.7055555555555556</v>
      </c>
      <c r="G2549" s="3" t="s">
        <v>20</v>
      </c>
      <c r="H2549" s="3" t="s">
        <v>27</v>
      </c>
      <c r="I2549" s="3" t="s">
        <v>15</v>
      </c>
    </row>
    <row r="2550" spans="1:9" s="3" customFormat="1" x14ac:dyDescent="0.3">
      <c r="A2550" s="3" t="s">
        <v>87</v>
      </c>
      <c r="B2550" s="3" t="s">
        <v>88</v>
      </c>
      <c r="C2550" s="3" t="s">
        <v>24</v>
      </c>
      <c r="D2550" s="3" t="s">
        <v>383</v>
      </c>
      <c r="E2550" s="6">
        <v>0.34375</v>
      </c>
      <c r="F2550" s="6">
        <v>0.72013888888888888</v>
      </c>
      <c r="G2550" s="3" t="s">
        <v>20</v>
      </c>
      <c r="H2550" s="3" t="s">
        <v>14</v>
      </c>
      <c r="I2550" s="3" t="s">
        <v>21</v>
      </c>
    </row>
    <row r="2551" spans="1:9" s="3" customFormat="1" x14ac:dyDescent="0.3">
      <c r="A2551" s="3" t="s">
        <v>37</v>
      </c>
      <c r="B2551" s="3" t="s">
        <v>38</v>
      </c>
      <c r="C2551" s="3" t="s">
        <v>42</v>
      </c>
      <c r="D2551" s="3" t="s">
        <v>318</v>
      </c>
      <c r="E2551" s="6">
        <v>0.46111111111111114</v>
      </c>
      <c r="F2551" s="6">
        <v>0.7104166666666667</v>
      </c>
      <c r="G2551" s="3" t="s">
        <v>26</v>
      </c>
      <c r="H2551" s="3" t="s">
        <v>27</v>
      </c>
      <c r="I2551" s="3" t="s">
        <v>15</v>
      </c>
    </row>
    <row r="2552" spans="1:9" s="3" customFormat="1" x14ac:dyDescent="0.3">
      <c r="A2552" s="3" t="s">
        <v>138</v>
      </c>
      <c r="B2552" s="3" t="s">
        <v>139</v>
      </c>
      <c r="C2552" s="3" t="s">
        <v>64</v>
      </c>
      <c r="D2552" s="3" t="s">
        <v>206</v>
      </c>
      <c r="E2552" s="6"/>
      <c r="F2552" s="6"/>
      <c r="G2552" s="3" t="s">
        <v>44</v>
      </c>
      <c r="H2552" s="3" t="s">
        <v>14</v>
      </c>
      <c r="I2552" s="3" t="s">
        <v>15</v>
      </c>
    </row>
    <row r="2553" spans="1:9" s="3" customFormat="1" x14ac:dyDescent="0.3">
      <c r="A2553" s="3" t="s">
        <v>69</v>
      </c>
      <c r="B2553" s="3" t="s">
        <v>70</v>
      </c>
      <c r="C2553" s="3" t="s">
        <v>127</v>
      </c>
      <c r="D2553" s="3" t="s">
        <v>310</v>
      </c>
      <c r="E2553" s="6">
        <v>0.38750000000000001</v>
      </c>
      <c r="F2553" s="6">
        <v>0.7583333333333333</v>
      </c>
      <c r="G2553" s="3" t="s">
        <v>26</v>
      </c>
      <c r="H2553" s="3" t="s">
        <v>27</v>
      </c>
      <c r="I2553" s="3" t="s">
        <v>21</v>
      </c>
    </row>
    <row r="2554" spans="1:9" s="3" customFormat="1" x14ac:dyDescent="0.3">
      <c r="A2554" s="3" t="s">
        <v>130</v>
      </c>
      <c r="B2554" s="3" t="s">
        <v>131</v>
      </c>
      <c r="C2554" s="3" t="s">
        <v>24</v>
      </c>
      <c r="D2554" s="3" t="s">
        <v>178</v>
      </c>
      <c r="E2554" s="6">
        <v>0.37916666666666665</v>
      </c>
      <c r="F2554" s="6">
        <v>0.74236111111111114</v>
      </c>
      <c r="G2554" s="3" t="s">
        <v>20</v>
      </c>
      <c r="H2554" s="3" t="s">
        <v>27</v>
      </c>
      <c r="I2554" s="3" t="s">
        <v>21</v>
      </c>
    </row>
    <row r="2555" spans="1:9" s="3" customFormat="1" x14ac:dyDescent="0.3">
      <c r="A2555" s="3" t="s">
        <v>146</v>
      </c>
      <c r="B2555" s="3" t="s">
        <v>147</v>
      </c>
      <c r="C2555" s="3" t="s">
        <v>18</v>
      </c>
      <c r="D2555" s="3" t="s">
        <v>168</v>
      </c>
      <c r="E2555" s="6"/>
      <c r="F2555" s="6"/>
      <c r="G2555" s="3" t="s">
        <v>44</v>
      </c>
      <c r="H2555" s="3" t="s">
        <v>27</v>
      </c>
      <c r="I2555" s="3" t="s">
        <v>15</v>
      </c>
    </row>
    <row r="2556" spans="1:9" s="3" customFormat="1" x14ac:dyDescent="0.3">
      <c r="A2556" s="3" t="s">
        <v>150</v>
      </c>
      <c r="B2556" s="3" t="s">
        <v>151</v>
      </c>
      <c r="C2556" s="3" t="s">
        <v>24</v>
      </c>
      <c r="D2556" s="3" t="s">
        <v>245</v>
      </c>
      <c r="E2556" s="6">
        <v>0.48749999999999999</v>
      </c>
      <c r="F2556" s="6">
        <v>0.85555555555555551</v>
      </c>
      <c r="G2556" s="3" t="s">
        <v>20</v>
      </c>
      <c r="H2556" s="3" t="s">
        <v>14</v>
      </c>
      <c r="I2556" s="3" t="s">
        <v>21</v>
      </c>
    </row>
    <row r="2557" spans="1:9" s="3" customFormat="1" x14ac:dyDescent="0.3">
      <c r="A2557" s="3" t="s">
        <v>102</v>
      </c>
      <c r="B2557" s="3" t="s">
        <v>103</v>
      </c>
      <c r="C2557" s="3" t="s">
        <v>18</v>
      </c>
      <c r="D2557" s="3" t="s">
        <v>234</v>
      </c>
      <c r="E2557" s="6">
        <v>0.43055555555555558</v>
      </c>
      <c r="F2557" s="6">
        <v>0.81944444444444442</v>
      </c>
      <c r="G2557" s="3" t="s">
        <v>26</v>
      </c>
      <c r="H2557" s="3" t="s">
        <v>14</v>
      </c>
      <c r="I2557" s="3" t="s">
        <v>21</v>
      </c>
    </row>
    <row r="2558" spans="1:9" s="3" customFormat="1" x14ac:dyDescent="0.3">
      <c r="A2558" s="3" t="s">
        <v>48</v>
      </c>
      <c r="B2558" s="3" t="s">
        <v>49</v>
      </c>
      <c r="C2558" s="3" t="s">
        <v>24</v>
      </c>
      <c r="D2558" s="3" t="s">
        <v>255</v>
      </c>
      <c r="E2558" s="6">
        <v>0.43125000000000002</v>
      </c>
      <c r="F2558" s="6">
        <v>0.79027777777777775</v>
      </c>
      <c r="G2558" s="3" t="s">
        <v>20</v>
      </c>
      <c r="H2558" s="3" t="s">
        <v>27</v>
      </c>
      <c r="I2558" s="3" t="s">
        <v>21</v>
      </c>
    </row>
    <row r="2559" spans="1:9" s="3" customFormat="1" x14ac:dyDescent="0.3">
      <c r="A2559" s="3" t="s">
        <v>194</v>
      </c>
      <c r="B2559" s="3" t="s">
        <v>195</v>
      </c>
      <c r="C2559" s="3" t="s">
        <v>60</v>
      </c>
      <c r="D2559" s="3" t="s">
        <v>162</v>
      </c>
      <c r="E2559" s="6">
        <v>0.37986111111111109</v>
      </c>
      <c r="F2559" s="6">
        <v>0.69305555555555554</v>
      </c>
      <c r="G2559" s="3" t="s">
        <v>26</v>
      </c>
      <c r="H2559" s="3" t="s">
        <v>14</v>
      </c>
      <c r="I2559" s="3" t="s">
        <v>15</v>
      </c>
    </row>
    <row r="2560" spans="1:9" s="3" customFormat="1" x14ac:dyDescent="0.3">
      <c r="A2560" s="3" t="s">
        <v>28</v>
      </c>
      <c r="B2560" s="3" t="s">
        <v>29</v>
      </c>
      <c r="C2560" s="3" t="s">
        <v>42</v>
      </c>
      <c r="D2560" s="3" t="s">
        <v>80</v>
      </c>
      <c r="E2560" s="6">
        <v>0.39027777777777778</v>
      </c>
      <c r="F2560" s="6">
        <v>0.6743055555555556</v>
      </c>
      <c r="G2560" s="3" t="s">
        <v>125</v>
      </c>
      <c r="H2560" s="3" t="s">
        <v>14</v>
      </c>
      <c r="I2560" s="3" t="s">
        <v>21</v>
      </c>
    </row>
    <row r="2561" spans="1:9" s="3" customFormat="1" x14ac:dyDescent="0.3">
      <c r="A2561" s="3" t="s">
        <v>236</v>
      </c>
      <c r="B2561" s="3" t="s">
        <v>237</v>
      </c>
      <c r="C2561" s="3" t="s">
        <v>64</v>
      </c>
      <c r="D2561" s="3" t="s">
        <v>80</v>
      </c>
      <c r="E2561" s="6"/>
      <c r="F2561" s="6"/>
      <c r="G2561" s="3" t="s">
        <v>44</v>
      </c>
      <c r="H2561" s="3" t="s">
        <v>14</v>
      </c>
      <c r="I2561" s="3" t="s">
        <v>15</v>
      </c>
    </row>
    <row r="2562" spans="1:9" s="3" customFormat="1" x14ac:dyDescent="0.3">
      <c r="A2562" s="3" t="s">
        <v>269</v>
      </c>
      <c r="B2562" s="3" t="s">
        <v>270</v>
      </c>
      <c r="C2562" s="3" t="s">
        <v>143</v>
      </c>
      <c r="D2562" s="3" t="s">
        <v>343</v>
      </c>
      <c r="E2562" s="6">
        <v>0.43541666666666667</v>
      </c>
      <c r="F2562" s="6">
        <v>0.72083333333333333</v>
      </c>
      <c r="G2562" s="3" t="s">
        <v>26</v>
      </c>
      <c r="H2562" s="3" t="s">
        <v>27</v>
      </c>
      <c r="I2562" s="3" t="s">
        <v>15</v>
      </c>
    </row>
    <row r="2563" spans="1:9" s="3" customFormat="1" x14ac:dyDescent="0.3">
      <c r="A2563" s="3" t="s">
        <v>157</v>
      </c>
      <c r="B2563" s="3" t="s">
        <v>158</v>
      </c>
      <c r="C2563" s="3" t="s">
        <v>64</v>
      </c>
      <c r="D2563" s="3" t="s">
        <v>413</v>
      </c>
      <c r="E2563" s="6">
        <v>0.43680555555555556</v>
      </c>
      <c r="F2563" s="6">
        <v>0.8305555555555556</v>
      </c>
      <c r="G2563" s="3" t="s">
        <v>13</v>
      </c>
      <c r="H2563" s="3" t="s">
        <v>14</v>
      </c>
      <c r="I2563" s="3" t="s">
        <v>21</v>
      </c>
    </row>
    <row r="2564" spans="1:9" s="3" customFormat="1" x14ac:dyDescent="0.3">
      <c r="A2564" s="3" t="s">
        <v>204</v>
      </c>
      <c r="B2564" s="3" t="s">
        <v>205</v>
      </c>
      <c r="C2564" s="3" t="s">
        <v>64</v>
      </c>
      <c r="D2564" s="3" t="s">
        <v>300</v>
      </c>
      <c r="E2564" s="6">
        <v>0.40347222222222223</v>
      </c>
      <c r="F2564" s="6">
        <v>0.82916666666666672</v>
      </c>
      <c r="G2564" s="3" t="s">
        <v>26</v>
      </c>
      <c r="H2564" s="3" t="s">
        <v>14</v>
      </c>
      <c r="I2564" s="3" t="s">
        <v>15</v>
      </c>
    </row>
    <row r="2565" spans="1:9" s="3" customFormat="1" x14ac:dyDescent="0.3">
      <c r="A2565" s="3" t="s">
        <v>130</v>
      </c>
      <c r="B2565" s="3" t="s">
        <v>131</v>
      </c>
      <c r="C2565" s="3" t="s">
        <v>64</v>
      </c>
      <c r="D2565" s="3" t="s">
        <v>159</v>
      </c>
      <c r="E2565" s="6">
        <v>0.4777777777777778</v>
      </c>
      <c r="F2565" s="6">
        <v>0.77361111111111114</v>
      </c>
      <c r="G2565" s="3" t="s">
        <v>26</v>
      </c>
      <c r="H2565" s="3" t="s">
        <v>14</v>
      </c>
      <c r="I2565" s="3" t="s">
        <v>15</v>
      </c>
    </row>
    <row r="2566" spans="1:9" s="3" customFormat="1" x14ac:dyDescent="0.3">
      <c r="A2566" s="3" t="s">
        <v>187</v>
      </c>
      <c r="B2566" s="3" t="s">
        <v>188</v>
      </c>
      <c r="C2566" s="3" t="s">
        <v>60</v>
      </c>
      <c r="D2566" s="3" t="s">
        <v>244</v>
      </c>
      <c r="E2566" s="6">
        <v>0.37916666666666665</v>
      </c>
      <c r="F2566" s="6">
        <v>0.70347222222222228</v>
      </c>
      <c r="G2566" s="3" t="s">
        <v>26</v>
      </c>
      <c r="H2566" s="3" t="s">
        <v>14</v>
      </c>
      <c r="I2566" s="3" t="s">
        <v>21</v>
      </c>
    </row>
    <row r="2567" spans="1:9" s="3" customFormat="1" x14ac:dyDescent="0.3">
      <c r="A2567" s="3" t="s">
        <v>115</v>
      </c>
      <c r="B2567" s="3" t="s">
        <v>116</v>
      </c>
      <c r="C2567" s="3" t="s">
        <v>42</v>
      </c>
      <c r="D2567" s="3" t="s">
        <v>12</v>
      </c>
      <c r="E2567" s="6">
        <v>0.4548611111111111</v>
      </c>
      <c r="F2567" s="6">
        <v>0.76041666666666663</v>
      </c>
      <c r="G2567" s="3" t="s">
        <v>13</v>
      </c>
      <c r="H2567" s="3" t="s">
        <v>27</v>
      </c>
      <c r="I2567" s="3" t="s">
        <v>15</v>
      </c>
    </row>
    <row r="2568" spans="1:9" s="3" customFormat="1" x14ac:dyDescent="0.3">
      <c r="A2568" s="3" t="s">
        <v>48</v>
      </c>
      <c r="B2568" s="3" t="s">
        <v>49</v>
      </c>
      <c r="C2568" s="3" t="s">
        <v>18</v>
      </c>
      <c r="D2568" s="3" t="s">
        <v>243</v>
      </c>
      <c r="E2568" s="6">
        <v>0.37708333333333333</v>
      </c>
      <c r="F2568" s="6">
        <v>0.68819444444444444</v>
      </c>
      <c r="G2568" s="3" t="s">
        <v>26</v>
      </c>
      <c r="H2568" s="3" t="s">
        <v>14</v>
      </c>
      <c r="I2568" s="3" t="s">
        <v>15</v>
      </c>
    </row>
    <row r="2569" spans="1:9" s="3" customFormat="1" x14ac:dyDescent="0.3">
      <c r="A2569" s="3" t="s">
        <v>236</v>
      </c>
      <c r="B2569" s="3" t="s">
        <v>237</v>
      </c>
      <c r="C2569" s="3" t="s">
        <v>239</v>
      </c>
      <c r="D2569" s="3" t="s">
        <v>260</v>
      </c>
      <c r="E2569" s="6">
        <v>0.3527777777777778</v>
      </c>
      <c r="F2569" s="6">
        <v>0.87361111111111112</v>
      </c>
      <c r="G2569" s="3" t="s">
        <v>26</v>
      </c>
      <c r="H2569" s="3" t="s">
        <v>14</v>
      </c>
      <c r="I2569" s="3" t="s">
        <v>15</v>
      </c>
    </row>
    <row r="2570" spans="1:9" s="3" customFormat="1" x14ac:dyDescent="0.3">
      <c r="A2570" s="3" t="s">
        <v>84</v>
      </c>
      <c r="B2570" s="3" t="s">
        <v>85</v>
      </c>
      <c r="C2570" s="3" t="s">
        <v>60</v>
      </c>
      <c r="D2570" s="3" t="s">
        <v>343</v>
      </c>
      <c r="E2570" s="6">
        <v>0.35486111111111113</v>
      </c>
      <c r="F2570" s="6">
        <v>0.7006944444444444</v>
      </c>
      <c r="G2570" s="3" t="s">
        <v>13</v>
      </c>
      <c r="H2570" s="3" t="s">
        <v>27</v>
      </c>
      <c r="I2570" s="3" t="s">
        <v>21</v>
      </c>
    </row>
    <row r="2571" spans="1:9" s="3" customFormat="1" x14ac:dyDescent="0.3">
      <c r="A2571" s="3" t="s">
        <v>157</v>
      </c>
      <c r="B2571" s="3" t="s">
        <v>158</v>
      </c>
      <c r="C2571" s="3" t="s">
        <v>18</v>
      </c>
      <c r="D2571" s="3" t="s">
        <v>308</v>
      </c>
      <c r="E2571" s="6">
        <v>0.38611111111111113</v>
      </c>
      <c r="F2571" s="6">
        <v>0.77916666666666667</v>
      </c>
      <c r="G2571" s="3" t="s">
        <v>20</v>
      </c>
      <c r="H2571" s="3" t="s">
        <v>27</v>
      </c>
      <c r="I2571" s="3" t="s">
        <v>21</v>
      </c>
    </row>
    <row r="2572" spans="1:9" s="3" customFormat="1" x14ac:dyDescent="0.3">
      <c r="A2572" s="3" t="s">
        <v>236</v>
      </c>
      <c r="B2572" s="3" t="s">
        <v>237</v>
      </c>
      <c r="C2572" s="3" t="s">
        <v>42</v>
      </c>
      <c r="D2572" s="3" t="s">
        <v>221</v>
      </c>
      <c r="E2572" s="6">
        <v>0.45763888888888887</v>
      </c>
      <c r="F2572" s="6">
        <v>0.87291666666666667</v>
      </c>
      <c r="G2572" s="3" t="s">
        <v>26</v>
      </c>
      <c r="H2572" s="3" t="s">
        <v>14</v>
      </c>
      <c r="I2572" s="3" t="s">
        <v>15</v>
      </c>
    </row>
    <row r="2573" spans="1:9" s="3" customFormat="1" x14ac:dyDescent="0.3">
      <c r="A2573" s="3" t="s">
        <v>45</v>
      </c>
      <c r="B2573" s="3" t="s">
        <v>46</v>
      </c>
      <c r="C2573" s="3" t="s">
        <v>24</v>
      </c>
      <c r="D2573" s="3" t="s">
        <v>336</v>
      </c>
      <c r="E2573" s="6">
        <v>0.47361111111111109</v>
      </c>
      <c r="F2573" s="6">
        <v>0.84791666666666665</v>
      </c>
      <c r="G2573" s="3" t="s">
        <v>26</v>
      </c>
      <c r="H2573" s="3" t="s">
        <v>14</v>
      </c>
      <c r="I2573" s="3" t="s">
        <v>21</v>
      </c>
    </row>
    <row r="2574" spans="1:9" s="3" customFormat="1" x14ac:dyDescent="0.3">
      <c r="A2574" s="3" t="s">
        <v>34</v>
      </c>
      <c r="B2574" s="3" t="s">
        <v>35</v>
      </c>
      <c r="C2574" s="3" t="s">
        <v>24</v>
      </c>
      <c r="D2574" s="3" t="s">
        <v>242</v>
      </c>
      <c r="E2574" s="6"/>
      <c r="F2574" s="6"/>
      <c r="G2574" s="3" t="s">
        <v>44</v>
      </c>
      <c r="H2574" s="3" t="s">
        <v>27</v>
      </c>
      <c r="I2574" s="3" t="s">
        <v>15</v>
      </c>
    </row>
    <row r="2575" spans="1:9" s="3" customFormat="1" x14ac:dyDescent="0.3">
      <c r="A2575" s="3" t="s">
        <v>62</v>
      </c>
      <c r="B2575" s="3" t="s">
        <v>63</v>
      </c>
      <c r="C2575" s="3" t="s">
        <v>11</v>
      </c>
      <c r="D2575" s="3" t="s">
        <v>101</v>
      </c>
      <c r="E2575" s="6"/>
      <c r="F2575" s="6"/>
      <c r="G2575" s="3" t="s">
        <v>44</v>
      </c>
      <c r="H2575" s="3" t="s">
        <v>14</v>
      </c>
      <c r="I2575" s="3" t="s">
        <v>21</v>
      </c>
    </row>
    <row r="2576" spans="1:9" s="3" customFormat="1" x14ac:dyDescent="0.3">
      <c r="A2576" s="3" t="s">
        <v>99</v>
      </c>
      <c r="B2576" s="3" t="s">
        <v>100</v>
      </c>
      <c r="C2576" s="3" t="s">
        <v>42</v>
      </c>
      <c r="D2576" s="3" t="s">
        <v>92</v>
      </c>
      <c r="E2576" s="6">
        <v>0.34930555555555554</v>
      </c>
      <c r="F2576" s="6">
        <v>0.77638888888888891</v>
      </c>
      <c r="G2576" s="3" t="s">
        <v>13</v>
      </c>
      <c r="H2576" s="3" t="s">
        <v>27</v>
      </c>
      <c r="I2576" s="3"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8D6AE-C4A7-4B6F-ADBB-B633F03F94CB}">
  <dimension ref="A1:R2495"/>
  <sheetViews>
    <sheetView topLeftCell="A2" workbookViewId="0">
      <selection activeCell="G3" sqref="G3"/>
    </sheetView>
  </sheetViews>
  <sheetFormatPr defaultRowHeight="14.4" x14ac:dyDescent="0.3"/>
  <cols>
    <col min="1" max="1" width="14.33203125" bestFit="1" customWidth="1"/>
    <col min="2" max="2" width="17.6640625" bestFit="1" customWidth="1"/>
    <col min="3" max="3" width="13.33203125" bestFit="1" customWidth="1"/>
    <col min="4" max="4" width="18" bestFit="1" customWidth="1"/>
    <col min="5" max="5" width="16.21875" bestFit="1" customWidth="1"/>
    <col min="6" max="6" width="6.33203125" customWidth="1"/>
    <col min="7" max="7" width="15.21875" bestFit="1" customWidth="1"/>
    <col min="8" max="8" width="8.33203125" bestFit="1" customWidth="1"/>
    <col min="9" max="9" width="12.21875" bestFit="1" customWidth="1"/>
    <col min="10" max="10" width="10.44140625" bestFit="1" customWidth="1"/>
    <col min="11" max="11" width="15.5546875" bestFit="1" customWidth="1"/>
    <col min="12" max="12" width="13.33203125" bestFit="1" customWidth="1"/>
  </cols>
  <sheetData>
    <row r="1" spans="1:18" x14ac:dyDescent="0.3">
      <c r="A1" t="s">
        <v>0</v>
      </c>
      <c r="B1" t="s">
        <v>1</v>
      </c>
      <c r="C1" t="s">
        <v>2</v>
      </c>
      <c r="D1" t="s">
        <v>3</v>
      </c>
      <c r="E1" t="s">
        <v>427</v>
      </c>
      <c r="F1" t="s">
        <v>428</v>
      </c>
      <c r="G1" t="s">
        <v>429</v>
      </c>
      <c r="H1" t="s">
        <v>430</v>
      </c>
      <c r="I1" t="s">
        <v>4</v>
      </c>
      <c r="J1" t="s">
        <v>5</v>
      </c>
      <c r="K1" t="s">
        <v>6</v>
      </c>
      <c r="L1" t="s">
        <v>7</v>
      </c>
      <c r="M1" t="s">
        <v>8</v>
      </c>
      <c r="N1" t="s">
        <v>423</v>
      </c>
    </row>
    <row r="2" spans="1:18" x14ac:dyDescent="0.3">
      <c r="A2" s="7" t="s">
        <v>9</v>
      </c>
      <c r="B2" s="7" t="s">
        <v>10</v>
      </c>
      <c r="C2" s="7" t="s">
        <v>425</v>
      </c>
      <c r="D2" s="8">
        <v>45366</v>
      </c>
      <c r="E2" s="8" t="str">
        <f>TEXT(D2,"mmmm")</f>
        <v>March</v>
      </c>
      <c r="F2">
        <f>YEAR(D2)</f>
        <v>2024</v>
      </c>
      <c r="G2">
        <f t="shared" ref="G2:G65" si="0">IF(LOWER(K2)="absent",0,1)</f>
        <v>1</v>
      </c>
      <c r="H2">
        <f t="shared" ref="H2:H65" si="1">IF(K2="Late",1,0)</f>
        <v>0</v>
      </c>
      <c r="I2" s="6">
        <v>0.49513888888888891</v>
      </c>
      <c r="J2" s="6">
        <v>0.68680555555555556</v>
      </c>
      <c r="K2" s="7" t="s">
        <v>13</v>
      </c>
      <c r="L2" s="7" t="s">
        <v>14</v>
      </c>
      <c r="M2" s="7" t="s">
        <v>15</v>
      </c>
      <c r="N2" s="7">
        <f>COUNTIFS(A:A,A2,D:D,D2,E:E,I2)</f>
        <v>0</v>
      </c>
    </row>
    <row r="3" spans="1:18" x14ac:dyDescent="0.3">
      <c r="A3" s="7" t="s">
        <v>16</v>
      </c>
      <c r="B3" s="7" t="s">
        <v>17</v>
      </c>
      <c r="C3" s="7" t="s">
        <v>426</v>
      </c>
      <c r="D3" s="8">
        <v>45599</v>
      </c>
      <c r="E3" s="8" t="str">
        <f>TEXT(D3,"mmmm")</f>
        <v>November</v>
      </c>
      <c r="F3">
        <f t="shared" ref="F3:F65" si="2">YEAR(D3)</f>
        <v>2024</v>
      </c>
      <c r="G3">
        <f t="shared" si="0"/>
        <v>1</v>
      </c>
      <c r="H3">
        <f t="shared" si="1"/>
        <v>0</v>
      </c>
      <c r="I3" s="6">
        <v>0.42430555555555555</v>
      </c>
      <c r="J3" s="6">
        <v>0.80347222222222225</v>
      </c>
      <c r="K3" s="7" t="s">
        <v>20</v>
      </c>
      <c r="L3" s="7" t="s">
        <v>14</v>
      </c>
      <c r="M3" s="7" t="s">
        <v>21</v>
      </c>
      <c r="N3" s="7">
        <f>COUNTIFS(A:A,A3,D:D,D3,E:E,I3)</f>
        <v>0</v>
      </c>
    </row>
    <row r="4" spans="1:18" x14ac:dyDescent="0.3">
      <c r="A4" s="7" t="s">
        <v>22</v>
      </c>
      <c r="B4" s="7" t="s">
        <v>23</v>
      </c>
      <c r="C4" s="7" t="s">
        <v>425</v>
      </c>
      <c r="D4" s="8">
        <v>45353</v>
      </c>
      <c r="E4" s="8" t="str">
        <f>TEXT(D4,"mmmm")</f>
        <v>March</v>
      </c>
      <c r="F4">
        <f t="shared" si="2"/>
        <v>2024</v>
      </c>
      <c r="G4">
        <f t="shared" si="0"/>
        <v>1</v>
      </c>
      <c r="H4">
        <f t="shared" si="1"/>
        <v>1</v>
      </c>
      <c r="I4" s="6">
        <v>0.43194444444444446</v>
      </c>
      <c r="J4" s="6">
        <v>0.87222222222222223</v>
      </c>
      <c r="K4" s="7" t="s">
        <v>26</v>
      </c>
      <c r="L4" s="7" t="s">
        <v>27</v>
      </c>
      <c r="M4" s="7" t="s">
        <v>15</v>
      </c>
      <c r="N4" s="7">
        <f>COUNTIFS(A:A,A4,D:D,D4,E:E,I4)</f>
        <v>0</v>
      </c>
    </row>
    <row r="5" spans="1:18" x14ac:dyDescent="0.3">
      <c r="A5" s="7" t="s">
        <v>28</v>
      </c>
      <c r="B5" s="7" t="s">
        <v>29</v>
      </c>
      <c r="C5" s="7" t="s">
        <v>425</v>
      </c>
      <c r="D5" s="8">
        <v>45309</v>
      </c>
      <c r="E5" s="8" t="str">
        <f>TEXT(D5,"mmmm")</f>
        <v>January</v>
      </c>
      <c r="F5">
        <f t="shared" si="2"/>
        <v>2024</v>
      </c>
      <c r="G5">
        <f t="shared" si="0"/>
        <v>1</v>
      </c>
      <c r="H5">
        <f t="shared" si="1"/>
        <v>1</v>
      </c>
      <c r="I5" s="6">
        <v>0.44374999999999998</v>
      </c>
      <c r="J5" s="6">
        <v>0.72499999999999998</v>
      </c>
      <c r="K5" s="7" t="s">
        <v>26</v>
      </c>
      <c r="L5" s="7" t="s">
        <v>14</v>
      </c>
      <c r="M5" s="7" t="s">
        <v>15</v>
      </c>
      <c r="N5" s="7">
        <f>COUNTIFS(A:A,A5,D:D,D5,E:E,I5)</f>
        <v>0</v>
      </c>
      <c r="R5">
        <f>COUNTIF(Modified_Data!K2:K2577,"&gt;1")</f>
        <v>0</v>
      </c>
    </row>
    <row r="6" spans="1:18" x14ac:dyDescent="0.3">
      <c r="A6" s="7" t="s">
        <v>31</v>
      </c>
      <c r="B6" s="7" t="s">
        <v>32</v>
      </c>
      <c r="C6" s="7" t="s">
        <v>426</v>
      </c>
      <c r="D6" s="8">
        <v>45537</v>
      </c>
      <c r="E6" s="8" t="str">
        <f>TEXT(D6,"mmmm")</f>
        <v>September</v>
      </c>
      <c r="F6">
        <f t="shared" si="2"/>
        <v>2024</v>
      </c>
      <c r="G6">
        <f t="shared" si="0"/>
        <v>1</v>
      </c>
      <c r="H6">
        <f t="shared" si="1"/>
        <v>0</v>
      </c>
      <c r="I6" s="6">
        <v>0.38680555555555557</v>
      </c>
      <c r="J6" s="6">
        <v>0.68194444444444446</v>
      </c>
      <c r="K6" s="7" t="s">
        <v>13</v>
      </c>
      <c r="L6" s="7" t="s">
        <v>14</v>
      </c>
      <c r="M6" s="7" t="s">
        <v>21</v>
      </c>
      <c r="N6" s="7">
        <f>COUNTIFS(A:A,A6,D:D,D6,E:E,I6)</f>
        <v>0</v>
      </c>
    </row>
    <row r="7" spans="1:18" x14ac:dyDescent="0.3">
      <c r="A7" s="7" t="s">
        <v>34</v>
      </c>
      <c r="B7" s="7" t="s">
        <v>35</v>
      </c>
      <c r="C7" s="7" t="s">
        <v>426</v>
      </c>
      <c r="D7" s="8">
        <v>45476</v>
      </c>
      <c r="E7" s="8" t="str">
        <f>TEXT(D7,"mmmm")</f>
        <v>July</v>
      </c>
      <c r="F7">
        <f t="shared" si="2"/>
        <v>2024</v>
      </c>
      <c r="G7">
        <f t="shared" si="0"/>
        <v>1</v>
      </c>
      <c r="H7">
        <f t="shared" si="1"/>
        <v>1</v>
      </c>
      <c r="I7" s="6">
        <v>0.4909722222222222</v>
      </c>
      <c r="J7" s="6">
        <v>0.83750000000000002</v>
      </c>
      <c r="K7" s="7" t="s">
        <v>26</v>
      </c>
      <c r="L7" s="7" t="s">
        <v>14</v>
      </c>
      <c r="M7" s="7" t="s">
        <v>21</v>
      </c>
      <c r="N7" s="7">
        <f>COUNTIFS(A:A,A7,D:D,D7,E:E,I7)</f>
        <v>0</v>
      </c>
    </row>
    <row r="8" spans="1:18" x14ac:dyDescent="0.3">
      <c r="A8" s="7" t="s">
        <v>37</v>
      </c>
      <c r="B8" s="7" t="s">
        <v>38</v>
      </c>
      <c r="C8" s="7" t="s">
        <v>426</v>
      </c>
      <c r="D8" s="8">
        <v>45323</v>
      </c>
      <c r="E8" s="8" t="str">
        <f>TEXT(D8,"mmmm")</f>
        <v>February</v>
      </c>
      <c r="F8">
        <f t="shared" si="2"/>
        <v>2024</v>
      </c>
      <c r="G8">
        <f t="shared" si="0"/>
        <v>1</v>
      </c>
      <c r="H8">
        <f t="shared" si="1"/>
        <v>1</v>
      </c>
      <c r="I8" s="6">
        <v>0.42499999999999999</v>
      </c>
      <c r="J8" s="6">
        <v>0.67986111111111114</v>
      </c>
      <c r="K8" s="7" t="s">
        <v>26</v>
      </c>
      <c r="L8" s="7" t="s">
        <v>27</v>
      </c>
      <c r="M8" s="7" t="s">
        <v>15</v>
      </c>
      <c r="N8" s="7">
        <f>COUNTIFS(A:A,A8,D:D,D8,E:E,I8)</f>
        <v>0</v>
      </c>
    </row>
    <row r="9" spans="1:18" x14ac:dyDescent="0.3">
      <c r="A9" s="7" t="s">
        <v>40</v>
      </c>
      <c r="B9" s="7" t="s">
        <v>41</v>
      </c>
      <c r="C9" s="7" t="s">
        <v>42</v>
      </c>
      <c r="D9" s="8">
        <v>45332</v>
      </c>
      <c r="E9" s="8" t="str">
        <f>TEXT(D9,"mmmm")</f>
        <v>February</v>
      </c>
      <c r="F9">
        <f t="shared" si="2"/>
        <v>2024</v>
      </c>
      <c r="G9">
        <f t="shared" si="0"/>
        <v>0</v>
      </c>
      <c r="H9">
        <f t="shared" si="1"/>
        <v>0</v>
      </c>
      <c r="I9" s="6"/>
      <c r="J9" s="6"/>
      <c r="K9" s="7" t="s">
        <v>44</v>
      </c>
      <c r="L9" s="7" t="s">
        <v>14</v>
      </c>
      <c r="M9" s="7" t="s">
        <v>21</v>
      </c>
      <c r="N9" s="7">
        <f>COUNTIFS(A:A,A9,D:D,D9,E:E,I9)</f>
        <v>0</v>
      </c>
    </row>
    <row r="10" spans="1:18" x14ac:dyDescent="0.3">
      <c r="A10" s="7" t="s">
        <v>45</v>
      </c>
      <c r="B10" s="7" t="s">
        <v>46</v>
      </c>
      <c r="C10" s="7" t="s">
        <v>42</v>
      </c>
      <c r="D10" s="8">
        <v>45370</v>
      </c>
      <c r="E10" s="8" t="str">
        <f>TEXT(D10,"mmmm")</f>
        <v>March</v>
      </c>
      <c r="F10">
        <f t="shared" si="2"/>
        <v>2024</v>
      </c>
      <c r="G10">
        <f t="shared" si="0"/>
        <v>1</v>
      </c>
      <c r="H10">
        <f t="shared" si="1"/>
        <v>0</v>
      </c>
      <c r="I10" s="6">
        <v>0.39930555555555558</v>
      </c>
      <c r="J10" s="6">
        <v>0.85902777777777772</v>
      </c>
      <c r="K10" s="7" t="s">
        <v>20</v>
      </c>
      <c r="L10" s="7" t="s">
        <v>14</v>
      </c>
      <c r="M10" s="7" t="s">
        <v>21</v>
      </c>
      <c r="N10" s="7">
        <f>COUNTIFS(A:A,A10,D:D,D10,E:E,I10)</f>
        <v>0</v>
      </c>
    </row>
    <row r="11" spans="1:18" x14ac:dyDescent="0.3">
      <c r="A11" s="7" t="s">
        <v>48</v>
      </c>
      <c r="B11" s="7" t="s">
        <v>49</v>
      </c>
      <c r="C11" s="7" t="s">
        <v>426</v>
      </c>
      <c r="D11" s="8">
        <v>45322</v>
      </c>
      <c r="E11" s="8" t="str">
        <f>TEXT(D11,"mmmm")</f>
        <v>January</v>
      </c>
      <c r="F11">
        <f t="shared" si="2"/>
        <v>2024</v>
      </c>
      <c r="G11">
        <f t="shared" si="0"/>
        <v>0</v>
      </c>
      <c r="H11">
        <f t="shared" si="1"/>
        <v>0</v>
      </c>
      <c r="I11" s="6"/>
      <c r="J11" s="6"/>
      <c r="K11" s="7" t="s">
        <v>44</v>
      </c>
      <c r="L11" s="7" t="s">
        <v>14</v>
      </c>
      <c r="M11" s="7" t="s">
        <v>15</v>
      </c>
      <c r="N11" s="7">
        <f>COUNTIFS(A:A,A11,D:D,D11,E:E,I11)</f>
        <v>0</v>
      </c>
    </row>
    <row r="12" spans="1:18" x14ac:dyDescent="0.3">
      <c r="A12" s="7" t="s">
        <v>52</v>
      </c>
      <c r="B12" s="7" t="s">
        <v>53</v>
      </c>
      <c r="C12" s="7" t="s">
        <v>425</v>
      </c>
      <c r="D12" s="8">
        <v>45315</v>
      </c>
      <c r="E12" s="8" t="str">
        <f>TEXT(D12,"mmmm")</f>
        <v>January</v>
      </c>
      <c r="F12">
        <f t="shared" si="2"/>
        <v>2024</v>
      </c>
      <c r="G12">
        <f t="shared" si="0"/>
        <v>1</v>
      </c>
      <c r="H12">
        <f t="shared" si="1"/>
        <v>0</v>
      </c>
      <c r="I12" s="6">
        <v>0.39930555555555558</v>
      </c>
      <c r="J12" s="6">
        <v>0.78749999999999998</v>
      </c>
      <c r="K12" s="7" t="s">
        <v>13</v>
      </c>
      <c r="L12" s="7" t="s">
        <v>27</v>
      </c>
      <c r="M12" s="7" t="s">
        <v>21</v>
      </c>
      <c r="N12" s="7">
        <f>COUNTIFS(A:A,A12,D:D,D12,E:E,I12)</f>
        <v>0</v>
      </c>
    </row>
    <row r="13" spans="1:18" x14ac:dyDescent="0.3">
      <c r="A13" s="7" t="s">
        <v>55</v>
      </c>
      <c r="B13" s="7" t="s">
        <v>56</v>
      </c>
      <c r="C13" s="7" t="s">
        <v>42</v>
      </c>
      <c r="D13" s="8">
        <v>45414</v>
      </c>
      <c r="E13" s="8" t="str">
        <f>TEXT(D13,"mmmm")</f>
        <v>May</v>
      </c>
      <c r="F13">
        <f t="shared" si="2"/>
        <v>2024</v>
      </c>
      <c r="G13">
        <f t="shared" si="0"/>
        <v>1</v>
      </c>
      <c r="H13">
        <f t="shared" si="1"/>
        <v>0</v>
      </c>
      <c r="I13" s="6">
        <v>0.35416666666666669</v>
      </c>
      <c r="J13" s="6">
        <v>0.73819444444444449</v>
      </c>
      <c r="K13" s="7" t="s">
        <v>20</v>
      </c>
      <c r="L13" s="7" t="s">
        <v>27</v>
      </c>
      <c r="M13" s="7" t="s">
        <v>15</v>
      </c>
      <c r="N13" s="7">
        <f>COUNTIFS(A:A,A13,D:D,D13,E:E,I13)</f>
        <v>0</v>
      </c>
    </row>
    <row r="14" spans="1:18" x14ac:dyDescent="0.3">
      <c r="A14" s="7" t="s">
        <v>58</v>
      </c>
      <c r="B14" s="7" t="s">
        <v>59</v>
      </c>
      <c r="C14" s="7" t="s">
        <v>60</v>
      </c>
      <c r="D14" s="8">
        <v>45360</v>
      </c>
      <c r="E14" s="8" t="str">
        <f>TEXT(D14,"mmmm")</f>
        <v>March</v>
      </c>
      <c r="F14">
        <f t="shared" si="2"/>
        <v>2024</v>
      </c>
      <c r="G14">
        <f t="shared" si="0"/>
        <v>1</v>
      </c>
      <c r="H14">
        <f t="shared" si="1"/>
        <v>0</v>
      </c>
      <c r="I14" s="6">
        <v>0.38611111111111113</v>
      </c>
      <c r="J14" s="6">
        <v>0.77847222222222223</v>
      </c>
      <c r="K14" s="7" t="s">
        <v>20</v>
      </c>
      <c r="L14" s="7" t="s">
        <v>14</v>
      </c>
      <c r="M14" s="7" t="s">
        <v>15</v>
      </c>
      <c r="N14" s="7">
        <f>COUNTIFS(A:A,A14,D:D,D14,E:E,I14)</f>
        <v>0</v>
      </c>
    </row>
    <row r="15" spans="1:18" x14ac:dyDescent="0.3">
      <c r="A15" s="7" t="s">
        <v>62</v>
      </c>
      <c r="B15" s="7" t="s">
        <v>63</v>
      </c>
      <c r="C15" s="7" t="s">
        <v>64</v>
      </c>
      <c r="D15" s="8">
        <v>45375</v>
      </c>
      <c r="E15" s="8" t="str">
        <f>TEXT(D15,"mmmm")</f>
        <v>March</v>
      </c>
      <c r="F15">
        <f t="shared" si="2"/>
        <v>2024</v>
      </c>
      <c r="G15">
        <f t="shared" si="0"/>
        <v>1</v>
      </c>
      <c r="H15">
        <f t="shared" si="1"/>
        <v>1</v>
      </c>
      <c r="I15" s="6">
        <v>0.45624999999999999</v>
      </c>
      <c r="J15" s="6">
        <v>0.70486111111111116</v>
      </c>
      <c r="K15" s="7" t="s">
        <v>26</v>
      </c>
      <c r="L15" s="7" t="s">
        <v>14</v>
      </c>
      <c r="M15" s="7" t="s">
        <v>21</v>
      </c>
      <c r="N15" s="7">
        <f>COUNTIFS(A:A,A15,D:D,D15,E:E,I15)</f>
        <v>0</v>
      </c>
    </row>
    <row r="16" spans="1:18" x14ac:dyDescent="0.3">
      <c r="A16" s="7" t="s">
        <v>66</v>
      </c>
      <c r="B16" s="7" t="s">
        <v>67</v>
      </c>
      <c r="C16" s="7" t="s">
        <v>426</v>
      </c>
      <c r="D16" s="8">
        <v>45317</v>
      </c>
      <c r="E16" s="8" t="str">
        <f>TEXT(D16,"mmmm")</f>
        <v>January</v>
      </c>
      <c r="F16">
        <f t="shared" si="2"/>
        <v>2024</v>
      </c>
      <c r="G16">
        <f t="shared" si="0"/>
        <v>0</v>
      </c>
      <c r="H16">
        <f t="shared" si="1"/>
        <v>0</v>
      </c>
      <c r="I16" s="6"/>
      <c r="J16" s="6"/>
      <c r="K16" s="7" t="s">
        <v>44</v>
      </c>
      <c r="L16" s="7" t="s">
        <v>27</v>
      </c>
      <c r="M16" s="7" t="s">
        <v>15</v>
      </c>
      <c r="N16" s="7">
        <f>COUNTIFS(A:A,A16,D:D,D16,E:E,I16)</f>
        <v>0</v>
      </c>
    </row>
    <row r="17" spans="1:14" x14ac:dyDescent="0.3">
      <c r="A17" s="7" t="s">
        <v>69</v>
      </c>
      <c r="B17" s="7" t="s">
        <v>70</v>
      </c>
      <c r="C17" s="7" t="s">
        <v>42</v>
      </c>
      <c r="D17" s="8">
        <v>45567</v>
      </c>
      <c r="E17" s="8" t="str">
        <f>TEXT(D17,"mmmm")</f>
        <v>October</v>
      </c>
      <c r="F17">
        <f t="shared" si="2"/>
        <v>2024</v>
      </c>
      <c r="G17">
        <f t="shared" si="0"/>
        <v>1</v>
      </c>
      <c r="H17">
        <f t="shared" si="1"/>
        <v>0</v>
      </c>
      <c r="I17" s="6">
        <v>0.46111111111111114</v>
      </c>
      <c r="J17" s="6">
        <v>0.83402777777777781</v>
      </c>
      <c r="K17" s="7" t="s">
        <v>20</v>
      </c>
      <c r="L17" s="7" t="s">
        <v>27</v>
      </c>
      <c r="M17" s="7" t="s">
        <v>21</v>
      </c>
      <c r="N17" s="7">
        <f>COUNTIFS(A:A,A17,D:D,D17,E:E,I17)</f>
        <v>0</v>
      </c>
    </row>
    <row r="18" spans="1:14" x14ac:dyDescent="0.3">
      <c r="A18" s="7" t="s">
        <v>72</v>
      </c>
      <c r="B18" s="7" t="s">
        <v>73</v>
      </c>
      <c r="C18" s="7" t="s">
        <v>64</v>
      </c>
      <c r="D18" s="8">
        <v>45331</v>
      </c>
      <c r="E18" s="8" t="str">
        <f>TEXT(D18,"mmmm")</f>
        <v>February</v>
      </c>
      <c r="F18">
        <f t="shared" si="2"/>
        <v>2024</v>
      </c>
      <c r="G18">
        <f t="shared" si="0"/>
        <v>1</v>
      </c>
      <c r="H18">
        <f t="shared" si="1"/>
        <v>0</v>
      </c>
      <c r="I18" s="6">
        <v>0.35972222222222222</v>
      </c>
      <c r="J18" s="6">
        <v>0.82430555555555551</v>
      </c>
      <c r="K18" s="7" t="s">
        <v>20</v>
      </c>
      <c r="L18" s="7" t="s">
        <v>27</v>
      </c>
      <c r="M18" s="7" t="s">
        <v>21</v>
      </c>
      <c r="N18" s="7">
        <f>COUNTIFS(A:A,A18,D:D,D18,E:E,I18)</f>
        <v>0</v>
      </c>
    </row>
    <row r="19" spans="1:14" x14ac:dyDescent="0.3">
      <c r="A19" s="7" t="s">
        <v>75</v>
      </c>
      <c r="B19" s="7" t="s">
        <v>76</v>
      </c>
      <c r="C19" s="7" t="s">
        <v>426</v>
      </c>
      <c r="D19" s="8">
        <v>45350</v>
      </c>
      <c r="E19" s="8" t="str">
        <f>TEXT(D19,"mmmm")</f>
        <v>February</v>
      </c>
      <c r="F19">
        <f t="shared" si="2"/>
        <v>2024</v>
      </c>
      <c r="G19">
        <f t="shared" si="0"/>
        <v>0</v>
      </c>
      <c r="H19">
        <f t="shared" si="1"/>
        <v>0</v>
      </c>
      <c r="I19" s="6"/>
      <c r="J19" s="6"/>
      <c r="K19" s="7" t="s">
        <v>44</v>
      </c>
      <c r="L19" s="7" t="s">
        <v>27</v>
      </c>
      <c r="M19" s="7" t="s">
        <v>21</v>
      </c>
      <c r="N19" s="7">
        <f>COUNTIFS(A:A,A19,D:D,D19,E:E,I19)</f>
        <v>0</v>
      </c>
    </row>
    <row r="20" spans="1:14" x14ac:dyDescent="0.3">
      <c r="A20" s="7" t="s">
        <v>78</v>
      </c>
      <c r="B20" s="7" t="s">
        <v>79</v>
      </c>
      <c r="C20" s="7" t="s">
        <v>60</v>
      </c>
      <c r="D20" s="8">
        <v>45292</v>
      </c>
      <c r="E20" s="8" t="str">
        <f>TEXT(D20,"mmmm")</f>
        <v>January</v>
      </c>
      <c r="F20">
        <f t="shared" si="2"/>
        <v>2024</v>
      </c>
      <c r="G20">
        <f t="shared" si="0"/>
        <v>0</v>
      </c>
      <c r="H20">
        <f t="shared" si="1"/>
        <v>0</v>
      </c>
      <c r="I20" s="6"/>
      <c r="J20" s="6"/>
      <c r="K20" s="7" t="s">
        <v>44</v>
      </c>
      <c r="L20" s="7" t="s">
        <v>14</v>
      </c>
      <c r="M20" s="7" t="s">
        <v>15</v>
      </c>
      <c r="N20" s="7">
        <f>COUNTIFS(A:A,A20,D:D,D20,E:E,I20)</f>
        <v>0</v>
      </c>
    </row>
    <row r="21" spans="1:14" x14ac:dyDescent="0.3">
      <c r="A21" s="7" t="s">
        <v>81</v>
      </c>
      <c r="B21" s="7" t="s">
        <v>82</v>
      </c>
      <c r="C21" s="7" t="s">
        <v>60</v>
      </c>
      <c r="D21" s="8">
        <v>45538</v>
      </c>
      <c r="E21" s="8" t="str">
        <f>TEXT(D21,"mmmm")</f>
        <v>September</v>
      </c>
      <c r="F21">
        <f t="shared" si="2"/>
        <v>2024</v>
      </c>
      <c r="G21">
        <f t="shared" si="0"/>
        <v>1</v>
      </c>
      <c r="H21">
        <f t="shared" si="1"/>
        <v>0</v>
      </c>
      <c r="I21" s="6">
        <v>0.46041666666666664</v>
      </c>
      <c r="J21" s="6">
        <v>0.86527777777777781</v>
      </c>
      <c r="K21" s="7" t="s">
        <v>13</v>
      </c>
      <c r="L21" s="7" t="s">
        <v>14</v>
      </c>
      <c r="M21" s="7" t="s">
        <v>15</v>
      </c>
      <c r="N21" s="7">
        <f>COUNTIFS(A:A,A21,D:D,D21,E:E,I21)</f>
        <v>0</v>
      </c>
    </row>
    <row r="22" spans="1:14" x14ac:dyDescent="0.3">
      <c r="A22" s="7" t="s">
        <v>84</v>
      </c>
      <c r="B22" s="7" t="s">
        <v>85</v>
      </c>
      <c r="C22" s="7" t="s">
        <v>64</v>
      </c>
      <c r="D22" s="8">
        <v>45293</v>
      </c>
      <c r="E22" s="8" t="str">
        <f>TEXT(D22,"mmmm")</f>
        <v>January</v>
      </c>
      <c r="F22">
        <f t="shared" si="2"/>
        <v>2024</v>
      </c>
      <c r="G22">
        <f t="shared" si="0"/>
        <v>1</v>
      </c>
      <c r="H22">
        <f t="shared" si="1"/>
        <v>0</v>
      </c>
      <c r="I22" s="6">
        <v>0.40277777777777779</v>
      </c>
      <c r="J22" s="6">
        <v>0.67083333333333328</v>
      </c>
      <c r="K22" s="7" t="s">
        <v>13</v>
      </c>
      <c r="L22" s="7" t="s">
        <v>27</v>
      </c>
      <c r="M22" s="7" t="s">
        <v>15</v>
      </c>
      <c r="N22" s="7">
        <f>COUNTIFS(A:A,A22,D:D,D22,E:E,I22)</f>
        <v>0</v>
      </c>
    </row>
    <row r="23" spans="1:14" x14ac:dyDescent="0.3">
      <c r="A23" s="7" t="s">
        <v>87</v>
      </c>
      <c r="B23" s="7" t="s">
        <v>88</v>
      </c>
      <c r="C23" s="7" t="s">
        <v>60</v>
      </c>
      <c r="D23" s="8">
        <v>45310</v>
      </c>
      <c r="E23" s="8" t="str">
        <f>TEXT(D23,"mmmm")</f>
        <v>January</v>
      </c>
      <c r="F23">
        <f t="shared" si="2"/>
        <v>2024</v>
      </c>
      <c r="G23">
        <f t="shared" si="0"/>
        <v>1</v>
      </c>
      <c r="H23">
        <f t="shared" si="1"/>
        <v>0</v>
      </c>
      <c r="I23" s="6">
        <v>0.40625</v>
      </c>
      <c r="J23" s="6">
        <v>0.85624999999999996</v>
      </c>
      <c r="K23" s="7" t="s">
        <v>20</v>
      </c>
      <c r="L23" s="7" t="s">
        <v>27</v>
      </c>
      <c r="M23" s="7" t="s">
        <v>21</v>
      </c>
      <c r="N23" s="7">
        <f>COUNTIFS(A:A,A23,D:D,D23,E:E,I23)</f>
        <v>0</v>
      </c>
    </row>
    <row r="24" spans="1:14" x14ac:dyDescent="0.3">
      <c r="A24" s="7" t="s">
        <v>90</v>
      </c>
      <c r="B24" s="7" t="s">
        <v>91</v>
      </c>
      <c r="C24" s="7" t="s">
        <v>426</v>
      </c>
      <c r="D24" s="8">
        <v>45306</v>
      </c>
      <c r="E24" s="8" t="str">
        <f>TEXT(D24,"mmmm")</f>
        <v>January</v>
      </c>
      <c r="F24">
        <f t="shared" si="2"/>
        <v>2024</v>
      </c>
      <c r="G24">
        <f t="shared" si="0"/>
        <v>1</v>
      </c>
      <c r="H24">
        <f t="shared" si="1"/>
        <v>0</v>
      </c>
      <c r="I24" s="6">
        <v>0.40833333333333333</v>
      </c>
      <c r="J24" s="6">
        <v>0.84166666666666667</v>
      </c>
      <c r="K24" s="7" t="s">
        <v>20</v>
      </c>
      <c r="L24" s="7" t="s">
        <v>27</v>
      </c>
      <c r="M24" s="7" t="s">
        <v>15</v>
      </c>
      <c r="N24" s="7">
        <f>COUNTIFS(A:A,A24,D:D,D24,E:E,I24)</f>
        <v>0</v>
      </c>
    </row>
    <row r="25" spans="1:14" x14ac:dyDescent="0.3">
      <c r="A25" s="7" t="s">
        <v>93</v>
      </c>
      <c r="B25" s="7" t="s">
        <v>94</v>
      </c>
      <c r="C25" s="7" t="s">
        <v>425</v>
      </c>
      <c r="D25" s="8">
        <v>45568</v>
      </c>
      <c r="E25" s="8" t="str">
        <f>TEXT(D25,"mmmm")</f>
        <v>October</v>
      </c>
      <c r="F25">
        <f t="shared" si="2"/>
        <v>2024</v>
      </c>
      <c r="G25">
        <f t="shared" si="0"/>
        <v>1</v>
      </c>
      <c r="H25">
        <f t="shared" si="1"/>
        <v>0</v>
      </c>
      <c r="I25" s="6">
        <v>0.47638888888888886</v>
      </c>
      <c r="J25" s="6">
        <v>0.81874999999999998</v>
      </c>
      <c r="K25" s="7" t="s">
        <v>20</v>
      </c>
      <c r="L25" s="7" t="s">
        <v>14</v>
      </c>
      <c r="M25" s="7" t="s">
        <v>15</v>
      </c>
      <c r="N25" s="7">
        <f>COUNTIFS(A:A,A25,D:D,D25,E:E,I25)</f>
        <v>0</v>
      </c>
    </row>
    <row r="26" spans="1:14" x14ac:dyDescent="0.3">
      <c r="A26" s="7" t="s">
        <v>96</v>
      </c>
      <c r="B26" s="7" t="s">
        <v>97</v>
      </c>
      <c r="C26" s="7" t="s">
        <v>42</v>
      </c>
      <c r="D26" s="8">
        <v>45308</v>
      </c>
      <c r="E26" s="8" t="str">
        <f>TEXT(D26,"mmmm")</f>
        <v>January</v>
      </c>
      <c r="F26">
        <f t="shared" si="2"/>
        <v>2024</v>
      </c>
      <c r="G26">
        <f t="shared" si="0"/>
        <v>0</v>
      </c>
      <c r="H26">
        <f t="shared" si="1"/>
        <v>0</v>
      </c>
      <c r="I26" s="6"/>
      <c r="J26" s="6"/>
      <c r="K26" s="7" t="s">
        <v>44</v>
      </c>
      <c r="L26" s="7" t="s">
        <v>14</v>
      </c>
      <c r="M26" s="7" t="s">
        <v>21</v>
      </c>
      <c r="N26" s="7">
        <f>COUNTIFS(A:A,A26,D:D,D26,E:E,I26)</f>
        <v>0</v>
      </c>
    </row>
    <row r="27" spans="1:14" x14ac:dyDescent="0.3">
      <c r="A27" s="7" t="s">
        <v>99</v>
      </c>
      <c r="B27" s="7" t="s">
        <v>100</v>
      </c>
      <c r="C27" s="7" t="s">
        <v>60</v>
      </c>
      <c r="D27" s="8">
        <v>45335</v>
      </c>
      <c r="E27" s="8" t="str">
        <f>TEXT(D27,"mmmm")</f>
        <v>February</v>
      </c>
      <c r="F27">
        <f t="shared" si="2"/>
        <v>2024</v>
      </c>
      <c r="G27">
        <f t="shared" si="0"/>
        <v>1</v>
      </c>
      <c r="H27">
        <f t="shared" si="1"/>
        <v>0</v>
      </c>
      <c r="I27" s="6">
        <v>0.46875</v>
      </c>
      <c r="J27" s="6">
        <v>0.73402777777777772</v>
      </c>
      <c r="K27" s="7" t="s">
        <v>20</v>
      </c>
      <c r="L27" s="7" t="s">
        <v>14</v>
      </c>
      <c r="M27" s="7" t="s">
        <v>21</v>
      </c>
      <c r="N27" s="7">
        <f>COUNTIFS(A:A,A27,D:D,D27,E:E,I27)</f>
        <v>0</v>
      </c>
    </row>
    <row r="28" spans="1:14" x14ac:dyDescent="0.3">
      <c r="A28" s="7" t="s">
        <v>102</v>
      </c>
      <c r="B28" s="7" t="s">
        <v>103</v>
      </c>
      <c r="C28" s="7" t="s">
        <v>426</v>
      </c>
      <c r="D28" s="8">
        <v>45628</v>
      </c>
      <c r="E28" s="8" t="str">
        <f>TEXT(D28,"mmmm")</f>
        <v>December</v>
      </c>
      <c r="F28">
        <f t="shared" si="2"/>
        <v>2024</v>
      </c>
      <c r="G28">
        <f t="shared" si="0"/>
        <v>1</v>
      </c>
      <c r="H28">
        <f t="shared" si="1"/>
        <v>0</v>
      </c>
      <c r="I28" s="6">
        <v>0.38472222222222224</v>
      </c>
      <c r="J28" s="6">
        <v>0.75555555555555554</v>
      </c>
      <c r="K28" s="7" t="s">
        <v>20</v>
      </c>
      <c r="L28" s="7" t="s">
        <v>27</v>
      </c>
      <c r="M28" s="7" t="s">
        <v>15</v>
      </c>
      <c r="N28" s="7">
        <f>COUNTIFS(A:A,A28,D:D,D28,E:E,I28)</f>
        <v>0</v>
      </c>
    </row>
    <row r="29" spans="1:14" x14ac:dyDescent="0.3">
      <c r="A29" s="7" t="s">
        <v>9</v>
      </c>
      <c r="B29" s="7" t="s">
        <v>10</v>
      </c>
      <c r="C29" s="7" t="s">
        <v>426</v>
      </c>
      <c r="D29" s="8">
        <v>45369</v>
      </c>
      <c r="E29" s="8" t="str">
        <f>TEXT(D29,"mmmm")</f>
        <v>March</v>
      </c>
      <c r="F29">
        <f t="shared" si="2"/>
        <v>2024</v>
      </c>
      <c r="G29">
        <f t="shared" si="0"/>
        <v>1</v>
      </c>
      <c r="H29">
        <f t="shared" si="1"/>
        <v>1</v>
      </c>
      <c r="I29" s="6">
        <v>0.43333333333333335</v>
      </c>
      <c r="J29" s="6">
        <v>0.78402777777777777</v>
      </c>
      <c r="K29" s="7" t="s">
        <v>26</v>
      </c>
      <c r="L29" s="7" t="s">
        <v>14</v>
      </c>
      <c r="M29" s="7" t="s">
        <v>21</v>
      </c>
      <c r="N29" s="7">
        <f>COUNTIFS(A:A,A29,D:D,D29,E:E,I29)</f>
        <v>0</v>
      </c>
    </row>
    <row r="30" spans="1:14" x14ac:dyDescent="0.3">
      <c r="A30" s="7" t="s">
        <v>52</v>
      </c>
      <c r="B30" s="7" t="s">
        <v>53</v>
      </c>
      <c r="C30" s="7" t="s">
        <v>425</v>
      </c>
      <c r="D30" s="8">
        <v>45350</v>
      </c>
      <c r="E30" s="8" t="str">
        <f>TEXT(D30,"mmmm")</f>
        <v>February</v>
      </c>
      <c r="F30">
        <f t="shared" si="2"/>
        <v>2024</v>
      </c>
      <c r="G30">
        <f t="shared" si="0"/>
        <v>1</v>
      </c>
      <c r="H30">
        <f t="shared" si="1"/>
        <v>0</v>
      </c>
      <c r="I30" s="6">
        <v>0.45763888888888887</v>
      </c>
      <c r="J30" s="6">
        <v>0.73472222222222228</v>
      </c>
      <c r="K30" s="7" t="s">
        <v>20</v>
      </c>
      <c r="L30" s="7" t="s">
        <v>27</v>
      </c>
      <c r="M30" s="7" t="s">
        <v>21</v>
      </c>
      <c r="N30" s="7">
        <f>COUNTIFS(A:A,A30,D:D,D30,E:E,I30)</f>
        <v>0</v>
      </c>
    </row>
    <row r="31" spans="1:14" x14ac:dyDescent="0.3">
      <c r="A31" s="7" t="s">
        <v>93</v>
      </c>
      <c r="B31" s="7" t="s">
        <v>94</v>
      </c>
      <c r="C31" s="7" t="s">
        <v>425</v>
      </c>
      <c r="D31" s="8">
        <v>45627</v>
      </c>
      <c r="E31" s="8" t="str">
        <f>TEXT(D31,"mmmm")</f>
        <v>December</v>
      </c>
      <c r="F31">
        <f t="shared" si="2"/>
        <v>2024</v>
      </c>
      <c r="G31">
        <f t="shared" si="0"/>
        <v>0</v>
      </c>
      <c r="H31">
        <f t="shared" si="1"/>
        <v>0</v>
      </c>
      <c r="I31" s="6"/>
      <c r="J31" s="6"/>
      <c r="K31" s="7" t="s">
        <v>44</v>
      </c>
      <c r="L31" s="7" t="s">
        <v>14</v>
      </c>
      <c r="M31" s="7" t="s">
        <v>15</v>
      </c>
      <c r="N31" s="7">
        <f>COUNTIFS(A:A,A31,D:D,D31,E:E,I31)</f>
        <v>0</v>
      </c>
    </row>
    <row r="32" spans="1:14" x14ac:dyDescent="0.3">
      <c r="A32" s="7" t="s">
        <v>72</v>
      </c>
      <c r="B32" s="7" t="s">
        <v>73</v>
      </c>
      <c r="C32" s="7" t="s">
        <v>64</v>
      </c>
      <c r="D32" s="8">
        <v>45359</v>
      </c>
      <c r="E32" s="8" t="str">
        <f>TEXT(D32,"mmmm")</f>
        <v>March</v>
      </c>
      <c r="F32">
        <f t="shared" si="2"/>
        <v>2024</v>
      </c>
      <c r="G32">
        <f t="shared" si="0"/>
        <v>1</v>
      </c>
      <c r="H32">
        <f t="shared" si="1"/>
        <v>0</v>
      </c>
      <c r="I32" s="6">
        <v>0.42777777777777776</v>
      </c>
      <c r="J32" s="6">
        <v>0.84791666666666665</v>
      </c>
      <c r="K32" s="7" t="s">
        <v>13</v>
      </c>
      <c r="L32" s="7" t="s">
        <v>14</v>
      </c>
      <c r="M32" s="7" t="s">
        <v>15</v>
      </c>
      <c r="N32" s="7">
        <f>COUNTIFS(A:A,A32,D:D,D32,E:E,I32)</f>
        <v>0</v>
      </c>
    </row>
    <row r="33" spans="1:14" x14ac:dyDescent="0.3">
      <c r="A33" s="7" t="s">
        <v>109</v>
      </c>
      <c r="B33" s="7" t="s">
        <v>110</v>
      </c>
      <c r="C33" s="7" t="s">
        <v>425</v>
      </c>
      <c r="D33" s="8">
        <v>45381</v>
      </c>
      <c r="E33" s="8" t="str">
        <f>TEXT(D33,"mmmm")</f>
        <v>March</v>
      </c>
      <c r="F33">
        <f t="shared" si="2"/>
        <v>2024</v>
      </c>
      <c r="G33">
        <f t="shared" si="0"/>
        <v>1</v>
      </c>
      <c r="H33">
        <f t="shared" si="1"/>
        <v>0</v>
      </c>
      <c r="I33" s="6">
        <v>0.40555555555555556</v>
      </c>
      <c r="J33" s="6">
        <v>0.79513888888888884</v>
      </c>
      <c r="K33" s="7" t="s">
        <v>20</v>
      </c>
      <c r="L33" s="7" t="s">
        <v>14</v>
      </c>
      <c r="M33" s="7" t="s">
        <v>21</v>
      </c>
      <c r="N33" s="7">
        <f>COUNTIFS(A:A,A33,D:D,D33,E:E,I33)</f>
        <v>0</v>
      </c>
    </row>
    <row r="34" spans="1:14" x14ac:dyDescent="0.3">
      <c r="A34" s="7" t="s">
        <v>112</v>
      </c>
      <c r="B34" s="7" t="s">
        <v>113</v>
      </c>
      <c r="C34" s="7" t="s">
        <v>60</v>
      </c>
      <c r="D34" s="8">
        <v>45476</v>
      </c>
      <c r="E34" s="8" t="str">
        <f>TEXT(D34,"mmmm")</f>
        <v>July</v>
      </c>
      <c r="F34">
        <f t="shared" si="2"/>
        <v>2024</v>
      </c>
      <c r="G34">
        <f t="shared" si="0"/>
        <v>1</v>
      </c>
      <c r="H34">
        <f t="shared" si="1"/>
        <v>0</v>
      </c>
      <c r="I34" s="6">
        <v>0.48958333333333331</v>
      </c>
      <c r="J34" s="6">
        <v>0.73472222222222228</v>
      </c>
      <c r="K34" s="7" t="s">
        <v>20</v>
      </c>
      <c r="L34" s="7" t="s">
        <v>14</v>
      </c>
      <c r="M34" s="7" t="s">
        <v>15</v>
      </c>
      <c r="N34" s="7">
        <f>COUNTIFS(A:A,A34,D:D,D34,E:E,I34)</f>
        <v>0</v>
      </c>
    </row>
    <row r="35" spans="1:14" x14ac:dyDescent="0.3">
      <c r="A35" s="7" t="s">
        <v>9</v>
      </c>
      <c r="B35" s="7" t="s">
        <v>10</v>
      </c>
      <c r="C35" s="7" t="s">
        <v>64</v>
      </c>
      <c r="D35" s="8">
        <v>45298</v>
      </c>
      <c r="E35" s="8" t="str">
        <f>TEXT(D35,"mmmm")</f>
        <v>January</v>
      </c>
      <c r="F35">
        <f t="shared" si="2"/>
        <v>2024</v>
      </c>
      <c r="G35">
        <f t="shared" si="0"/>
        <v>1</v>
      </c>
      <c r="H35">
        <f t="shared" si="1"/>
        <v>1</v>
      </c>
      <c r="I35" s="6">
        <v>0.4826388888888889</v>
      </c>
      <c r="J35" s="6">
        <v>0.76597222222222228</v>
      </c>
      <c r="K35" s="7" t="s">
        <v>26</v>
      </c>
      <c r="L35" s="7" t="s">
        <v>14</v>
      </c>
      <c r="M35" s="7" t="s">
        <v>15</v>
      </c>
      <c r="N35" s="7">
        <f>COUNTIFS(A:A,A35,D:D,D35,E:E,I35)</f>
        <v>0</v>
      </c>
    </row>
    <row r="36" spans="1:14" x14ac:dyDescent="0.3">
      <c r="A36" s="7" t="s">
        <v>115</v>
      </c>
      <c r="B36" s="7" t="s">
        <v>116</v>
      </c>
      <c r="C36" s="7" t="s">
        <v>64</v>
      </c>
      <c r="D36" s="8">
        <v>45374</v>
      </c>
      <c r="E36" s="8" t="str">
        <f>TEXT(D36,"mmmm")</f>
        <v>March</v>
      </c>
      <c r="F36">
        <f t="shared" si="2"/>
        <v>2024</v>
      </c>
      <c r="G36">
        <f t="shared" si="0"/>
        <v>1</v>
      </c>
      <c r="H36">
        <f t="shared" si="1"/>
        <v>0</v>
      </c>
      <c r="I36" s="6">
        <v>0.43055555555555558</v>
      </c>
      <c r="J36" s="6">
        <v>0.73333333333333328</v>
      </c>
      <c r="K36" s="7" t="s">
        <v>20</v>
      </c>
      <c r="L36" s="7" t="s">
        <v>27</v>
      </c>
      <c r="M36" s="7" t="s">
        <v>15</v>
      </c>
      <c r="N36" s="7">
        <f>COUNTIFS(A:A,A36,D:D,D36,E:E,I36)</f>
        <v>0</v>
      </c>
    </row>
    <row r="37" spans="1:14" x14ac:dyDescent="0.3">
      <c r="A37" s="7" t="s">
        <v>115</v>
      </c>
      <c r="B37" s="7" t="s">
        <v>116</v>
      </c>
      <c r="C37" s="7" t="s">
        <v>60</v>
      </c>
      <c r="D37" s="8">
        <v>45337</v>
      </c>
      <c r="E37" s="8" t="str">
        <f>TEXT(D37,"mmmm")</f>
        <v>February</v>
      </c>
      <c r="F37">
        <f t="shared" si="2"/>
        <v>2024</v>
      </c>
      <c r="G37">
        <f t="shared" si="0"/>
        <v>0</v>
      </c>
      <c r="H37">
        <f t="shared" si="1"/>
        <v>0</v>
      </c>
      <c r="I37" s="6"/>
      <c r="J37" s="6"/>
      <c r="K37" s="7" t="s">
        <v>44</v>
      </c>
      <c r="L37" s="7" t="s">
        <v>14</v>
      </c>
      <c r="M37" s="7" t="s">
        <v>15</v>
      </c>
      <c r="N37" s="7">
        <f>COUNTIFS(A:A,A37,D:D,D37,E:E,I37)</f>
        <v>0</v>
      </c>
    </row>
    <row r="38" spans="1:14" x14ac:dyDescent="0.3">
      <c r="A38" s="7" t="s">
        <v>119</v>
      </c>
      <c r="B38" s="7" t="s">
        <v>120</v>
      </c>
      <c r="C38" s="7" t="s">
        <v>426</v>
      </c>
      <c r="D38" s="8">
        <v>45537</v>
      </c>
      <c r="E38" s="8" t="str">
        <f>TEXT(D38,"mmmm")</f>
        <v>September</v>
      </c>
      <c r="F38">
        <f t="shared" si="2"/>
        <v>2024</v>
      </c>
      <c r="G38">
        <f t="shared" si="0"/>
        <v>0</v>
      </c>
      <c r="H38">
        <f t="shared" si="1"/>
        <v>0</v>
      </c>
      <c r="I38" s="6"/>
      <c r="J38" s="6"/>
      <c r="K38" s="7" t="s">
        <v>44</v>
      </c>
      <c r="L38" s="7" t="s">
        <v>27</v>
      </c>
      <c r="M38" s="7" t="s">
        <v>15</v>
      </c>
      <c r="N38" s="7">
        <f>COUNTIFS(A:A,A38,D:D,D38,E:E,I38)</f>
        <v>0</v>
      </c>
    </row>
    <row r="39" spans="1:14" x14ac:dyDescent="0.3">
      <c r="A39" s="7" t="s">
        <v>55</v>
      </c>
      <c r="B39" s="7" t="s">
        <v>56</v>
      </c>
      <c r="C39" s="7" t="s">
        <v>426</v>
      </c>
      <c r="D39" s="8">
        <v>45381</v>
      </c>
      <c r="E39" s="8" t="str">
        <f>TEXT(D39,"mmmm")</f>
        <v>March</v>
      </c>
      <c r="F39">
        <f t="shared" si="2"/>
        <v>2024</v>
      </c>
      <c r="G39">
        <f t="shared" si="0"/>
        <v>1</v>
      </c>
      <c r="H39">
        <f t="shared" si="1"/>
        <v>0</v>
      </c>
      <c r="I39" s="6">
        <v>0.36180555555555555</v>
      </c>
      <c r="J39" s="6">
        <v>0.70277777777777772</v>
      </c>
      <c r="K39" s="7" t="s">
        <v>20</v>
      </c>
      <c r="L39" s="7" t="s">
        <v>14</v>
      </c>
      <c r="M39" s="7" t="s">
        <v>21</v>
      </c>
      <c r="N39" s="7">
        <f>COUNTIFS(A:A,A39,D:D,D39,E:E,I39)</f>
        <v>0</v>
      </c>
    </row>
    <row r="40" spans="1:14" x14ac:dyDescent="0.3">
      <c r="A40" s="7" t="s">
        <v>122</v>
      </c>
      <c r="B40" s="7" t="s">
        <v>123</v>
      </c>
      <c r="C40" s="7" t="s">
        <v>426</v>
      </c>
      <c r="D40" s="8">
        <v>45505</v>
      </c>
      <c r="E40" s="8" t="str">
        <f>TEXT(D40,"mmmm")</f>
        <v>August</v>
      </c>
      <c r="F40">
        <f t="shared" si="2"/>
        <v>2024</v>
      </c>
      <c r="G40">
        <f t="shared" si="0"/>
        <v>1</v>
      </c>
      <c r="H40">
        <f t="shared" si="1"/>
        <v>0</v>
      </c>
      <c r="I40" s="6">
        <v>0.47638888888888886</v>
      </c>
      <c r="J40" s="6">
        <v>0.78888888888888886</v>
      </c>
      <c r="K40" s="7" t="s">
        <v>20</v>
      </c>
      <c r="L40" s="7" t="s">
        <v>14</v>
      </c>
      <c r="M40" s="7" t="s">
        <v>15</v>
      </c>
      <c r="N40" s="7">
        <f>COUNTIFS(A:A,A40,D:D,D40,E:E,I40)</f>
        <v>0</v>
      </c>
    </row>
    <row r="41" spans="1:14" x14ac:dyDescent="0.3">
      <c r="A41" s="7" t="s">
        <v>93</v>
      </c>
      <c r="B41" s="7" t="s">
        <v>94</v>
      </c>
      <c r="C41" s="7" t="s">
        <v>64</v>
      </c>
      <c r="D41" s="8">
        <v>45349</v>
      </c>
      <c r="E41" s="8" t="str">
        <f>TEXT(D41,"mmmm")</f>
        <v>February</v>
      </c>
      <c r="F41">
        <f t="shared" si="2"/>
        <v>2024</v>
      </c>
      <c r="G41">
        <f t="shared" si="0"/>
        <v>1</v>
      </c>
      <c r="H41">
        <f t="shared" si="1"/>
        <v>1</v>
      </c>
      <c r="I41" s="6">
        <v>0.45416666666666666</v>
      </c>
      <c r="J41" s="6">
        <v>0.85277777777777775</v>
      </c>
      <c r="K41" s="7" t="s">
        <v>26</v>
      </c>
      <c r="L41" s="7" t="s">
        <v>14</v>
      </c>
      <c r="M41" s="7" t="s">
        <v>15</v>
      </c>
      <c r="N41" s="7">
        <f>COUNTIFS(A:A,A41,D:D,D41,E:E,I41)</f>
        <v>0</v>
      </c>
    </row>
    <row r="42" spans="1:14" x14ac:dyDescent="0.3">
      <c r="A42" s="7" t="s">
        <v>102</v>
      </c>
      <c r="B42" s="7" t="s">
        <v>103</v>
      </c>
      <c r="C42" s="7" t="s">
        <v>426</v>
      </c>
      <c r="D42" s="8">
        <v>45335</v>
      </c>
      <c r="E42" s="8" t="str">
        <f>TEXT(D42,"mmmm")</f>
        <v>February</v>
      </c>
      <c r="F42">
        <f t="shared" si="2"/>
        <v>2024</v>
      </c>
      <c r="G42">
        <f t="shared" si="0"/>
        <v>1</v>
      </c>
      <c r="H42">
        <f t="shared" si="1"/>
        <v>0</v>
      </c>
      <c r="I42" s="6">
        <v>0.48125000000000001</v>
      </c>
      <c r="J42" s="6">
        <v>0.85833333333333328</v>
      </c>
      <c r="K42" s="7" t="s">
        <v>13</v>
      </c>
      <c r="L42" s="7" t="s">
        <v>14</v>
      </c>
      <c r="M42" s="7" t="s">
        <v>15</v>
      </c>
      <c r="N42" s="7">
        <f>COUNTIFS(A:A,A42,D:D,D42,E:E,I42)</f>
        <v>0</v>
      </c>
    </row>
    <row r="43" spans="1:14" x14ac:dyDescent="0.3">
      <c r="A43" s="7" t="s">
        <v>40</v>
      </c>
      <c r="B43" s="7" t="s">
        <v>41</v>
      </c>
      <c r="C43" s="7" t="s">
        <v>426</v>
      </c>
      <c r="D43" s="8">
        <v>45341</v>
      </c>
      <c r="E43" s="8" t="str">
        <f>TEXT(D43,"mmmm")</f>
        <v>February</v>
      </c>
      <c r="F43">
        <f t="shared" si="2"/>
        <v>2024</v>
      </c>
      <c r="G43">
        <f t="shared" si="0"/>
        <v>1</v>
      </c>
      <c r="H43">
        <f t="shared" si="1"/>
        <v>1</v>
      </c>
      <c r="I43" s="6">
        <v>0.41388888888888886</v>
      </c>
      <c r="J43" s="6">
        <v>0.72916666666666663</v>
      </c>
      <c r="K43" s="7" t="s">
        <v>26</v>
      </c>
      <c r="L43" s="7" t="s">
        <v>14</v>
      </c>
      <c r="M43" s="7" t="s">
        <v>21</v>
      </c>
      <c r="N43" s="7">
        <f>COUNTIFS(A:A,A43,D:D,D43,E:E,I43)</f>
        <v>0</v>
      </c>
    </row>
    <row r="44" spans="1:14" x14ac:dyDescent="0.3">
      <c r="A44" s="7" t="s">
        <v>90</v>
      </c>
      <c r="B44" s="7" t="s">
        <v>91</v>
      </c>
      <c r="C44" s="7" t="s">
        <v>42</v>
      </c>
      <c r="D44" s="8">
        <v>45597</v>
      </c>
      <c r="E44" s="8" t="str">
        <f>TEXT(D44,"mmmm")</f>
        <v>November</v>
      </c>
      <c r="F44">
        <f t="shared" si="2"/>
        <v>2024</v>
      </c>
      <c r="G44">
        <f t="shared" si="0"/>
        <v>1</v>
      </c>
      <c r="H44">
        <f t="shared" si="1"/>
        <v>0</v>
      </c>
      <c r="I44" s="6">
        <v>0.48055555555555557</v>
      </c>
      <c r="J44" s="6">
        <v>0.71944444444444444</v>
      </c>
      <c r="K44" s="7" t="s">
        <v>20</v>
      </c>
      <c r="L44" s="7" t="s">
        <v>14</v>
      </c>
      <c r="M44" s="7" t="s">
        <v>15</v>
      </c>
      <c r="N44" s="7">
        <f>COUNTIFS(A:A,A44,D:D,D44,E:E,I44)</f>
        <v>0</v>
      </c>
    </row>
    <row r="45" spans="1:14" x14ac:dyDescent="0.3">
      <c r="A45" s="7" t="s">
        <v>130</v>
      </c>
      <c r="B45" s="7" t="s">
        <v>131</v>
      </c>
      <c r="C45" s="7" t="s">
        <v>42</v>
      </c>
      <c r="D45" s="8">
        <v>45322</v>
      </c>
      <c r="E45" s="8" t="str">
        <f>TEXT(D45,"mmmm")</f>
        <v>January</v>
      </c>
      <c r="F45">
        <f t="shared" si="2"/>
        <v>2024</v>
      </c>
      <c r="G45">
        <f t="shared" si="0"/>
        <v>1</v>
      </c>
      <c r="H45">
        <f t="shared" si="1"/>
        <v>0</v>
      </c>
      <c r="I45" s="6">
        <v>0.40208333333333335</v>
      </c>
      <c r="J45" s="6">
        <v>0.72222222222222221</v>
      </c>
      <c r="K45" s="7" t="s">
        <v>13</v>
      </c>
      <c r="L45" s="7" t="s">
        <v>14</v>
      </c>
      <c r="M45" s="7" t="s">
        <v>21</v>
      </c>
      <c r="N45" s="7">
        <f>COUNTIFS(A:A,A45,D:D,D45,E:E,I45)</f>
        <v>0</v>
      </c>
    </row>
    <row r="46" spans="1:14" x14ac:dyDescent="0.3">
      <c r="A46" s="7" t="s">
        <v>102</v>
      </c>
      <c r="B46" s="7" t="s">
        <v>103</v>
      </c>
      <c r="C46" s="7" t="s">
        <v>60</v>
      </c>
      <c r="D46" s="8">
        <v>45324</v>
      </c>
      <c r="E46" s="8" t="str">
        <f>TEXT(D46,"mmmm")</f>
        <v>February</v>
      </c>
      <c r="F46">
        <f t="shared" si="2"/>
        <v>2024</v>
      </c>
      <c r="G46">
        <f t="shared" si="0"/>
        <v>1</v>
      </c>
      <c r="H46">
        <f t="shared" si="1"/>
        <v>0</v>
      </c>
      <c r="I46" s="6">
        <v>0.47847222222222224</v>
      </c>
      <c r="J46" s="6">
        <v>0.82847222222222228</v>
      </c>
      <c r="K46" s="7" t="s">
        <v>13</v>
      </c>
      <c r="L46" s="7" t="s">
        <v>27</v>
      </c>
      <c r="M46" s="7" t="s">
        <v>21</v>
      </c>
      <c r="N46" s="7">
        <f>COUNTIFS(A:A,A46,D:D,D46,E:E,I46)</f>
        <v>0</v>
      </c>
    </row>
    <row r="47" spans="1:14" x14ac:dyDescent="0.3">
      <c r="A47" s="7" t="s">
        <v>134</v>
      </c>
      <c r="B47" s="7" t="s">
        <v>135</v>
      </c>
      <c r="C47" s="7" t="s">
        <v>60</v>
      </c>
      <c r="D47" s="8">
        <v>45568</v>
      </c>
      <c r="E47" s="8" t="str">
        <f>TEXT(D47,"mmmm")</f>
        <v>October</v>
      </c>
      <c r="F47">
        <f t="shared" si="2"/>
        <v>2024</v>
      </c>
      <c r="G47">
        <f t="shared" si="0"/>
        <v>1</v>
      </c>
      <c r="H47">
        <f t="shared" si="1"/>
        <v>0</v>
      </c>
      <c r="I47" s="6">
        <v>0.34305555555555556</v>
      </c>
      <c r="J47" s="6">
        <v>0.66874999999999996</v>
      </c>
      <c r="K47" s="7" t="s">
        <v>20</v>
      </c>
      <c r="L47" s="7" t="s">
        <v>14</v>
      </c>
      <c r="M47" s="7" t="s">
        <v>15</v>
      </c>
      <c r="N47" s="7">
        <f>COUNTIFS(A:A,A47,D:D,D47,E:E,I47)</f>
        <v>0</v>
      </c>
    </row>
    <row r="48" spans="1:14" x14ac:dyDescent="0.3">
      <c r="A48" s="7" t="s">
        <v>16</v>
      </c>
      <c r="B48" s="7" t="s">
        <v>17</v>
      </c>
      <c r="C48" s="7" t="s">
        <v>426</v>
      </c>
      <c r="D48" s="8">
        <v>45320</v>
      </c>
      <c r="E48" s="8" t="str">
        <f>TEXT(D48,"mmmm")</f>
        <v>January</v>
      </c>
      <c r="F48">
        <f t="shared" si="2"/>
        <v>2024</v>
      </c>
      <c r="G48">
        <f t="shared" si="0"/>
        <v>1</v>
      </c>
      <c r="H48">
        <f t="shared" si="1"/>
        <v>0</v>
      </c>
      <c r="I48" s="6">
        <v>0.48541666666666666</v>
      </c>
      <c r="J48" s="6">
        <v>0.8618055555555556</v>
      </c>
      <c r="K48" s="7" t="s">
        <v>20</v>
      </c>
      <c r="L48" s="7" t="s">
        <v>14</v>
      </c>
      <c r="M48" s="7" t="s">
        <v>15</v>
      </c>
      <c r="N48" s="7">
        <f>COUNTIFS(A:A,A48,D:D,D48,E:E,I48)</f>
        <v>0</v>
      </c>
    </row>
    <row r="49" spans="1:14" x14ac:dyDescent="0.3">
      <c r="A49" s="7" t="s">
        <v>130</v>
      </c>
      <c r="B49" s="7" t="s">
        <v>131</v>
      </c>
      <c r="C49" s="7" t="s">
        <v>64</v>
      </c>
      <c r="D49" s="8">
        <v>45384</v>
      </c>
      <c r="E49" s="8" t="str">
        <f>TEXT(D49,"mmmm")</f>
        <v>April</v>
      </c>
      <c r="F49">
        <f t="shared" si="2"/>
        <v>2024</v>
      </c>
      <c r="G49">
        <f t="shared" si="0"/>
        <v>1</v>
      </c>
      <c r="H49">
        <f t="shared" si="1"/>
        <v>0</v>
      </c>
      <c r="I49" s="6">
        <v>0.44097222222222221</v>
      </c>
      <c r="J49" s="6">
        <v>0.87013888888888891</v>
      </c>
      <c r="K49" s="7" t="s">
        <v>20</v>
      </c>
      <c r="L49" s="7" t="s">
        <v>27</v>
      </c>
      <c r="M49" s="7" t="s">
        <v>15</v>
      </c>
      <c r="N49" s="7">
        <f>COUNTIFS(A:A,A49,D:D,D49,E:E,I49)</f>
        <v>0</v>
      </c>
    </row>
    <row r="50" spans="1:14" x14ac:dyDescent="0.3">
      <c r="A50" s="7" t="s">
        <v>138</v>
      </c>
      <c r="B50" s="7" t="s">
        <v>139</v>
      </c>
      <c r="C50" s="7" t="s">
        <v>425</v>
      </c>
      <c r="D50" s="8">
        <v>45324</v>
      </c>
      <c r="E50" s="8" t="str">
        <f>TEXT(D50,"mmmm")</f>
        <v>February</v>
      </c>
      <c r="F50">
        <f t="shared" si="2"/>
        <v>2024</v>
      </c>
      <c r="G50">
        <f t="shared" si="0"/>
        <v>1</v>
      </c>
      <c r="H50">
        <f t="shared" si="1"/>
        <v>1</v>
      </c>
      <c r="I50" s="6">
        <v>0.33680555555555558</v>
      </c>
      <c r="J50" s="6">
        <v>0.79027777777777775</v>
      </c>
      <c r="K50" s="7" t="s">
        <v>26</v>
      </c>
      <c r="L50" s="7" t="s">
        <v>14</v>
      </c>
      <c r="M50" s="7" t="s">
        <v>21</v>
      </c>
      <c r="N50" s="7">
        <f>COUNTIFS(A:A,A50,D:D,D50,E:E,I50)</f>
        <v>0</v>
      </c>
    </row>
    <row r="51" spans="1:14" x14ac:dyDescent="0.3">
      <c r="A51" s="7" t="s">
        <v>34</v>
      </c>
      <c r="B51" s="7" t="s">
        <v>35</v>
      </c>
      <c r="C51" s="7" t="s">
        <v>64</v>
      </c>
      <c r="D51" s="8">
        <v>45335</v>
      </c>
      <c r="E51" s="8" t="str">
        <f>TEXT(D51,"mmmm")</f>
        <v>February</v>
      </c>
      <c r="F51">
        <f t="shared" si="2"/>
        <v>2024</v>
      </c>
      <c r="G51">
        <f t="shared" si="0"/>
        <v>1</v>
      </c>
      <c r="H51">
        <f t="shared" si="1"/>
        <v>0</v>
      </c>
      <c r="I51" s="6">
        <v>0.46875</v>
      </c>
      <c r="J51" s="6">
        <v>0.79166666666666663</v>
      </c>
      <c r="K51" s="7" t="s">
        <v>13</v>
      </c>
      <c r="L51" s="7" t="s">
        <v>14</v>
      </c>
      <c r="M51" s="7" t="s">
        <v>15</v>
      </c>
      <c r="N51" s="7">
        <f>COUNTIFS(A:A,A51,D:D,D51,E:E,I51)</f>
        <v>0</v>
      </c>
    </row>
    <row r="52" spans="1:14" x14ac:dyDescent="0.3">
      <c r="A52" s="7" t="s">
        <v>141</v>
      </c>
      <c r="B52" s="7" t="s">
        <v>142</v>
      </c>
      <c r="C52" s="7" t="s">
        <v>64</v>
      </c>
      <c r="D52" s="8">
        <v>45316</v>
      </c>
      <c r="E52" s="8" t="str">
        <f>TEXT(D52,"mmmm")</f>
        <v>January</v>
      </c>
      <c r="F52">
        <f t="shared" si="2"/>
        <v>2024</v>
      </c>
      <c r="G52">
        <f t="shared" si="0"/>
        <v>1</v>
      </c>
      <c r="H52">
        <f t="shared" si="1"/>
        <v>0</v>
      </c>
      <c r="I52" s="6">
        <v>0.35694444444444445</v>
      </c>
      <c r="J52" s="6">
        <v>0.70694444444444449</v>
      </c>
      <c r="K52" s="7" t="s">
        <v>13</v>
      </c>
      <c r="L52" s="7" t="s">
        <v>27</v>
      </c>
      <c r="M52" s="7" t="s">
        <v>21</v>
      </c>
      <c r="N52" s="7">
        <f>COUNTIFS(A:A,A52,D:D,D52,E:E,I52)</f>
        <v>0</v>
      </c>
    </row>
    <row r="53" spans="1:14" x14ac:dyDescent="0.3">
      <c r="A53" s="7" t="s">
        <v>109</v>
      </c>
      <c r="B53" s="7" t="s">
        <v>110</v>
      </c>
      <c r="C53" s="7" t="s">
        <v>42</v>
      </c>
      <c r="D53" s="8">
        <v>45536</v>
      </c>
      <c r="E53" s="8" t="str">
        <f>TEXT(D53,"mmmm")</f>
        <v>September</v>
      </c>
      <c r="F53">
        <f t="shared" si="2"/>
        <v>2024</v>
      </c>
      <c r="G53">
        <f t="shared" si="0"/>
        <v>1</v>
      </c>
      <c r="H53">
        <f t="shared" si="1"/>
        <v>0</v>
      </c>
      <c r="I53" s="6">
        <v>0.47430555555555554</v>
      </c>
      <c r="J53" s="6">
        <v>0.74513888888888891</v>
      </c>
      <c r="K53" s="7" t="s">
        <v>20</v>
      </c>
      <c r="L53" s="7" t="s">
        <v>14</v>
      </c>
      <c r="M53" s="7" t="s">
        <v>15</v>
      </c>
      <c r="N53" s="7">
        <f>COUNTIFS(A:A,A53,D:D,D53,E:E,I53)</f>
        <v>0</v>
      </c>
    </row>
    <row r="54" spans="1:14" x14ac:dyDescent="0.3">
      <c r="A54" s="7" t="s">
        <v>146</v>
      </c>
      <c r="B54" s="7" t="s">
        <v>147</v>
      </c>
      <c r="C54" s="7" t="s">
        <v>60</v>
      </c>
      <c r="D54" s="8">
        <v>45321</v>
      </c>
      <c r="E54" s="8" t="str">
        <f>TEXT(D54,"mmmm")</f>
        <v>January</v>
      </c>
      <c r="F54">
        <f t="shared" si="2"/>
        <v>2024</v>
      </c>
      <c r="G54">
        <f t="shared" si="0"/>
        <v>1</v>
      </c>
      <c r="H54">
        <f t="shared" si="1"/>
        <v>1</v>
      </c>
      <c r="I54" s="6">
        <v>0.4236111111111111</v>
      </c>
      <c r="J54" s="6">
        <v>0.79166666666666663</v>
      </c>
      <c r="K54" s="7" t="s">
        <v>26</v>
      </c>
      <c r="L54" s="7" t="s">
        <v>27</v>
      </c>
      <c r="M54" s="7" t="s">
        <v>21</v>
      </c>
      <c r="N54" s="7">
        <f>COUNTIFS(A:A,A54,D:D,D54,E:E,I54)</f>
        <v>0</v>
      </c>
    </row>
    <row r="55" spans="1:14" x14ac:dyDescent="0.3">
      <c r="A55" s="7" t="s">
        <v>150</v>
      </c>
      <c r="B55" s="7" t="s">
        <v>151</v>
      </c>
      <c r="C55" s="7" t="s">
        <v>425</v>
      </c>
      <c r="D55" s="8">
        <v>45343</v>
      </c>
      <c r="E55" s="8" t="str">
        <f>TEXT(D55,"mmmm")</f>
        <v>February</v>
      </c>
      <c r="F55">
        <f t="shared" si="2"/>
        <v>2024</v>
      </c>
      <c r="G55">
        <f t="shared" si="0"/>
        <v>1</v>
      </c>
      <c r="H55">
        <f t="shared" si="1"/>
        <v>0</v>
      </c>
      <c r="I55" s="6">
        <v>0.36180555555555555</v>
      </c>
      <c r="J55" s="6">
        <v>0.82847222222222228</v>
      </c>
      <c r="K55" s="7" t="s">
        <v>20</v>
      </c>
      <c r="L55" s="7" t="s">
        <v>14</v>
      </c>
      <c r="M55" s="7" t="s">
        <v>21</v>
      </c>
      <c r="N55" s="7">
        <f>COUNTIFS(A:A,A55,D:D,D55,E:E,I55)</f>
        <v>0</v>
      </c>
    </row>
    <row r="56" spans="1:14" x14ac:dyDescent="0.3">
      <c r="A56" s="7" t="s">
        <v>78</v>
      </c>
      <c r="B56" s="7" t="s">
        <v>79</v>
      </c>
      <c r="C56" s="7" t="s">
        <v>60</v>
      </c>
      <c r="D56" s="8">
        <v>45336</v>
      </c>
      <c r="E56" s="8" t="str">
        <f>TEXT(D56,"mmmm")</f>
        <v>February</v>
      </c>
      <c r="F56">
        <f t="shared" si="2"/>
        <v>2024</v>
      </c>
      <c r="G56">
        <f t="shared" si="0"/>
        <v>1</v>
      </c>
      <c r="H56">
        <f t="shared" si="1"/>
        <v>0</v>
      </c>
      <c r="I56" s="6">
        <v>0.40902777777777777</v>
      </c>
      <c r="J56" s="6">
        <v>0.80625000000000002</v>
      </c>
      <c r="K56" s="7" t="s">
        <v>13</v>
      </c>
      <c r="L56" s="7" t="s">
        <v>27</v>
      </c>
      <c r="M56" s="7" t="s">
        <v>15</v>
      </c>
      <c r="N56" s="7">
        <f>COUNTIFS(A:A,A56,D:D,D56,E:E,I56)</f>
        <v>0</v>
      </c>
    </row>
    <row r="57" spans="1:14" x14ac:dyDescent="0.3">
      <c r="A57" s="7" t="s">
        <v>154</v>
      </c>
      <c r="B57" s="7" t="s">
        <v>155</v>
      </c>
      <c r="C57" s="7" t="s">
        <v>425</v>
      </c>
      <c r="D57" s="8">
        <v>45336</v>
      </c>
      <c r="E57" s="8" t="str">
        <f>TEXT(D57,"mmmm")</f>
        <v>February</v>
      </c>
      <c r="F57">
        <f t="shared" si="2"/>
        <v>2024</v>
      </c>
      <c r="G57">
        <f t="shared" si="0"/>
        <v>1</v>
      </c>
      <c r="H57">
        <f t="shared" si="1"/>
        <v>0</v>
      </c>
      <c r="I57" s="6">
        <v>0.44791666666666669</v>
      </c>
      <c r="J57" s="6">
        <v>0.72361111111111109</v>
      </c>
      <c r="K57" s="7" t="s">
        <v>20</v>
      </c>
      <c r="L57" s="7" t="s">
        <v>14</v>
      </c>
      <c r="M57" s="7" t="s">
        <v>15</v>
      </c>
      <c r="N57" s="7">
        <f>COUNTIFS(A:A,A57,D:D,D57,E:E,I57)</f>
        <v>0</v>
      </c>
    </row>
    <row r="58" spans="1:14" x14ac:dyDescent="0.3">
      <c r="A58" s="7" t="s">
        <v>141</v>
      </c>
      <c r="B58" s="7" t="s">
        <v>142</v>
      </c>
      <c r="C58" s="7" t="s">
        <v>426</v>
      </c>
      <c r="D58" s="8">
        <v>45338</v>
      </c>
      <c r="E58" s="8" t="str">
        <f>TEXT(D58,"mmmm")</f>
        <v>February</v>
      </c>
      <c r="F58">
        <f t="shared" si="2"/>
        <v>2024</v>
      </c>
      <c r="G58">
        <f t="shared" si="0"/>
        <v>0</v>
      </c>
      <c r="H58">
        <f t="shared" si="1"/>
        <v>0</v>
      </c>
      <c r="I58" s="6"/>
      <c r="J58" s="6"/>
      <c r="K58" s="7" t="s">
        <v>44</v>
      </c>
      <c r="L58" s="7" t="s">
        <v>27</v>
      </c>
      <c r="M58" s="7" t="s">
        <v>21</v>
      </c>
      <c r="N58" s="7">
        <f>COUNTIFS(A:A,A58,D:D,D58,E:E,I58)</f>
        <v>0</v>
      </c>
    </row>
    <row r="59" spans="1:14" x14ac:dyDescent="0.3">
      <c r="A59" s="7" t="s">
        <v>157</v>
      </c>
      <c r="B59" s="7" t="s">
        <v>158</v>
      </c>
      <c r="C59" s="7" t="s">
        <v>64</v>
      </c>
      <c r="D59" s="8">
        <v>45338</v>
      </c>
      <c r="E59" s="8" t="str">
        <f>TEXT(D59,"mmmm")</f>
        <v>February</v>
      </c>
      <c r="F59">
        <f t="shared" si="2"/>
        <v>2024</v>
      </c>
      <c r="G59">
        <f t="shared" si="0"/>
        <v>1</v>
      </c>
      <c r="H59">
        <f t="shared" si="1"/>
        <v>0</v>
      </c>
      <c r="I59" s="6">
        <v>0.3840277777777778</v>
      </c>
      <c r="J59" s="6">
        <v>0.79305555555555551</v>
      </c>
      <c r="K59" s="7" t="s">
        <v>20</v>
      </c>
      <c r="L59" s="7" t="s">
        <v>14</v>
      </c>
      <c r="M59" s="7" t="s">
        <v>15</v>
      </c>
      <c r="N59" s="7">
        <f>COUNTIFS(A:A,A59,D:D,D59,E:E,I59)</f>
        <v>0</v>
      </c>
    </row>
    <row r="60" spans="1:14" x14ac:dyDescent="0.3">
      <c r="A60" s="7" t="s">
        <v>78</v>
      </c>
      <c r="B60" s="7" t="s">
        <v>79</v>
      </c>
      <c r="C60" s="7" t="s">
        <v>64</v>
      </c>
      <c r="D60" s="8">
        <v>45320</v>
      </c>
      <c r="E60" s="8" t="str">
        <f>TEXT(D60,"mmmm")</f>
        <v>January</v>
      </c>
      <c r="F60">
        <f t="shared" si="2"/>
        <v>2024</v>
      </c>
      <c r="G60">
        <f t="shared" si="0"/>
        <v>1</v>
      </c>
      <c r="H60">
        <f t="shared" si="1"/>
        <v>0</v>
      </c>
      <c r="I60" s="6">
        <v>0.41388888888888886</v>
      </c>
      <c r="J60" s="6">
        <v>0.85</v>
      </c>
      <c r="K60" s="7" t="s">
        <v>20</v>
      </c>
      <c r="L60" s="7" t="s">
        <v>27</v>
      </c>
      <c r="M60" s="7" t="s">
        <v>21</v>
      </c>
      <c r="N60" s="7">
        <f>COUNTIFS(A:A,A60,D:D,D60,E:E,I60)</f>
        <v>0</v>
      </c>
    </row>
    <row r="61" spans="1:14" x14ac:dyDescent="0.3">
      <c r="A61" s="7" t="s">
        <v>154</v>
      </c>
      <c r="B61" s="7" t="s">
        <v>155</v>
      </c>
      <c r="C61" s="7" t="s">
        <v>64</v>
      </c>
      <c r="D61" s="8">
        <v>45325</v>
      </c>
      <c r="E61" s="8" t="str">
        <f>TEXT(D61,"mmmm")</f>
        <v>February</v>
      </c>
      <c r="F61">
        <f t="shared" si="2"/>
        <v>2024</v>
      </c>
      <c r="G61">
        <f t="shared" si="0"/>
        <v>1</v>
      </c>
      <c r="H61">
        <f t="shared" si="1"/>
        <v>1</v>
      </c>
      <c r="I61" s="6">
        <v>0.4152777777777778</v>
      </c>
      <c r="J61" s="6">
        <v>0.80902777777777779</v>
      </c>
      <c r="K61" s="7" t="s">
        <v>26</v>
      </c>
      <c r="L61" s="7" t="s">
        <v>14</v>
      </c>
      <c r="M61" s="7" t="s">
        <v>21</v>
      </c>
      <c r="N61" s="7">
        <f>COUNTIFS(A:A,A61,D:D,D61,E:E,I61)</f>
        <v>0</v>
      </c>
    </row>
    <row r="62" spans="1:14" x14ac:dyDescent="0.3">
      <c r="A62" s="7" t="s">
        <v>154</v>
      </c>
      <c r="B62" s="7" t="s">
        <v>155</v>
      </c>
      <c r="C62" s="7" t="s">
        <v>42</v>
      </c>
      <c r="D62" s="8">
        <v>45505</v>
      </c>
      <c r="E62" s="8" t="str">
        <f>TEXT(D62,"mmmm")</f>
        <v>August</v>
      </c>
      <c r="F62">
        <f t="shared" si="2"/>
        <v>2024</v>
      </c>
      <c r="G62">
        <f t="shared" si="0"/>
        <v>1</v>
      </c>
      <c r="H62">
        <f t="shared" si="1"/>
        <v>0</v>
      </c>
      <c r="I62" s="6">
        <v>0.44583333333333336</v>
      </c>
      <c r="J62" s="6">
        <v>0.84236111111111112</v>
      </c>
      <c r="K62" s="7" t="s">
        <v>13</v>
      </c>
      <c r="L62" s="7" t="s">
        <v>27</v>
      </c>
      <c r="M62" s="7" t="s">
        <v>15</v>
      </c>
      <c r="N62" s="7">
        <f>COUNTIFS(A:A,A62,D:D,D62,E:E,I62)</f>
        <v>0</v>
      </c>
    </row>
    <row r="63" spans="1:14" x14ac:dyDescent="0.3">
      <c r="A63" s="7" t="s">
        <v>90</v>
      </c>
      <c r="B63" s="7" t="s">
        <v>91</v>
      </c>
      <c r="C63" s="7" t="s">
        <v>42</v>
      </c>
      <c r="D63" s="8">
        <v>45445</v>
      </c>
      <c r="E63" s="8" t="str">
        <f>TEXT(D63,"mmmm")</f>
        <v>June</v>
      </c>
      <c r="F63">
        <f t="shared" si="2"/>
        <v>2024</v>
      </c>
      <c r="G63">
        <f t="shared" si="0"/>
        <v>1</v>
      </c>
      <c r="H63">
        <f t="shared" si="1"/>
        <v>0</v>
      </c>
      <c r="I63" s="6">
        <v>0.40763888888888888</v>
      </c>
      <c r="J63" s="6">
        <v>0.7368055555555556</v>
      </c>
      <c r="K63" s="7" t="s">
        <v>20</v>
      </c>
      <c r="L63" s="7" t="s">
        <v>14</v>
      </c>
      <c r="M63" s="7" t="s">
        <v>15</v>
      </c>
      <c r="N63" s="7">
        <f>COUNTIFS(A:A,A63,D:D,D63,E:E,I63)</f>
        <v>0</v>
      </c>
    </row>
    <row r="64" spans="1:14" x14ac:dyDescent="0.3">
      <c r="A64" s="7" t="s">
        <v>119</v>
      </c>
      <c r="B64" s="7" t="s">
        <v>120</v>
      </c>
      <c r="C64" s="7" t="s">
        <v>64</v>
      </c>
      <c r="D64" s="8">
        <v>45506</v>
      </c>
      <c r="E64" s="8" t="str">
        <f>TEXT(D64,"mmmm")</f>
        <v>August</v>
      </c>
      <c r="F64">
        <f t="shared" si="2"/>
        <v>2024</v>
      </c>
      <c r="G64">
        <f t="shared" si="0"/>
        <v>1</v>
      </c>
      <c r="H64">
        <f t="shared" si="1"/>
        <v>1</v>
      </c>
      <c r="I64" s="6">
        <v>0.34652777777777777</v>
      </c>
      <c r="J64" s="6">
        <v>0.81180555555555556</v>
      </c>
      <c r="K64" s="7" t="s">
        <v>26</v>
      </c>
      <c r="L64" s="7" t="s">
        <v>14</v>
      </c>
      <c r="M64" s="7" t="s">
        <v>21</v>
      </c>
      <c r="N64" s="7">
        <f>COUNTIFS(A:A,A64,D:D,D64,E:E,I64)</f>
        <v>0</v>
      </c>
    </row>
    <row r="65" spans="1:14" x14ac:dyDescent="0.3">
      <c r="A65" s="7" t="s">
        <v>119</v>
      </c>
      <c r="B65" s="7" t="s">
        <v>120</v>
      </c>
      <c r="C65" s="7" t="s">
        <v>64</v>
      </c>
      <c r="D65" s="8">
        <v>45365</v>
      </c>
      <c r="E65" s="8" t="str">
        <f>TEXT(D65,"mmmm")</f>
        <v>March</v>
      </c>
      <c r="F65">
        <f t="shared" si="2"/>
        <v>2024</v>
      </c>
      <c r="G65">
        <f t="shared" si="0"/>
        <v>0</v>
      </c>
      <c r="H65">
        <f t="shared" si="1"/>
        <v>0</v>
      </c>
      <c r="I65" s="6"/>
      <c r="J65" s="6"/>
      <c r="K65" s="7" t="s">
        <v>44</v>
      </c>
      <c r="L65" s="7" t="s">
        <v>27</v>
      </c>
      <c r="M65" s="7" t="s">
        <v>21</v>
      </c>
      <c r="N65" s="7">
        <f>COUNTIFS(A:A,A65,D:D,D65,E:E,I65)</f>
        <v>0</v>
      </c>
    </row>
    <row r="66" spans="1:14" x14ac:dyDescent="0.3">
      <c r="A66" s="7" t="s">
        <v>165</v>
      </c>
      <c r="B66" s="7" t="s">
        <v>166</v>
      </c>
      <c r="C66" s="7" t="s">
        <v>42</v>
      </c>
      <c r="D66" s="8">
        <v>45376</v>
      </c>
      <c r="E66" s="8" t="str">
        <f t="shared" ref="E66:E129" si="3">TEXT(D66,"mmmm")</f>
        <v>March</v>
      </c>
      <c r="F66">
        <f t="shared" ref="F66:F129" si="4">YEAR(D66)</f>
        <v>2024</v>
      </c>
      <c r="G66">
        <f t="shared" ref="G66:G129" si="5">IF(LOWER(K66)="absent",0,1)</f>
        <v>1</v>
      </c>
      <c r="H66">
        <f t="shared" ref="H66:H129" si="6">IF(K66="Late",1,0)</f>
        <v>1</v>
      </c>
      <c r="I66" s="6">
        <v>0.49236111111111114</v>
      </c>
      <c r="J66" s="6">
        <v>0.7680555555555556</v>
      </c>
      <c r="K66" s="7" t="s">
        <v>26</v>
      </c>
      <c r="L66" s="7" t="s">
        <v>27</v>
      </c>
      <c r="M66" s="7" t="s">
        <v>15</v>
      </c>
      <c r="N66" s="7">
        <f>COUNTIFS(A:A,A66,D:D,D66,E:E,I66)</f>
        <v>0</v>
      </c>
    </row>
    <row r="67" spans="1:14" x14ac:dyDescent="0.3">
      <c r="A67" s="7" t="s">
        <v>22</v>
      </c>
      <c r="B67" s="7" t="s">
        <v>23</v>
      </c>
      <c r="C67" s="7" t="s">
        <v>426</v>
      </c>
      <c r="D67" s="8">
        <v>45312</v>
      </c>
      <c r="E67" s="8" t="str">
        <f t="shared" si="3"/>
        <v>January</v>
      </c>
      <c r="F67">
        <f t="shared" si="4"/>
        <v>2024</v>
      </c>
      <c r="G67">
        <f t="shared" si="5"/>
        <v>1</v>
      </c>
      <c r="H67">
        <f t="shared" si="6"/>
        <v>0</v>
      </c>
      <c r="I67" s="6">
        <v>0.47708333333333336</v>
      </c>
      <c r="J67" s="6">
        <v>0.68819444444444444</v>
      </c>
      <c r="K67" s="7" t="s">
        <v>20</v>
      </c>
      <c r="L67" s="7" t="s">
        <v>27</v>
      </c>
      <c r="M67" s="7" t="s">
        <v>15</v>
      </c>
      <c r="N67" s="7">
        <f>COUNTIFS(A:A,A67,D:D,D67,E:E,I67)</f>
        <v>0</v>
      </c>
    </row>
    <row r="68" spans="1:14" x14ac:dyDescent="0.3">
      <c r="A68" s="7" t="s">
        <v>171</v>
      </c>
      <c r="B68" s="7" t="s">
        <v>172</v>
      </c>
      <c r="C68" s="7" t="s">
        <v>64</v>
      </c>
      <c r="D68" s="8">
        <v>45355</v>
      </c>
      <c r="E68" s="8" t="str">
        <f t="shared" si="3"/>
        <v>March</v>
      </c>
      <c r="F68">
        <f t="shared" si="4"/>
        <v>2024</v>
      </c>
      <c r="G68">
        <f t="shared" si="5"/>
        <v>0</v>
      </c>
      <c r="H68">
        <f t="shared" si="6"/>
        <v>0</v>
      </c>
      <c r="I68" s="6"/>
      <c r="J68" s="6"/>
      <c r="K68" s="7" t="s">
        <v>44</v>
      </c>
      <c r="L68" s="7" t="s">
        <v>14</v>
      </c>
      <c r="M68" s="7" t="s">
        <v>21</v>
      </c>
      <c r="N68" s="7">
        <f>COUNTIFS(A:A,A68,D:D,D68,E:E,I68)</f>
        <v>0</v>
      </c>
    </row>
    <row r="69" spans="1:14" x14ac:dyDescent="0.3">
      <c r="A69" s="7" t="s">
        <v>93</v>
      </c>
      <c r="B69" s="7" t="s">
        <v>94</v>
      </c>
      <c r="C69" s="7" t="s">
        <v>42</v>
      </c>
      <c r="D69" s="8">
        <v>45538</v>
      </c>
      <c r="E69" s="8" t="str">
        <f t="shared" si="3"/>
        <v>September</v>
      </c>
      <c r="F69">
        <f t="shared" si="4"/>
        <v>2024</v>
      </c>
      <c r="G69">
        <f t="shared" si="5"/>
        <v>1</v>
      </c>
      <c r="H69">
        <f t="shared" si="6"/>
        <v>1</v>
      </c>
      <c r="I69" s="6">
        <v>0.40069444444444446</v>
      </c>
      <c r="J69" s="6">
        <v>0.71527777777777779</v>
      </c>
      <c r="K69" s="7" t="s">
        <v>26</v>
      </c>
      <c r="L69" s="7" t="s">
        <v>27</v>
      </c>
      <c r="M69" s="7" t="s">
        <v>15</v>
      </c>
      <c r="N69" s="7">
        <f>COUNTIFS(A:A,A69,D:D,D69,E:E,I69)</f>
        <v>0</v>
      </c>
    </row>
    <row r="70" spans="1:14" x14ac:dyDescent="0.3">
      <c r="A70" s="7" t="s">
        <v>171</v>
      </c>
      <c r="B70" s="7" t="s">
        <v>172</v>
      </c>
      <c r="C70" s="7" t="s">
        <v>64</v>
      </c>
      <c r="D70" s="8">
        <v>45294</v>
      </c>
      <c r="E70" s="8" t="str">
        <f t="shared" si="3"/>
        <v>January</v>
      </c>
      <c r="F70">
        <f t="shared" si="4"/>
        <v>2024</v>
      </c>
      <c r="G70">
        <f t="shared" si="5"/>
        <v>1</v>
      </c>
      <c r="H70">
        <f t="shared" si="6"/>
        <v>0</v>
      </c>
      <c r="I70" s="6">
        <v>0.41736111111111113</v>
      </c>
      <c r="J70" s="6">
        <v>0.74583333333333335</v>
      </c>
      <c r="K70" s="7" t="s">
        <v>13</v>
      </c>
      <c r="L70" s="7" t="s">
        <v>27</v>
      </c>
      <c r="M70" s="7" t="s">
        <v>21</v>
      </c>
      <c r="N70" s="7">
        <f>COUNTIFS(A:A,A70,D:D,D70,E:E,I70)</f>
        <v>0</v>
      </c>
    </row>
    <row r="71" spans="1:14" x14ac:dyDescent="0.3">
      <c r="A71" s="7" t="s">
        <v>175</v>
      </c>
      <c r="B71" s="7" t="s">
        <v>176</v>
      </c>
      <c r="C71" s="7" t="s">
        <v>60</v>
      </c>
      <c r="D71" s="8">
        <v>45475</v>
      </c>
      <c r="E71" s="8" t="str">
        <f t="shared" si="3"/>
        <v>July</v>
      </c>
      <c r="F71">
        <f t="shared" si="4"/>
        <v>2024</v>
      </c>
      <c r="G71">
        <f t="shared" si="5"/>
        <v>1</v>
      </c>
      <c r="H71">
        <f t="shared" si="6"/>
        <v>0</v>
      </c>
      <c r="I71" s="6">
        <v>0.3527777777777778</v>
      </c>
      <c r="J71" s="6">
        <v>0.81041666666666667</v>
      </c>
      <c r="K71" s="7" t="s">
        <v>20</v>
      </c>
      <c r="L71" s="7" t="s">
        <v>14</v>
      </c>
      <c r="M71" s="7" t="s">
        <v>21</v>
      </c>
      <c r="N71" s="7">
        <f>COUNTIFS(A:A,A71,D:D,D71,E:E,I71)</f>
        <v>0</v>
      </c>
    </row>
    <row r="72" spans="1:14" x14ac:dyDescent="0.3">
      <c r="A72" s="7" t="s">
        <v>138</v>
      </c>
      <c r="B72" s="7" t="s">
        <v>139</v>
      </c>
      <c r="C72" s="7" t="s">
        <v>426</v>
      </c>
      <c r="D72" s="8">
        <v>45355</v>
      </c>
      <c r="E72" s="8" t="str">
        <f t="shared" si="3"/>
        <v>March</v>
      </c>
      <c r="F72">
        <f t="shared" si="4"/>
        <v>2024</v>
      </c>
      <c r="G72">
        <f t="shared" si="5"/>
        <v>1</v>
      </c>
      <c r="H72">
        <f t="shared" si="6"/>
        <v>0</v>
      </c>
      <c r="I72" s="6">
        <v>0.37708333333333333</v>
      </c>
      <c r="J72" s="6">
        <v>0.84236111111111112</v>
      </c>
      <c r="K72" s="7" t="s">
        <v>20</v>
      </c>
      <c r="L72" s="7" t="s">
        <v>14</v>
      </c>
      <c r="M72" s="7" t="s">
        <v>21</v>
      </c>
      <c r="N72" s="7">
        <f>COUNTIFS(A:A,A72,D:D,D72,E:E,I72)</f>
        <v>0</v>
      </c>
    </row>
    <row r="73" spans="1:14" x14ac:dyDescent="0.3">
      <c r="A73" s="7" t="s">
        <v>9</v>
      </c>
      <c r="B73" s="7" t="s">
        <v>10</v>
      </c>
      <c r="C73" s="7" t="s">
        <v>426</v>
      </c>
      <c r="D73" s="8">
        <v>45348</v>
      </c>
      <c r="E73" s="8" t="str">
        <f t="shared" si="3"/>
        <v>February</v>
      </c>
      <c r="F73">
        <f t="shared" si="4"/>
        <v>2024</v>
      </c>
      <c r="G73">
        <f t="shared" si="5"/>
        <v>1</v>
      </c>
      <c r="H73">
        <f t="shared" si="6"/>
        <v>0</v>
      </c>
      <c r="I73" s="6">
        <v>0.49791666666666667</v>
      </c>
      <c r="J73" s="6">
        <v>0.69236111111111109</v>
      </c>
      <c r="K73" s="7" t="s">
        <v>20</v>
      </c>
      <c r="L73" s="7" t="s">
        <v>27</v>
      </c>
      <c r="M73" s="7" t="s">
        <v>21</v>
      </c>
      <c r="N73" s="7">
        <f>COUNTIFS(A:A,A73,D:D,D73,E:E,I73)</f>
        <v>0</v>
      </c>
    </row>
    <row r="74" spans="1:14" x14ac:dyDescent="0.3">
      <c r="A74" s="7" t="s">
        <v>22</v>
      </c>
      <c r="B74" s="7" t="s">
        <v>23</v>
      </c>
      <c r="C74" s="7" t="s">
        <v>64</v>
      </c>
      <c r="D74" s="8">
        <v>45597</v>
      </c>
      <c r="E74" s="8" t="str">
        <f t="shared" si="3"/>
        <v>November</v>
      </c>
      <c r="F74">
        <f t="shared" si="4"/>
        <v>2024</v>
      </c>
      <c r="G74">
        <f t="shared" si="5"/>
        <v>1</v>
      </c>
      <c r="H74">
        <f t="shared" si="6"/>
        <v>0</v>
      </c>
      <c r="I74" s="6">
        <v>0.47430555555555554</v>
      </c>
      <c r="J74" s="6">
        <v>0.72986111111111107</v>
      </c>
      <c r="K74" s="7" t="s">
        <v>20</v>
      </c>
      <c r="L74" s="7" t="s">
        <v>27</v>
      </c>
      <c r="M74" s="7" t="s">
        <v>15</v>
      </c>
      <c r="N74" s="7">
        <f>COUNTIFS(A:A,A74,D:D,D74,E:E,I74)</f>
        <v>0</v>
      </c>
    </row>
    <row r="75" spans="1:14" x14ac:dyDescent="0.3">
      <c r="A75" s="7" t="s">
        <v>45</v>
      </c>
      <c r="B75" s="7" t="s">
        <v>46</v>
      </c>
      <c r="C75" s="7" t="s">
        <v>425</v>
      </c>
      <c r="D75" s="8">
        <v>45378</v>
      </c>
      <c r="E75" s="8" t="str">
        <f t="shared" si="3"/>
        <v>March</v>
      </c>
      <c r="F75">
        <f t="shared" si="4"/>
        <v>2024</v>
      </c>
      <c r="G75">
        <f t="shared" si="5"/>
        <v>1</v>
      </c>
      <c r="H75">
        <f t="shared" si="6"/>
        <v>1</v>
      </c>
      <c r="I75" s="6">
        <v>0.33750000000000002</v>
      </c>
      <c r="J75" s="6">
        <v>0.86388888888888893</v>
      </c>
      <c r="K75" s="7" t="s">
        <v>26</v>
      </c>
      <c r="L75" s="7" t="s">
        <v>27</v>
      </c>
      <c r="M75" s="7" t="s">
        <v>21</v>
      </c>
      <c r="N75" s="7">
        <f>COUNTIFS(A:A,A75,D:D,D75,E:E,I75)</f>
        <v>0</v>
      </c>
    </row>
    <row r="76" spans="1:14" x14ac:dyDescent="0.3">
      <c r="A76" s="7" t="s">
        <v>84</v>
      </c>
      <c r="B76" s="7" t="s">
        <v>85</v>
      </c>
      <c r="C76" s="7" t="s">
        <v>64</v>
      </c>
      <c r="D76" s="8">
        <v>45346</v>
      </c>
      <c r="E76" s="8" t="str">
        <f t="shared" si="3"/>
        <v>February</v>
      </c>
      <c r="F76">
        <f t="shared" si="4"/>
        <v>2024</v>
      </c>
      <c r="G76">
        <f t="shared" si="5"/>
        <v>1</v>
      </c>
      <c r="H76">
        <f t="shared" si="6"/>
        <v>1</v>
      </c>
      <c r="I76" s="6">
        <v>0.35</v>
      </c>
      <c r="J76" s="6">
        <v>0.85277777777777775</v>
      </c>
      <c r="K76" s="7" t="s">
        <v>26</v>
      </c>
      <c r="L76" s="7" t="s">
        <v>27</v>
      </c>
      <c r="M76" s="7" t="s">
        <v>21</v>
      </c>
      <c r="N76" s="7">
        <f>COUNTIFS(A:A,A76,D:D,D76,E:E,I76)</f>
        <v>0</v>
      </c>
    </row>
    <row r="77" spans="1:14" x14ac:dyDescent="0.3">
      <c r="A77" s="7" t="s">
        <v>138</v>
      </c>
      <c r="B77" s="7" t="s">
        <v>139</v>
      </c>
      <c r="C77" s="7" t="s">
        <v>64</v>
      </c>
      <c r="D77" s="8">
        <v>45306</v>
      </c>
      <c r="E77" s="8" t="str">
        <f t="shared" si="3"/>
        <v>January</v>
      </c>
      <c r="F77">
        <f t="shared" si="4"/>
        <v>2024</v>
      </c>
      <c r="G77">
        <f t="shared" si="5"/>
        <v>0</v>
      </c>
      <c r="H77">
        <f t="shared" si="6"/>
        <v>0</v>
      </c>
      <c r="I77" s="6"/>
      <c r="J77" s="6"/>
      <c r="K77" s="7" t="s">
        <v>44</v>
      </c>
      <c r="L77" s="7" t="s">
        <v>27</v>
      </c>
      <c r="M77" s="7" t="s">
        <v>21</v>
      </c>
      <c r="N77" s="7">
        <f>COUNTIFS(A:A,A77,D:D,D77,E:E,I77)</f>
        <v>0</v>
      </c>
    </row>
    <row r="78" spans="1:14" x14ac:dyDescent="0.3">
      <c r="A78" s="7" t="s">
        <v>102</v>
      </c>
      <c r="B78" s="7" t="s">
        <v>103</v>
      </c>
      <c r="C78" s="7" t="s">
        <v>426</v>
      </c>
      <c r="D78" s="8">
        <v>45293</v>
      </c>
      <c r="E78" s="8" t="str">
        <f t="shared" si="3"/>
        <v>January</v>
      </c>
      <c r="F78">
        <f t="shared" si="4"/>
        <v>2024</v>
      </c>
      <c r="G78">
        <f t="shared" si="5"/>
        <v>1</v>
      </c>
      <c r="H78">
        <f t="shared" si="6"/>
        <v>0</v>
      </c>
      <c r="I78" s="6">
        <v>0.34861111111111109</v>
      </c>
      <c r="J78" s="6">
        <v>0.8354166666666667</v>
      </c>
      <c r="K78" s="7" t="s">
        <v>20</v>
      </c>
      <c r="L78" s="7" t="s">
        <v>14</v>
      </c>
      <c r="M78" s="7" t="s">
        <v>15</v>
      </c>
      <c r="N78" s="7">
        <f>COUNTIFS(A:A,A78,D:D,D78,E:E,I78)</f>
        <v>0</v>
      </c>
    </row>
    <row r="79" spans="1:14" x14ac:dyDescent="0.3">
      <c r="A79" s="7" t="s">
        <v>66</v>
      </c>
      <c r="B79" s="7" t="s">
        <v>67</v>
      </c>
      <c r="C79" s="7" t="s">
        <v>64</v>
      </c>
      <c r="D79" s="8">
        <v>45380</v>
      </c>
      <c r="E79" s="8" t="str">
        <f t="shared" si="3"/>
        <v>March</v>
      </c>
      <c r="F79">
        <f t="shared" si="4"/>
        <v>2024</v>
      </c>
      <c r="G79">
        <f t="shared" si="5"/>
        <v>0</v>
      </c>
      <c r="H79">
        <f t="shared" si="6"/>
        <v>0</v>
      </c>
      <c r="I79" s="6"/>
      <c r="J79" s="6"/>
      <c r="K79" s="7" t="s">
        <v>44</v>
      </c>
      <c r="L79" s="7" t="s">
        <v>14</v>
      </c>
      <c r="M79" s="7" t="s">
        <v>21</v>
      </c>
      <c r="N79" s="7">
        <f>COUNTIFS(A:A,A79,D:D,D79,E:E,I79)</f>
        <v>0</v>
      </c>
    </row>
    <row r="80" spans="1:14" x14ac:dyDescent="0.3">
      <c r="A80" s="7" t="s">
        <v>130</v>
      </c>
      <c r="B80" s="7" t="s">
        <v>131</v>
      </c>
      <c r="C80" s="7" t="s">
        <v>42</v>
      </c>
      <c r="D80" s="8">
        <v>45297</v>
      </c>
      <c r="E80" s="8" t="str">
        <f t="shared" si="3"/>
        <v>January</v>
      </c>
      <c r="F80">
        <f t="shared" si="4"/>
        <v>2024</v>
      </c>
      <c r="G80">
        <f t="shared" si="5"/>
        <v>1</v>
      </c>
      <c r="H80">
        <f t="shared" si="6"/>
        <v>1</v>
      </c>
      <c r="I80" s="6">
        <v>0.41041666666666665</v>
      </c>
      <c r="J80" s="6">
        <v>0.86319444444444449</v>
      </c>
      <c r="K80" s="7" t="s">
        <v>26</v>
      </c>
      <c r="L80" s="7" t="s">
        <v>14</v>
      </c>
      <c r="M80" s="7" t="s">
        <v>15</v>
      </c>
      <c r="N80" s="7">
        <f>COUNTIFS(A:A,A80,D:D,D80,E:E,I80)</f>
        <v>0</v>
      </c>
    </row>
    <row r="81" spans="1:14" x14ac:dyDescent="0.3">
      <c r="A81" s="7" t="s">
        <v>62</v>
      </c>
      <c r="B81" s="7" t="s">
        <v>63</v>
      </c>
      <c r="C81" s="7" t="s">
        <v>425</v>
      </c>
      <c r="D81" s="8">
        <v>45301</v>
      </c>
      <c r="E81" s="8" t="str">
        <f t="shared" si="3"/>
        <v>January</v>
      </c>
      <c r="F81">
        <f t="shared" si="4"/>
        <v>2024</v>
      </c>
      <c r="G81">
        <f t="shared" si="5"/>
        <v>1</v>
      </c>
      <c r="H81">
        <f t="shared" si="6"/>
        <v>0</v>
      </c>
      <c r="I81" s="6">
        <v>0.33750000000000002</v>
      </c>
      <c r="J81" s="6">
        <v>0.81805555555555554</v>
      </c>
      <c r="K81" s="7" t="s">
        <v>20</v>
      </c>
      <c r="L81" s="7" t="s">
        <v>14</v>
      </c>
      <c r="M81" s="7" t="s">
        <v>15</v>
      </c>
      <c r="N81" s="7">
        <f>COUNTIFS(A:A,A81,D:D,D81,E:E,I81)</f>
        <v>0</v>
      </c>
    </row>
    <row r="82" spans="1:14" x14ac:dyDescent="0.3">
      <c r="A82" s="7" t="s">
        <v>187</v>
      </c>
      <c r="B82" s="7" t="s">
        <v>188</v>
      </c>
      <c r="C82" s="7" t="s">
        <v>426</v>
      </c>
      <c r="D82" s="8">
        <v>45292</v>
      </c>
      <c r="E82" s="8" t="str">
        <f t="shared" si="3"/>
        <v>January</v>
      </c>
      <c r="F82">
        <f t="shared" si="4"/>
        <v>2024</v>
      </c>
      <c r="G82">
        <f t="shared" si="5"/>
        <v>0</v>
      </c>
      <c r="H82">
        <f t="shared" si="6"/>
        <v>0</v>
      </c>
      <c r="I82" s="6"/>
      <c r="J82" s="6"/>
      <c r="K82" s="7" t="s">
        <v>44</v>
      </c>
      <c r="L82" s="7" t="s">
        <v>14</v>
      </c>
      <c r="M82" s="7" t="s">
        <v>21</v>
      </c>
      <c r="N82" s="7">
        <f>COUNTIFS(A:A,A82,D:D,D82,E:E,I82)</f>
        <v>0</v>
      </c>
    </row>
    <row r="83" spans="1:14" x14ac:dyDescent="0.3">
      <c r="A83" s="7" t="s">
        <v>138</v>
      </c>
      <c r="B83" s="7" t="s">
        <v>139</v>
      </c>
      <c r="C83" s="7" t="s">
        <v>60</v>
      </c>
      <c r="D83" s="8">
        <v>45314</v>
      </c>
      <c r="E83" s="8" t="str">
        <f t="shared" si="3"/>
        <v>January</v>
      </c>
      <c r="F83">
        <f t="shared" si="4"/>
        <v>2024</v>
      </c>
      <c r="G83">
        <f t="shared" si="5"/>
        <v>1</v>
      </c>
      <c r="H83">
        <f t="shared" si="6"/>
        <v>0</v>
      </c>
      <c r="I83" s="6">
        <v>0.48680555555555555</v>
      </c>
      <c r="J83" s="6">
        <v>0.79027777777777775</v>
      </c>
      <c r="K83" s="7" t="s">
        <v>13</v>
      </c>
      <c r="L83" s="7" t="s">
        <v>27</v>
      </c>
      <c r="M83" s="7" t="s">
        <v>15</v>
      </c>
      <c r="N83" s="7">
        <f>COUNTIFS(A:A,A83,D:D,D83,E:E,I83)</f>
        <v>0</v>
      </c>
    </row>
    <row r="84" spans="1:14" x14ac:dyDescent="0.3">
      <c r="A84" s="7" t="s">
        <v>48</v>
      </c>
      <c r="B84" s="7" t="s">
        <v>49</v>
      </c>
      <c r="C84" s="7" t="s">
        <v>64</v>
      </c>
      <c r="D84" s="8">
        <v>45363</v>
      </c>
      <c r="E84" s="8" t="str">
        <f t="shared" si="3"/>
        <v>March</v>
      </c>
      <c r="F84">
        <f t="shared" si="4"/>
        <v>2024</v>
      </c>
      <c r="G84">
        <f t="shared" si="5"/>
        <v>1</v>
      </c>
      <c r="H84">
        <f t="shared" si="6"/>
        <v>1</v>
      </c>
      <c r="I84" s="6">
        <v>0.34166666666666667</v>
      </c>
      <c r="J84" s="6">
        <v>0.86597222222222225</v>
      </c>
      <c r="K84" s="7" t="s">
        <v>26</v>
      </c>
      <c r="L84" s="7" t="s">
        <v>14</v>
      </c>
      <c r="M84" s="7" t="s">
        <v>21</v>
      </c>
      <c r="N84" s="7">
        <f>COUNTIFS(A:A,A84,D:D,D84,E:E,I84)</f>
        <v>0</v>
      </c>
    </row>
    <row r="85" spans="1:14" x14ac:dyDescent="0.3">
      <c r="A85" s="7" t="s">
        <v>191</v>
      </c>
      <c r="B85" s="7" t="s">
        <v>192</v>
      </c>
      <c r="C85" s="7" t="s">
        <v>426</v>
      </c>
      <c r="D85" s="8">
        <v>45598</v>
      </c>
      <c r="E85" s="8" t="str">
        <f t="shared" si="3"/>
        <v>November</v>
      </c>
      <c r="F85">
        <f t="shared" si="4"/>
        <v>2024</v>
      </c>
      <c r="G85">
        <f t="shared" si="5"/>
        <v>0</v>
      </c>
      <c r="H85">
        <f t="shared" si="6"/>
        <v>0</v>
      </c>
      <c r="I85" s="6"/>
      <c r="J85" s="6"/>
      <c r="K85" s="7" t="s">
        <v>44</v>
      </c>
      <c r="L85" s="7" t="s">
        <v>27</v>
      </c>
      <c r="M85" s="7" t="s">
        <v>15</v>
      </c>
      <c r="N85" s="7">
        <f>COUNTIFS(A:A,A85,D:D,D85,E:E,I85)</f>
        <v>0</v>
      </c>
    </row>
    <row r="86" spans="1:14" x14ac:dyDescent="0.3">
      <c r="A86" s="7" t="s">
        <v>45</v>
      </c>
      <c r="B86" s="7" t="s">
        <v>46</v>
      </c>
      <c r="C86" s="7" t="s">
        <v>60</v>
      </c>
      <c r="D86" s="8">
        <v>45365</v>
      </c>
      <c r="E86" s="8" t="str">
        <f t="shared" si="3"/>
        <v>March</v>
      </c>
      <c r="F86">
        <f t="shared" si="4"/>
        <v>2024</v>
      </c>
      <c r="G86">
        <f t="shared" si="5"/>
        <v>1</v>
      </c>
      <c r="H86">
        <f t="shared" si="6"/>
        <v>0</v>
      </c>
      <c r="I86" s="6">
        <v>0.40694444444444444</v>
      </c>
      <c r="J86" s="6">
        <v>0.79027777777777775</v>
      </c>
      <c r="K86" s="7" t="s">
        <v>13</v>
      </c>
      <c r="L86" s="7" t="s">
        <v>14</v>
      </c>
      <c r="M86" s="7" t="s">
        <v>21</v>
      </c>
      <c r="N86" s="7">
        <f>COUNTIFS(A:A,A86,D:D,D86,E:E,I86)</f>
        <v>0</v>
      </c>
    </row>
    <row r="87" spans="1:14" x14ac:dyDescent="0.3">
      <c r="A87" s="7" t="s">
        <v>194</v>
      </c>
      <c r="B87" s="7" t="s">
        <v>195</v>
      </c>
      <c r="C87" s="7" t="s">
        <v>425</v>
      </c>
      <c r="D87" s="8">
        <v>45307</v>
      </c>
      <c r="E87" s="8" t="str">
        <f t="shared" si="3"/>
        <v>January</v>
      </c>
      <c r="F87">
        <f t="shared" si="4"/>
        <v>2024</v>
      </c>
      <c r="G87">
        <f t="shared" si="5"/>
        <v>0</v>
      </c>
      <c r="H87">
        <f t="shared" si="6"/>
        <v>0</v>
      </c>
      <c r="I87" s="6"/>
      <c r="J87" s="6"/>
      <c r="K87" s="7" t="s">
        <v>44</v>
      </c>
      <c r="L87" s="7" t="s">
        <v>27</v>
      </c>
      <c r="M87" s="7" t="s">
        <v>15</v>
      </c>
      <c r="N87" s="7">
        <f>COUNTIFS(A:A,A87,D:D,D87,E:E,I87)</f>
        <v>0</v>
      </c>
    </row>
    <row r="88" spans="1:14" x14ac:dyDescent="0.3">
      <c r="A88" s="7" t="s">
        <v>90</v>
      </c>
      <c r="B88" s="7" t="s">
        <v>91</v>
      </c>
      <c r="C88" s="7" t="s">
        <v>426</v>
      </c>
      <c r="D88" s="8">
        <v>45380</v>
      </c>
      <c r="E88" s="8" t="str">
        <f t="shared" si="3"/>
        <v>March</v>
      </c>
      <c r="F88">
        <f t="shared" si="4"/>
        <v>2024</v>
      </c>
      <c r="G88">
        <f t="shared" si="5"/>
        <v>1</v>
      </c>
      <c r="H88">
        <f t="shared" si="6"/>
        <v>0</v>
      </c>
      <c r="I88" s="6">
        <v>0.34305555555555556</v>
      </c>
      <c r="J88" s="6">
        <v>0.78125</v>
      </c>
      <c r="K88" s="7" t="s">
        <v>13</v>
      </c>
      <c r="L88" s="7" t="s">
        <v>14</v>
      </c>
      <c r="M88" s="7" t="s">
        <v>21</v>
      </c>
      <c r="N88" s="7">
        <f>COUNTIFS(A:A,A88,D:D,D88,E:E,I88)</f>
        <v>0</v>
      </c>
    </row>
    <row r="89" spans="1:14" x14ac:dyDescent="0.3">
      <c r="A89" s="7" t="s">
        <v>197</v>
      </c>
      <c r="B89" s="7" t="s">
        <v>198</v>
      </c>
      <c r="C89" s="7" t="s">
        <v>64</v>
      </c>
      <c r="D89" s="8">
        <v>45331</v>
      </c>
      <c r="E89" s="8" t="str">
        <f t="shared" si="3"/>
        <v>February</v>
      </c>
      <c r="F89">
        <f t="shared" si="4"/>
        <v>2024</v>
      </c>
      <c r="G89">
        <f t="shared" si="5"/>
        <v>0</v>
      </c>
      <c r="H89">
        <f t="shared" si="6"/>
        <v>0</v>
      </c>
      <c r="I89" s="6"/>
      <c r="J89" s="6"/>
      <c r="K89" s="7" t="s">
        <v>44</v>
      </c>
      <c r="L89" s="7" t="s">
        <v>14</v>
      </c>
      <c r="M89" s="7" t="s">
        <v>15</v>
      </c>
      <c r="N89" s="7">
        <f>COUNTIFS(A:A,A89,D:D,D89,E:E,I89)</f>
        <v>0</v>
      </c>
    </row>
    <row r="90" spans="1:14" x14ac:dyDescent="0.3">
      <c r="A90" s="7" t="s">
        <v>40</v>
      </c>
      <c r="B90" s="7" t="s">
        <v>41</v>
      </c>
      <c r="C90" s="7" t="s">
        <v>425</v>
      </c>
      <c r="D90" s="8">
        <v>45344</v>
      </c>
      <c r="E90" s="8" t="str">
        <f t="shared" si="3"/>
        <v>February</v>
      </c>
      <c r="F90">
        <f t="shared" si="4"/>
        <v>2024</v>
      </c>
      <c r="G90">
        <f t="shared" si="5"/>
        <v>1</v>
      </c>
      <c r="H90">
        <f t="shared" si="6"/>
        <v>0</v>
      </c>
      <c r="I90" s="6">
        <v>0.35347222222222224</v>
      </c>
      <c r="J90" s="6">
        <v>0.7993055555555556</v>
      </c>
      <c r="K90" s="7" t="s">
        <v>13</v>
      </c>
      <c r="L90" s="7" t="s">
        <v>14</v>
      </c>
      <c r="M90" s="7" t="s">
        <v>21</v>
      </c>
      <c r="N90" s="7">
        <f>COUNTIFS(A:A,A90,D:D,D90,E:E,I90)</f>
        <v>0</v>
      </c>
    </row>
    <row r="91" spans="1:14" x14ac:dyDescent="0.3">
      <c r="A91" s="7" t="s">
        <v>200</v>
      </c>
      <c r="B91" s="7" t="s">
        <v>201</v>
      </c>
      <c r="C91" s="7" t="s">
        <v>42</v>
      </c>
      <c r="D91" s="8">
        <v>45325</v>
      </c>
      <c r="E91" s="8" t="str">
        <f t="shared" si="3"/>
        <v>February</v>
      </c>
      <c r="F91">
        <f t="shared" si="4"/>
        <v>2024</v>
      </c>
      <c r="G91">
        <f t="shared" si="5"/>
        <v>1</v>
      </c>
      <c r="H91">
        <f t="shared" si="6"/>
        <v>1</v>
      </c>
      <c r="I91" s="6">
        <v>0.45902777777777776</v>
      </c>
      <c r="J91" s="6">
        <v>0.75486111111111109</v>
      </c>
      <c r="K91" s="7" t="s">
        <v>26</v>
      </c>
      <c r="L91" s="7" t="s">
        <v>14</v>
      </c>
      <c r="M91" s="7" t="s">
        <v>15</v>
      </c>
      <c r="N91" s="7">
        <f>COUNTIFS(A:A,A91,D:D,D91,E:E,I91)</f>
        <v>0</v>
      </c>
    </row>
    <row r="92" spans="1:14" x14ac:dyDescent="0.3">
      <c r="A92" s="7" t="s">
        <v>78</v>
      </c>
      <c r="B92" s="7" t="s">
        <v>79</v>
      </c>
      <c r="C92" s="7" t="s">
        <v>64</v>
      </c>
      <c r="D92" s="8">
        <v>45327</v>
      </c>
      <c r="E92" s="8" t="str">
        <f t="shared" si="3"/>
        <v>February</v>
      </c>
      <c r="F92">
        <f t="shared" si="4"/>
        <v>2024</v>
      </c>
      <c r="G92">
        <f t="shared" si="5"/>
        <v>0</v>
      </c>
      <c r="H92">
        <f t="shared" si="6"/>
        <v>0</v>
      </c>
      <c r="I92" s="6"/>
      <c r="J92" s="6"/>
      <c r="K92" s="7" t="s">
        <v>44</v>
      </c>
      <c r="L92" s="7" t="s">
        <v>27</v>
      </c>
      <c r="M92" s="7" t="s">
        <v>15</v>
      </c>
      <c r="N92" s="7">
        <f>COUNTIFS(A:A,A92,D:D,D92,E:E,I92)</f>
        <v>0</v>
      </c>
    </row>
    <row r="93" spans="1:14" x14ac:dyDescent="0.3">
      <c r="A93" s="7" t="s">
        <v>48</v>
      </c>
      <c r="B93" s="7" t="s">
        <v>49</v>
      </c>
      <c r="C93" s="7" t="s">
        <v>60</v>
      </c>
      <c r="D93" s="8">
        <v>45325</v>
      </c>
      <c r="E93" s="8" t="str">
        <f t="shared" si="3"/>
        <v>February</v>
      </c>
      <c r="F93">
        <f t="shared" si="4"/>
        <v>2024</v>
      </c>
      <c r="G93">
        <f t="shared" si="5"/>
        <v>1</v>
      </c>
      <c r="H93">
        <f t="shared" si="6"/>
        <v>0</v>
      </c>
      <c r="I93" s="6">
        <v>0.36458333333333331</v>
      </c>
      <c r="J93" s="6">
        <v>0.82777777777777772</v>
      </c>
      <c r="K93" s="7" t="s">
        <v>20</v>
      </c>
      <c r="L93" s="7" t="s">
        <v>14</v>
      </c>
      <c r="M93" s="7" t="s">
        <v>21</v>
      </c>
      <c r="N93" s="7">
        <f>COUNTIFS(A:A,A93,D:D,D93,E:E,I93)</f>
        <v>0</v>
      </c>
    </row>
    <row r="94" spans="1:14" x14ac:dyDescent="0.3">
      <c r="A94" s="7" t="s">
        <v>72</v>
      </c>
      <c r="B94" s="7" t="s">
        <v>73</v>
      </c>
      <c r="C94" s="7" t="s">
        <v>426</v>
      </c>
      <c r="D94" s="8">
        <v>45301</v>
      </c>
      <c r="E94" s="8" t="str">
        <f t="shared" si="3"/>
        <v>January</v>
      </c>
      <c r="F94">
        <f t="shared" si="4"/>
        <v>2024</v>
      </c>
      <c r="G94">
        <f t="shared" si="5"/>
        <v>1</v>
      </c>
      <c r="H94">
        <f t="shared" si="6"/>
        <v>0</v>
      </c>
      <c r="I94" s="6">
        <v>0.38055555555555554</v>
      </c>
      <c r="J94" s="6">
        <v>0.6694444444444444</v>
      </c>
      <c r="K94" s="7" t="s">
        <v>13</v>
      </c>
      <c r="L94" s="7" t="s">
        <v>27</v>
      </c>
      <c r="M94" s="7" t="s">
        <v>21</v>
      </c>
      <c r="N94" s="7">
        <f>COUNTIFS(A:A,A94,D:D,D94,E:E,I94)</f>
        <v>0</v>
      </c>
    </row>
    <row r="95" spans="1:14" x14ac:dyDescent="0.3">
      <c r="A95" s="7" t="s">
        <v>204</v>
      </c>
      <c r="B95" s="7" t="s">
        <v>205</v>
      </c>
      <c r="C95" s="7" t="s">
        <v>60</v>
      </c>
      <c r="D95" s="8">
        <v>45537</v>
      </c>
      <c r="E95" s="8" t="str">
        <f t="shared" si="3"/>
        <v>September</v>
      </c>
      <c r="F95">
        <f t="shared" si="4"/>
        <v>2024</v>
      </c>
      <c r="G95">
        <f t="shared" si="5"/>
        <v>0</v>
      </c>
      <c r="H95">
        <f t="shared" si="6"/>
        <v>0</v>
      </c>
      <c r="I95" s="6"/>
      <c r="J95" s="6"/>
      <c r="K95" s="7" t="s">
        <v>44</v>
      </c>
      <c r="L95" s="7" t="s">
        <v>14</v>
      </c>
      <c r="M95" s="7" t="s">
        <v>21</v>
      </c>
      <c r="N95" s="7">
        <f>COUNTIFS(A:A,A95,D:D,D95,E:E,I95)</f>
        <v>0</v>
      </c>
    </row>
    <row r="96" spans="1:14" x14ac:dyDescent="0.3">
      <c r="A96" s="7" t="s">
        <v>31</v>
      </c>
      <c r="B96" s="7" t="s">
        <v>32</v>
      </c>
      <c r="C96" s="7" t="s">
        <v>64</v>
      </c>
      <c r="D96" s="8">
        <v>45296</v>
      </c>
      <c r="E96" s="8" t="str">
        <f t="shared" si="3"/>
        <v>January</v>
      </c>
      <c r="F96">
        <f t="shared" si="4"/>
        <v>2024</v>
      </c>
      <c r="G96">
        <f t="shared" si="5"/>
        <v>1</v>
      </c>
      <c r="H96">
        <f t="shared" si="6"/>
        <v>0</v>
      </c>
      <c r="I96" s="6">
        <v>0.46041666666666664</v>
      </c>
      <c r="J96" s="6">
        <v>0.8</v>
      </c>
      <c r="K96" s="7" t="s">
        <v>20</v>
      </c>
      <c r="L96" s="7" t="s">
        <v>27</v>
      </c>
      <c r="M96" s="7" t="s">
        <v>21</v>
      </c>
      <c r="N96" s="7">
        <f>COUNTIFS(A:A,A96,D:D,D96,E:E,I96)</f>
        <v>0</v>
      </c>
    </row>
    <row r="97" spans="1:14" x14ac:dyDescent="0.3">
      <c r="A97" s="7" t="s">
        <v>90</v>
      </c>
      <c r="B97" s="7" t="s">
        <v>91</v>
      </c>
      <c r="C97" s="7" t="s">
        <v>426</v>
      </c>
      <c r="D97" s="8">
        <v>45347</v>
      </c>
      <c r="E97" s="8" t="str">
        <f t="shared" si="3"/>
        <v>February</v>
      </c>
      <c r="F97">
        <f t="shared" si="4"/>
        <v>2024</v>
      </c>
      <c r="G97">
        <f t="shared" si="5"/>
        <v>0</v>
      </c>
      <c r="H97">
        <f t="shared" si="6"/>
        <v>0</v>
      </c>
      <c r="I97" s="6"/>
      <c r="J97" s="6"/>
      <c r="K97" s="7" t="s">
        <v>44</v>
      </c>
      <c r="L97" s="7" t="s">
        <v>27</v>
      </c>
      <c r="M97" s="7" t="s">
        <v>15</v>
      </c>
      <c r="N97" s="7">
        <f>COUNTIFS(A:A,A97,D:D,D97,E:E,I97)</f>
        <v>0</v>
      </c>
    </row>
    <row r="98" spans="1:14" x14ac:dyDescent="0.3">
      <c r="A98" s="7" t="s">
        <v>16</v>
      </c>
      <c r="B98" s="7" t="s">
        <v>17</v>
      </c>
      <c r="C98" s="7" t="s">
        <v>426</v>
      </c>
      <c r="D98" s="8">
        <v>45330</v>
      </c>
      <c r="E98" s="8" t="str">
        <f t="shared" si="3"/>
        <v>February</v>
      </c>
      <c r="F98">
        <f t="shared" si="4"/>
        <v>2024</v>
      </c>
      <c r="G98">
        <f t="shared" si="5"/>
        <v>0</v>
      </c>
      <c r="H98">
        <f t="shared" si="6"/>
        <v>0</v>
      </c>
      <c r="I98" s="6"/>
      <c r="J98" s="6"/>
      <c r="K98" s="7" t="s">
        <v>44</v>
      </c>
      <c r="L98" s="7" t="s">
        <v>14</v>
      </c>
      <c r="M98" s="7" t="s">
        <v>15</v>
      </c>
      <c r="N98" s="7">
        <f>COUNTIFS(A:A,A98,D:D,D98,E:E,I98)</f>
        <v>0</v>
      </c>
    </row>
    <row r="99" spans="1:14" x14ac:dyDescent="0.3">
      <c r="A99" s="7" t="s">
        <v>52</v>
      </c>
      <c r="B99" s="7" t="s">
        <v>53</v>
      </c>
      <c r="C99" s="7" t="s">
        <v>42</v>
      </c>
      <c r="D99" s="8">
        <v>45360</v>
      </c>
      <c r="E99" s="8" t="str">
        <f t="shared" si="3"/>
        <v>March</v>
      </c>
      <c r="F99">
        <f t="shared" si="4"/>
        <v>2024</v>
      </c>
      <c r="G99">
        <f t="shared" si="5"/>
        <v>1</v>
      </c>
      <c r="H99">
        <f t="shared" si="6"/>
        <v>1</v>
      </c>
      <c r="I99" s="6">
        <v>0.35486111111111113</v>
      </c>
      <c r="J99" s="6">
        <v>0.75277777777777777</v>
      </c>
      <c r="K99" s="7" t="s">
        <v>26</v>
      </c>
      <c r="L99" s="7" t="s">
        <v>14</v>
      </c>
      <c r="M99" s="7" t="s">
        <v>15</v>
      </c>
      <c r="N99" s="7">
        <f>COUNTIFS(A:A,A99,D:D,D99,E:E,I99)</f>
        <v>0</v>
      </c>
    </row>
    <row r="100" spans="1:14" x14ac:dyDescent="0.3">
      <c r="A100" s="7" t="s">
        <v>187</v>
      </c>
      <c r="B100" s="7" t="s">
        <v>188</v>
      </c>
      <c r="C100" s="7" t="s">
        <v>42</v>
      </c>
      <c r="D100" s="8">
        <v>45567</v>
      </c>
      <c r="E100" s="8" t="str">
        <f t="shared" si="3"/>
        <v>October</v>
      </c>
      <c r="F100">
        <f t="shared" si="4"/>
        <v>2024</v>
      </c>
      <c r="G100">
        <f t="shared" si="5"/>
        <v>0</v>
      </c>
      <c r="H100">
        <f t="shared" si="6"/>
        <v>0</v>
      </c>
      <c r="I100" s="6"/>
      <c r="J100" s="6"/>
      <c r="K100" s="7" t="s">
        <v>44</v>
      </c>
      <c r="L100" s="7" t="s">
        <v>27</v>
      </c>
      <c r="M100" s="7" t="s">
        <v>21</v>
      </c>
      <c r="N100" s="7">
        <f>COUNTIFS(A:A,A100,D:D,D100,E:E,I100)</f>
        <v>0</v>
      </c>
    </row>
    <row r="101" spans="1:14" x14ac:dyDescent="0.3">
      <c r="A101" s="7" t="s">
        <v>99</v>
      </c>
      <c r="B101" s="7" t="s">
        <v>100</v>
      </c>
      <c r="C101" s="7" t="s">
        <v>64</v>
      </c>
      <c r="D101" s="8">
        <v>45538</v>
      </c>
      <c r="E101" s="8" t="str">
        <f t="shared" si="3"/>
        <v>September</v>
      </c>
      <c r="F101">
        <f t="shared" si="4"/>
        <v>2024</v>
      </c>
      <c r="G101">
        <f t="shared" si="5"/>
        <v>0</v>
      </c>
      <c r="H101">
        <f t="shared" si="6"/>
        <v>0</v>
      </c>
      <c r="I101" s="6"/>
      <c r="J101" s="6"/>
      <c r="K101" s="7" t="s">
        <v>44</v>
      </c>
      <c r="L101" s="7" t="s">
        <v>14</v>
      </c>
      <c r="M101" s="7" t="s">
        <v>15</v>
      </c>
      <c r="N101" s="7">
        <f>COUNTIFS(A:A,A101,D:D,D101,E:E,I101)</f>
        <v>0</v>
      </c>
    </row>
    <row r="102" spans="1:14" x14ac:dyDescent="0.3">
      <c r="A102" s="7" t="s">
        <v>115</v>
      </c>
      <c r="B102" s="7" t="s">
        <v>116</v>
      </c>
      <c r="C102" s="7" t="s">
        <v>426</v>
      </c>
      <c r="D102" s="8">
        <v>45381</v>
      </c>
      <c r="E102" s="8" t="str">
        <f t="shared" si="3"/>
        <v>March</v>
      </c>
      <c r="F102">
        <f t="shared" si="4"/>
        <v>2024</v>
      </c>
      <c r="G102">
        <f t="shared" si="5"/>
        <v>1</v>
      </c>
      <c r="H102">
        <f t="shared" si="6"/>
        <v>1</v>
      </c>
      <c r="I102" s="6">
        <v>0.4152777777777778</v>
      </c>
      <c r="J102" s="6">
        <v>0.73888888888888893</v>
      </c>
      <c r="K102" s="7" t="s">
        <v>26</v>
      </c>
      <c r="L102" s="7" t="s">
        <v>14</v>
      </c>
      <c r="M102" s="7" t="s">
        <v>15</v>
      </c>
      <c r="N102" s="7">
        <f>COUNTIFS(A:A,A102,D:D,D102,E:E,I102)</f>
        <v>0</v>
      </c>
    </row>
    <row r="103" spans="1:14" x14ac:dyDescent="0.3">
      <c r="A103" s="7" t="s">
        <v>58</v>
      </c>
      <c r="B103" s="7" t="s">
        <v>59</v>
      </c>
      <c r="C103" s="7" t="s">
        <v>426</v>
      </c>
      <c r="D103" s="8">
        <v>45302</v>
      </c>
      <c r="E103" s="8" t="str">
        <f t="shared" si="3"/>
        <v>January</v>
      </c>
      <c r="F103">
        <f t="shared" si="4"/>
        <v>2024</v>
      </c>
      <c r="G103">
        <f t="shared" si="5"/>
        <v>1</v>
      </c>
      <c r="H103">
        <f t="shared" si="6"/>
        <v>0</v>
      </c>
      <c r="I103" s="6">
        <v>0.4375</v>
      </c>
      <c r="J103" s="6">
        <v>0.69097222222222221</v>
      </c>
      <c r="K103" s="7" t="s">
        <v>20</v>
      </c>
      <c r="L103" s="7" t="s">
        <v>14</v>
      </c>
      <c r="M103" s="7" t="s">
        <v>21</v>
      </c>
      <c r="N103" s="7">
        <f>COUNTIFS(A:A,A103,D:D,D103,E:E,I103)</f>
        <v>0</v>
      </c>
    </row>
    <row r="104" spans="1:14" x14ac:dyDescent="0.3">
      <c r="A104" s="7" t="s">
        <v>213</v>
      </c>
      <c r="B104" s="7" t="s">
        <v>214</v>
      </c>
      <c r="C104" s="7" t="s">
        <v>426</v>
      </c>
      <c r="D104" s="8">
        <v>45368</v>
      </c>
      <c r="E104" s="8" t="str">
        <f t="shared" si="3"/>
        <v>March</v>
      </c>
      <c r="F104">
        <f t="shared" si="4"/>
        <v>2024</v>
      </c>
      <c r="G104">
        <f t="shared" si="5"/>
        <v>1</v>
      </c>
      <c r="H104">
        <f t="shared" si="6"/>
        <v>0</v>
      </c>
      <c r="I104" s="6">
        <v>0.37222222222222223</v>
      </c>
      <c r="J104" s="6">
        <v>0.6791666666666667</v>
      </c>
      <c r="K104" s="7" t="s">
        <v>13</v>
      </c>
      <c r="L104" s="7" t="s">
        <v>14</v>
      </c>
      <c r="M104" s="7" t="s">
        <v>21</v>
      </c>
      <c r="N104" s="7">
        <f>COUNTIFS(A:A,A104,D:D,D104,E:E,I104)</f>
        <v>0</v>
      </c>
    </row>
    <row r="105" spans="1:14" x14ac:dyDescent="0.3">
      <c r="A105" s="7" t="s">
        <v>216</v>
      </c>
      <c r="B105" s="7" t="s">
        <v>217</v>
      </c>
      <c r="C105" s="7" t="s">
        <v>60</v>
      </c>
      <c r="D105" s="8">
        <v>45314</v>
      </c>
      <c r="E105" s="8" t="str">
        <f t="shared" si="3"/>
        <v>January</v>
      </c>
      <c r="F105">
        <f t="shared" si="4"/>
        <v>2024</v>
      </c>
      <c r="G105">
        <f t="shared" si="5"/>
        <v>1</v>
      </c>
      <c r="H105">
        <f t="shared" si="6"/>
        <v>0</v>
      </c>
      <c r="I105" s="6">
        <v>0.4513888888888889</v>
      </c>
      <c r="J105" s="6">
        <v>0.86875000000000002</v>
      </c>
      <c r="K105" s="7" t="s">
        <v>13</v>
      </c>
      <c r="L105" s="7" t="s">
        <v>14</v>
      </c>
      <c r="M105" s="7" t="s">
        <v>21</v>
      </c>
      <c r="N105" s="7">
        <f>COUNTIFS(A:A,A105,D:D,D105,E:E,I105)</f>
        <v>0</v>
      </c>
    </row>
    <row r="106" spans="1:14" x14ac:dyDescent="0.3">
      <c r="A106" s="7" t="s">
        <v>96</v>
      </c>
      <c r="B106" s="7" t="s">
        <v>97</v>
      </c>
      <c r="C106" s="7" t="s">
        <v>426</v>
      </c>
      <c r="D106" s="8">
        <v>45314</v>
      </c>
      <c r="E106" s="8" t="str">
        <f t="shared" si="3"/>
        <v>January</v>
      </c>
      <c r="F106">
        <f t="shared" si="4"/>
        <v>2024</v>
      </c>
      <c r="G106">
        <f t="shared" si="5"/>
        <v>1</v>
      </c>
      <c r="H106">
        <f t="shared" si="6"/>
        <v>1</v>
      </c>
      <c r="I106" s="6">
        <v>0.43958333333333333</v>
      </c>
      <c r="J106" s="6">
        <v>0.67569444444444449</v>
      </c>
      <c r="K106" s="7" t="s">
        <v>26</v>
      </c>
      <c r="L106" s="7" t="s">
        <v>14</v>
      </c>
      <c r="M106" s="7" t="s">
        <v>15</v>
      </c>
      <c r="N106" s="7">
        <f>COUNTIFS(A:A,A106,D:D,D106,E:E,I106)</f>
        <v>0</v>
      </c>
    </row>
    <row r="107" spans="1:14" x14ac:dyDescent="0.3">
      <c r="A107" s="7" t="s">
        <v>134</v>
      </c>
      <c r="B107" s="7" t="s">
        <v>135</v>
      </c>
      <c r="C107" s="7" t="s">
        <v>42</v>
      </c>
      <c r="D107" s="8">
        <v>45324</v>
      </c>
      <c r="E107" s="8" t="str">
        <f t="shared" si="3"/>
        <v>February</v>
      </c>
      <c r="F107">
        <f t="shared" si="4"/>
        <v>2024</v>
      </c>
      <c r="G107">
        <f t="shared" si="5"/>
        <v>1</v>
      </c>
      <c r="H107">
        <f t="shared" si="6"/>
        <v>0</v>
      </c>
      <c r="I107" s="6">
        <v>0.4826388888888889</v>
      </c>
      <c r="J107" s="6">
        <v>0.83125000000000004</v>
      </c>
      <c r="K107" s="7" t="s">
        <v>13</v>
      </c>
      <c r="L107" s="7" t="s">
        <v>27</v>
      </c>
      <c r="M107" s="7" t="s">
        <v>15</v>
      </c>
      <c r="N107" s="7">
        <f>COUNTIFS(A:A,A107,D:D,D107,E:E,I107)</f>
        <v>0</v>
      </c>
    </row>
    <row r="108" spans="1:14" x14ac:dyDescent="0.3">
      <c r="A108" s="7" t="s">
        <v>28</v>
      </c>
      <c r="B108" s="7" t="s">
        <v>29</v>
      </c>
      <c r="C108" s="7" t="s">
        <v>42</v>
      </c>
      <c r="D108" s="8">
        <v>45339</v>
      </c>
      <c r="E108" s="8" t="str">
        <f t="shared" si="3"/>
        <v>February</v>
      </c>
      <c r="F108">
        <f t="shared" si="4"/>
        <v>2024</v>
      </c>
      <c r="G108">
        <f t="shared" si="5"/>
        <v>1</v>
      </c>
      <c r="H108">
        <f t="shared" si="6"/>
        <v>0</v>
      </c>
      <c r="I108" s="6">
        <v>0.35694444444444445</v>
      </c>
      <c r="J108" s="6">
        <v>0.75486111111111109</v>
      </c>
      <c r="K108" s="7" t="s">
        <v>20</v>
      </c>
      <c r="L108" s="7" t="s">
        <v>27</v>
      </c>
      <c r="M108" s="7" t="s">
        <v>21</v>
      </c>
      <c r="N108" s="7">
        <f>COUNTIFS(A:A,A108,D:D,D108,E:E,I108)</f>
        <v>0</v>
      </c>
    </row>
    <row r="109" spans="1:14" x14ac:dyDescent="0.3">
      <c r="A109" s="7" t="s">
        <v>62</v>
      </c>
      <c r="B109" s="7" t="s">
        <v>63</v>
      </c>
      <c r="C109" s="7" t="s">
        <v>426</v>
      </c>
      <c r="D109" s="8">
        <v>45371</v>
      </c>
      <c r="E109" s="8" t="str">
        <f t="shared" si="3"/>
        <v>March</v>
      </c>
      <c r="F109">
        <f t="shared" si="4"/>
        <v>2024</v>
      </c>
      <c r="G109">
        <f t="shared" si="5"/>
        <v>1</v>
      </c>
      <c r="H109">
        <f t="shared" si="6"/>
        <v>0</v>
      </c>
      <c r="I109" s="6">
        <v>0.49513888888888891</v>
      </c>
      <c r="J109" s="6">
        <v>0.76666666666666672</v>
      </c>
      <c r="K109" s="7" t="s">
        <v>13</v>
      </c>
      <c r="L109" s="7" t="s">
        <v>27</v>
      </c>
      <c r="M109" s="7" t="s">
        <v>21</v>
      </c>
      <c r="N109" s="7">
        <f>COUNTIFS(A:A,A109,D:D,D109,E:E,I109)</f>
        <v>0</v>
      </c>
    </row>
    <row r="110" spans="1:14" x14ac:dyDescent="0.3">
      <c r="A110" s="7" t="s">
        <v>204</v>
      </c>
      <c r="B110" s="7" t="s">
        <v>205</v>
      </c>
      <c r="C110" s="7" t="s">
        <v>42</v>
      </c>
      <c r="D110" s="8">
        <v>45322</v>
      </c>
      <c r="E110" s="8" t="str">
        <f t="shared" si="3"/>
        <v>January</v>
      </c>
      <c r="F110">
        <f t="shared" si="4"/>
        <v>2024</v>
      </c>
      <c r="G110">
        <f t="shared" si="5"/>
        <v>1</v>
      </c>
      <c r="H110">
        <f t="shared" si="6"/>
        <v>0</v>
      </c>
      <c r="I110" s="6">
        <v>0.35625000000000001</v>
      </c>
      <c r="J110" s="6">
        <v>0.86111111111111116</v>
      </c>
      <c r="K110" s="7" t="s">
        <v>20</v>
      </c>
      <c r="L110" s="7" t="s">
        <v>14</v>
      </c>
      <c r="M110" s="7" t="s">
        <v>21</v>
      </c>
      <c r="N110" s="7">
        <f>COUNTIFS(A:A,A110,D:D,D110,E:E,I110)</f>
        <v>0</v>
      </c>
    </row>
    <row r="111" spans="1:14" x14ac:dyDescent="0.3">
      <c r="A111" s="7" t="s">
        <v>84</v>
      </c>
      <c r="B111" s="7" t="s">
        <v>85</v>
      </c>
      <c r="C111" s="7" t="s">
        <v>426</v>
      </c>
      <c r="D111" s="8">
        <v>45365</v>
      </c>
      <c r="E111" s="8" t="str">
        <f t="shared" si="3"/>
        <v>March</v>
      </c>
      <c r="F111">
        <f t="shared" si="4"/>
        <v>2024</v>
      </c>
      <c r="G111">
        <f t="shared" si="5"/>
        <v>1</v>
      </c>
      <c r="H111">
        <f t="shared" si="6"/>
        <v>0</v>
      </c>
      <c r="I111" s="6">
        <v>0.46319444444444446</v>
      </c>
      <c r="J111" s="6">
        <v>0.85416666666666663</v>
      </c>
      <c r="K111" s="7" t="s">
        <v>13</v>
      </c>
      <c r="L111" s="7" t="s">
        <v>14</v>
      </c>
      <c r="M111" s="7" t="s">
        <v>21</v>
      </c>
      <c r="N111" s="7">
        <f>COUNTIFS(A:A,A111,D:D,D111,E:E,I111)</f>
        <v>0</v>
      </c>
    </row>
    <row r="112" spans="1:14" x14ac:dyDescent="0.3">
      <c r="A112" s="7" t="s">
        <v>171</v>
      </c>
      <c r="B112" s="7" t="s">
        <v>172</v>
      </c>
      <c r="C112" s="7" t="s">
        <v>426</v>
      </c>
      <c r="D112" s="8">
        <v>45335</v>
      </c>
      <c r="E112" s="8" t="str">
        <f t="shared" si="3"/>
        <v>February</v>
      </c>
      <c r="F112">
        <f t="shared" si="4"/>
        <v>2024</v>
      </c>
      <c r="G112">
        <f t="shared" si="5"/>
        <v>1</v>
      </c>
      <c r="H112">
        <f t="shared" si="6"/>
        <v>0</v>
      </c>
      <c r="I112" s="6">
        <v>0.46319444444444446</v>
      </c>
      <c r="J112" s="6">
        <v>0.79236111111111107</v>
      </c>
      <c r="K112" s="7" t="s">
        <v>13</v>
      </c>
      <c r="L112" s="7" t="s">
        <v>14</v>
      </c>
      <c r="M112" s="7" t="s">
        <v>21</v>
      </c>
      <c r="N112" s="7">
        <f>COUNTIFS(A:A,A112,D:D,D112,E:E,I112)</f>
        <v>0</v>
      </c>
    </row>
    <row r="113" spans="1:14" x14ac:dyDescent="0.3">
      <c r="A113" s="7" t="s">
        <v>58</v>
      </c>
      <c r="B113" s="7" t="s">
        <v>59</v>
      </c>
      <c r="C113" s="7" t="s">
        <v>425</v>
      </c>
      <c r="D113" s="8">
        <v>45352</v>
      </c>
      <c r="E113" s="8" t="str">
        <f t="shared" si="3"/>
        <v>March</v>
      </c>
      <c r="F113">
        <f t="shared" si="4"/>
        <v>2024</v>
      </c>
      <c r="G113">
        <f t="shared" si="5"/>
        <v>1</v>
      </c>
      <c r="H113">
        <f t="shared" si="6"/>
        <v>0</v>
      </c>
      <c r="I113" s="6">
        <v>0.43194444444444446</v>
      </c>
      <c r="J113" s="6">
        <v>0.68611111111111112</v>
      </c>
      <c r="K113" s="7" t="s">
        <v>13</v>
      </c>
      <c r="L113" s="7" t="s">
        <v>27</v>
      </c>
      <c r="M113" s="7" t="s">
        <v>15</v>
      </c>
      <c r="N113" s="7">
        <f>COUNTIFS(A:A,A113,D:D,D113,E:E,I113)</f>
        <v>0</v>
      </c>
    </row>
    <row r="114" spans="1:14" x14ac:dyDescent="0.3">
      <c r="A114" s="7" t="s">
        <v>96</v>
      </c>
      <c r="B114" s="7" t="s">
        <v>97</v>
      </c>
      <c r="C114" s="7" t="s">
        <v>425</v>
      </c>
      <c r="D114" s="8">
        <v>45342</v>
      </c>
      <c r="E114" s="8" t="str">
        <f t="shared" si="3"/>
        <v>February</v>
      </c>
      <c r="F114">
        <f t="shared" si="4"/>
        <v>2024</v>
      </c>
      <c r="G114">
        <f t="shared" si="5"/>
        <v>1</v>
      </c>
      <c r="H114">
        <f t="shared" si="6"/>
        <v>0</v>
      </c>
      <c r="I114" s="6">
        <v>0.48125000000000001</v>
      </c>
      <c r="J114" s="6">
        <v>0.71875</v>
      </c>
      <c r="K114" s="7" t="s">
        <v>13</v>
      </c>
      <c r="L114" s="7" t="s">
        <v>14</v>
      </c>
      <c r="M114" s="7" t="s">
        <v>15</v>
      </c>
      <c r="N114" s="7">
        <f>COUNTIFS(A:A,A114,D:D,D114,E:E,I114)</f>
        <v>0</v>
      </c>
    </row>
    <row r="115" spans="1:14" x14ac:dyDescent="0.3">
      <c r="A115" s="7" t="s">
        <v>224</v>
      </c>
      <c r="B115" s="7" t="s">
        <v>225</v>
      </c>
      <c r="C115" s="7" t="s">
        <v>42</v>
      </c>
      <c r="D115" s="8">
        <v>45507</v>
      </c>
      <c r="E115" s="8" t="str">
        <f t="shared" si="3"/>
        <v>August</v>
      </c>
      <c r="F115">
        <f t="shared" si="4"/>
        <v>2024</v>
      </c>
      <c r="G115">
        <f t="shared" si="5"/>
        <v>1</v>
      </c>
      <c r="H115">
        <f t="shared" si="6"/>
        <v>0</v>
      </c>
      <c r="I115" s="6">
        <v>0.46319444444444446</v>
      </c>
      <c r="J115" s="6">
        <v>0.69374999999999998</v>
      </c>
      <c r="K115" s="7" t="s">
        <v>13</v>
      </c>
      <c r="L115" s="7" t="s">
        <v>27</v>
      </c>
      <c r="M115" s="7" t="s">
        <v>15</v>
      </c>
      <c r="N115" s="7">
        <f>COUNTIFS(A:A,A115,D:D,D115,E:E,I115)</f>
        <v>0</v>
      </c>
    </row>
    <row r="116" spans="1:14" x14ac:dyDescent="0.3">
      <c r="A116" s="7" t="s">
        <v>197</v>
      </c>
      <c r="B116" s="7" t="s">
        <v>198</v>
      </c>
      <c r="C116" s="7" t="s">
        <v>426</v>
      </c>
      <c r="D116" s="8">
        <v>45292</v>
      </c>
      <c r="E116" s="8" t="str">
        <f t="shared" si="3"/>
        <v>January</v>
      </c>
      <c r="F116">
        <f t="shared" si="4"/>
        <v>2024</v>
      </c>
      <c r="G116">
        <f t="shared" si="5"/>
        <v>1</v>
      </c>
      <c r="H116">
        <f t="shared" si="6"/>
        <v>1</v>
      </c>
      <c r="I116" s="6">
        <v>0.47361111111111109</v>
      </c>
      <c r="J116" s="6">
        <v>0.81388888888888888</v>
      </c>
      <c r="K116" s="7" t="s">
        <v>26</v>
      </c>
      <c r="L116" s="7" t="s">
        <v>14</v>
      </c>
      <c r="M116" s="7" t="s">
        <v>15</v>
      </c>
      <c r="N116" s="7">
        <f>COUNTIFS(A:A,A116,D:D,D116,E:E,I116)</f>
        <v>0</v>
      </c>
    </row>
    <row r="117" spans="1:14" x14ac:dyDescent="0.3">
      <c r="A117" s="7" t="s">
        <v>146</v>
      </c>
      <c r="B117" s="7" t="s">
        <v>147</v>
      </c>
      <c r="C117" s="7" t="s">
        <v>426</v>
      </c>
      <c r="D117" s="8">
        <v>45352</v>
      </c>
      <c r="E117" s="8" t="str">
        <f t="shared" si="3"/>
        <v>March</v>
      </c>
      <c r="F117">
        <f t="shared" si="4"/>
        <v>2024</v>
      </c>
      <c r="G117">
        <f t="shared" si="5"/>
        <v>1</v>
      </c>
      <c r="H117">
        <f t="shared" si="6"/>
        <v>0</v>
      </c>
      <c r="I117" s="6">
        <v>0.36249999999999999</v>
      </c>
      <c r="J117" s="6">
        <v>0.83263888888888893</v>
      </c>
      <c r="K117" s="7" t="s">
        <v>20</v>
      </c>
      <c r="L117" s="7" t="s">
        <v>14</v>
      </c>
      <c r="M117" s="7" t="s">
        <v>15</v>
      </c>
      <c r="N117" s="7">
        <f>COUNTIFS(A:A,A117,D:D,D117,E:E,I117)</f>
        <v>0</v>
      </c>
    </row>
    <row r="118" spans="1:14" x14ac:dyDescent="0.3">
      <c r="A118" s="7" t="s">
        <v>213</v>
      </c>
      <c r="B118" s="7" t="s">
        <v>214</v>
      </c>
      <c r="C118" s="7" t="s">
        <v>42</v>
      </c>
      <c r="D118" s="8">
        <v>45339</v>
      </c>
      <c r="E118" s="8" t="str">
        <f t="shared" si="3"/>
        <v>February</v>
      </c>
      <c r="F118">
        <f t="shared" si="4"/>
        <v>2024</v>
      </c>
      <c r="G118">
        <f t="shared" si="5"/>
        <v>1</v>
      </c>
      <c r="H118">
        <f t="shared" si="6"/>
        <v>0</v>
      </c>
      <c r="I118" s="6">
        <v>0.37638888888888888</v>
      </c>
      <c r="J118" s="6">
        <v>0.80486111111111114</v>
      </c>
      <c r="K118" s="7" t="s">
        <v>20</v>
      </c>
      <c r="L118" s="7" t="s">
        <v>27</v>
      </c>
      <c r="M118" s="7" t="s">
        <v>15</v>
      </c>
      <c r="N118" s="7">
        <f>COUNTIFS(A:A,A118,D:D,D118,E:E,I118)</f>
        <v>0</v>
      </c>
    </row>
    <row r="119" spans="1:14" x14ac:dyDescent="0.3">
      <c r="A119" s="7" t="s">
        <v>72</v>
      </c>
      <c r="B119" s="7" t="s">
        <v>73</v>
      </c>
      <c r="C119" s="7" t="s">
        <v>426</v>
      </c>
      <c r="D119" s="8">
        <v>45321</v>
      </c>
      <c r="E119" s="8" t="str">
        <f t="shared" si="3"/>
        <v>January</v>
      </c>
      <c r="F119">
        <f t="shared" si="4"/>
        <v>2024</v>
      </c>
      <c r="G119">
        <f t="shared" si="5"/>
        <v>1</v>
      </c>
      <c r="H119">
        <f t="shared" si="6"/>
        <v>0</v>
      </c>
      <c r="I119" s="6">
        <v>0.47222222222222221</v>
      </c>
      <c r="J119" s="6">
        <v>0.6958333333333333</v>
      </c>
      <c r="K119" s="7" t="s">
        <v>13</v>
      </c>
      <c r="L119" s="7" t="s">
        <v>27</v>
      </c>
      <c r="M119" s="7" t="s">
        <v>15</v>
      </c>
      <c r="N119" s="7">
        <f>COUNTIFS(A:A,A119,D:D,D119,E:E,I119)</f>
        <v>0</v>
      </c>
    </row>
    <row r="120" spans="1:14" x14ac:dyDescent="0.3">
      <c r="A120" s="7" t="s">
        <v>31</v>
      </c>
      <c r="B120" s="7" t="s">
        <v>32</v>
      </c>
      <c r="C120" s="7" t="s">
        <v>60</v>
      </c>
      <c r="D120" s="8">
        <v>45375</v>
      </c>
      <c r="E120" s="8" t="str">
        <f t="shared" si="3"/>
        <v>March</v>
      </c>
      <c r="F120">
        <f t="shared" si="4"/>
        <v>2024</v>
      </c>
      <c r="G120">
        <f t="shared" si="5"/>
        <v>1</v>
      </c>
      <c r="H120">
        <f t="shared" si="6"/>
        <v>0</v>
      </c>
      <c r="I120" s="6">
        <v>0.43055555555555558</v>
      </c>
      <c r="J120" s="6">
        <v>0.71944444444444444</v>
      </c>
      <c r="K120" s="7" t="s">
        <v>13</v>
      </c>
      <c r="L120" s="7" t="s">
        <v>14</v>
      </c>
      <c r="M120" s="7" t="s">
        <v>21</v>
      </c>
      <c r="N120" s="7">
        <f>COUNTIFS(A:A,A120,D:D,D120,E:E,I120)</f>
        <v>0</v>
      </c>
    </row>
    <row r="121" spans="1:14" x14ac:dyDescent="0.3">
      <c r="A121" s="7" t="s">
        <v>216</v>
      </c>
      <c r="B121" s="7" t="s">
        <v>217</v>
      </c>
      <c r="C121" s="7" t="s">
        <v>42</v>
      </c>
      <c r="D121" s="8">
        <v>45377</v>
      </c>
      <c r="E121" s="8" t="str">
        <f t="shared" si="3"/>
        <v>March</v>
      </c>
      <c r="F121">
        <f t="shared" si="4"/>
        <v>2024</v>
      </c>
      <c r="G121">
        <f t="shared" si="5"/>
        <v>1</v>
      </c>
      <c r="H121">
        <f t="shared" si="6"/>
        <v>0</v>
      </c>
      <c r="I121" s="6">
        <v>0.34791666666666665</v>
      </c>
      <c r="J121" s="6">
        <v>0.71111111111111114</v>
      </c>
      <c r="K121" s="7" t="s">
        <v>20</v>
      </c>
      <c r="L121" s="7" t="s">
        <v>14</v>
      </c>
      <c r="M121" s="7" t="s">
        <v>15</v>
      </c>
      <c r="N121" s="7">
        <f>COUNTIFS(A:A,A121,D:D,D121,E:E,I121)</f>
        <v>0</v>
      </c>
    </row>
    <row r="122" spans="1:14" x14ac:dyDescent="0.3">
      <c r="A122" s="7" t="s">
        <v>48</v>
      </c>
      <c r="B122" s="7" t="s">
        <v>49</v>
      </c>
      <c r="C122" s="7" t="s">
        <v>426</v>
      </c>
      <c r="D122" s="8">
        <v>45413</v>
      </c>
      <c r="E122" s="8" t="str">
        <f t="shared" si="3"/>
        <v>May</v>
      </c>
      <c r="F122">
        <f t="shared" si="4"/>
        <v>2024</v>
      </c>
      <c r="G122">
        <f t="shared" si="5"/>
        <v>1</v>
      </c>
      <c r="H122">
        <f t="shared" si="6"/>
        <v>1</v>
      </c>
      <c r="I122" s="6">
        <v>0.4284722222222222</v>
      </c>
      <c r="J122" s="6">
        <v>0.71597222222222223</v>
      </c>
      <c r="K122" s="7" t="s">
        <v>26</v>
      </c>
      <c r="L122" s="7" t="s">
        <v>14</v>
      </c>
      <c r="M122" s="7" t="s">
        <v>15</v>
      </c>
      <c r="N122" s="7">
        <f>COUNTIFS(A:A,A122,D:D,D122,E:E,I122)</f>
        <v>0</v>
      </c>
    </row>
    <row r="123" spans="1:14" x14ac:dyDescent="0.3">
      <c r="A123" s="7" t="s">
        <v>175</v>
      </c>
      <c r="B123" s="7" t="s">
        <v>176</v>
      </c>
      <c r="C123" s="7" t="s">
        <v>60</v>
      </c>
      <c r="D123" s="8">
        <v>45567</v>
      </c>
      <c r="E123" s="8" t="str">
        <f t="shared" si="3"/>
        <v>October</v>
      </c>
      <c r="F123">
        <f t="shared" si="4"/>
        <v>2024</v>
      </c>
      <c r="G123">
        <f t="shared" si="5"/>
        <v>1</v>
      </c>
      <c r="H123">
        <f t="shared" si="6"/>
        <v>1</v>
      </c>
      <c r="I123" s="6">
        <v>0.45277777777777778</v>
      </c>
      <c r="J123" s="6">
        <v>0.83263888888888893</v>
      </c>
      <c r="K123" s="7" t="s">
        <v>26</v>
      </c>
      <c r="L123" s="7" t="s">
        <v>14</v>
      </c>
      <c r="M123" s="7" t="s">
        <v>15</v>
      </c>
      <c r="N123" s="7">
        <f>COUNTIFS(A:A,A123,D:D,D123,E:E,I123)</f>
        <v>0</v>
      </c>
    </row>
    <row r="124" spans="1:14" x14ac:dyDescent="0.3">
      <c r="A124" s="7" t="s">
        <v>62</v>
      </c>
      <c r="B124" s="7" t="s">
        <v>63</v>
      </c>
      <c r="C124" s="7" t="s">
        <v>60</v>
      </c>
      <c r="D124" s="8">
        <v>45313</v>
      </c>
      <c r="E124" s="8" t="str">
        <f t="shared" si="3"/>
        <v>January</v>
      </c>
      <c r="F124">
        <f t="shared" si="4"/>
        <v>2024</v>
      </c>
      <c r="G124">
        <f t="shared" si="5"/>
        <v>1</v>
      </c>
      <c r="H124">
        <f t="shared" si="6"/>
        <v>0</v>
      </c>
      <c r="I124" s="6">
        <v>0.48958333333333331</v>
      </c>
      <c r="J124" s="6">
        <v>0.75624999999999998</v>
      </c>
      <c r="K124" s="7" t="s">
        <v>13</v>
      </c>
      <c r="L124" s="7" t="s">
        <v>27</v>
      </c>
      <c r="M124" s="7" t="s">
        <v>21</v>
      </c>
      <c r="N124" s="7">
        <f>COUNTIFS(A:A,A124,D:D,D124,E:E,I124)</f>
        <v>0</v>
      </c>
    </row>
    <row r="125" spans="1:14" x14ac:dyDescent="0.3">
      <c r="A125" s="7" t="s">
        <v>87</v>
      </c>
      <c r="B125" s="7" t="s">
        <v>88</v>
      </c>
      <c r="C125" s="7" t="s">
        <v>426</v>
      </c>
      <c r="D125" s="8">
        <v>45341</v>
      </c>
      <c r="E125" s="8" t="str">
        <f t="shared" si="3"/>
        <v>February</v>
      </c>
      <c r="F125">
        <f t="shared" si="4"/>
        <v>2024</v>
      </c>
      <c r="G125">
        <f t="shared" si="5"/>
        <v>1</v>
      </c>
      <c r="H125">
        <f t="shared" si="6"/>
        <v>0</v>
      </c>
      <c r="I125" s="6">
        <v>0.37777777777777777</v>
      </c>
      <c r="J125" s="6">
        <v>0.8520833333333333</v>
      </c>
      <c r="K125" s="7" t="s">
        <v>13</v>
      </c>
      <c r="L125" s="7" t="s">
        <v>14</v>
      </c>
      <c r="M125" s="7" t="s">
        <v>15</v>
      </c>
      <c r="N125" s="7">
        <f>COUNTIFS(A:A,A125,D:D,D125,E:E,I125)</f>
        <v>0</v>
      </c>
    </row>
    <row r="126" spans="1:14" x14ac:dyDescent="0.3">
      <c r="A126" s="7" t="s">
        <v>236</v>
      </c>
      <c r="B126" s="7" t="s">
        <v>237</v>
      </c>
      <c r="C126" s="7" t="s">
        <v>426</v>
      </c>
      <c r="D126" s="8">
        <v>45361</v>
      </c>
      <c r="E126" s="8" t="str">
        <f t="shared" si="3"/>
        <v>March</v>
      </c>
      <c r="F126">
        <f t="shared" si="4"/>
        <v>2024</v>
      </c>
      <c r="G126">
        <f t="shared" si="5"/>
        <v>1</v>
      </c>
      <c r="H126">
        <f t="shared" si="6"/>
        <v>0</v>
      </c>
      <c r="I126" s="6">
        <v>0.45833333333333331</v>
      </c>
      <c r="J126" s="6">
        <v>0.68680555555555556</v>
      </c>
      <c r="K126" s="7" t="s">
        <v>20</v>
      </c>
      <c r="L126" s="7" t="s">
        <v>27</v>
      </c>
      <c r="M126" s="7" t="s">
        <v>21</v>
      </c>
      <c r="N126" s="7">
        <f>COUNTIFS(A:A,A126,D:D,D126,E:E,I126)</f>
        <v>0</v>
      </c>
    </row>
    <row r="127" spans="1:14" x14ac:dyDescent="0.3">
      <c r="A127" s="7" t="s">
        <v>90</v>
      </c>
      <c r="B127" s="7" t="s">
        <v>91</v>
      </c>
      <c r="C127" s="7" t="s">
        <v>426</v>
      </c>
      <c r="D127" s="8">
        <v>45338</v>
      </c>
      <c r="E127" s="8" t="str">
        <f t="shared" si="3"/>
        <v>February</v>
      </c>
      <c r="F127">
        <f t="shared" si="4"/>
        <v>2024</v>
      </c>
      <c r="G127">
        <f t="shared" si="5"/>
        <v>1</v>
      </c>
      <c r="H127">
        <f t="shared" si="6"/>
        <v>0</v>
      </c>
      <c r="I127" s="6">
        <v>0.38263888888888886</v>
      </c>
      <c r="J127" s="6">
        <v>0.76597222222222228</v>
      </c>
      <c r="K127" s="7" t="s">
        <v>13</v>
      </c>
      <c r="L127" s="7" t="s">
        <v>14</v>
      </c>
      <c r="M127" s="7" t="s">
        <v>15</v>
      </c>
      <c r="N127" s="7">
        <f>COUNTIFS(A:A,A127,D:D,D127,E:E,I127)</f>
        <v>0</v>
      </c>
    </row>
    <row r="128" spans="1:14" x14ac:dyDescent="0.3">
      <c r="A128" s="7" t="s">
        <v>216</v>
      </c>
      <c r="B128" s="7" t="s">
        <v>217</v>
      </c>
      <c r="C128" s="7" t="s">
        <v>426</v>
      </c>
      <c r="D128" s="8">
        <v>45320</v>
      </c>
      <c r="E128" s="8" t="str">
        <f t="shared" si="3"/>
        <v>January</v>
      </c>
      <c r="F128">
        <f t="shared" si="4"/>
        <v>2024</v>
      </c>
      <c r="G128">
        <f t="shared" si="5"/>
        <v>1</v>
      </c>
      <c r="H128">
        <f t="shared" si="6"/>
        <v>1</v>
      </c>
      <c r="I128" s="6">
        <v>0.33819444444444446</v>
      </c>
      <c r="J128" s="6">
        <v>0.70416666666666672</v>
      </c>
      <c r="K128" s="7" t="s">
        <v>26</v>
      </c>
      <c r="L128" s="7" t="s">
        <v>27</v>
      </c>
      <c r="M128" s="7" t="s">
        <v>15</v>
      </c>
      <c r="N128" s="7">
        <f>COUNTIFS(A:A,A128,D:D,D128,E:E,I128)</f>
        <v>0</v>
      </c>
    </row>
    <row r="129" spans="1:14" x14ac:dyDescent="0.3">
      <c r="A129" s="7" t="s">
        <v>194</v>
      </c>
      <c r="B129" s="7" t="s">
        <v>195</v>
      </c>
      <c r="C129" s="7" t="s">
        <v>60</v>
      </c>
      <c r="D129" s="8">
        <v>45373</v>
      </c>
      <c r="E129" s="8" t="str">
        <f t="shared" si="3"/>
        <v>March</v>
      </c>
      <c r="F129">
        <f t="shared" si="4"/>
        <v>2024</v>
      </c>
      <c r="G129">
        <f t="shared" si="5"/>
        <v>0</v>
      </c>
      <c r="H129">
        <f t="shared" si="6"/>
        <v>0</v>
      </c>
      <c r="I129" s="6"/>
      <c r="J129" s="6"/>
      <c r="K129" s="7" t="s">
        <v>44</v>
      </c>
      <c r="L129" s="7" t="s">
        <v>27</v>
      </c>
      <c r="M129" s="7" t="s">
        <v>15</v>
      </c>
      <c r="N129" s="7">
        <f>COUNTIFS(A:A,A129,D:D,D129,E:E,I129)</f>
        <v>0</v>
      </c>
    </row>
    <row r="130" spans="1:14" x14ac:dyDescent="0.3">
      <c r="A130" s="7" t="s">
        <v>216</v>
      </c>
      <c r="B130" s="7" t="s">
        <v>217</v>
      </c>
      <c r="C130" s="7" t="s">
        <v>425</v>
      </c>
      <c r="D130" s="8">
        <v>45321</v>
      </c>
      <c r="E130" s="8" t="str">
        <f t="shared" ref="E130:E193" si="7">TEXT(D130,"mmmm")</f>
        <v>January</v>
      </c>
      <c r="F130">
        <f t="shared" ref="F130:F193" si="8">YEAR(D130)</f>
        <v>2024</v>
      </c>
      <c r="G130">
        <f t="shared" ref="G130:G193" si="9">IF(LOWER(K130)="absent",0,1)</f>
        <v>1</v>
      </c>
      <c r="H130">
        <f t="shared" ref="H130:H193" si="10">IF(K130="Late",1,0)</f>
        <v>0</v>
      </c>
      <c r="I130" s="6">
        <v>0.49861111111111112</v>
      </c>
      <c r="J130" s="6">
        <v>0.77430555555555558</v>
      </c>
      <c r="K130" s="7" t="s">
        <v>13</v>
      </c>
      <c r="L130" s="7" t="s">
        <v>14</v>
      </c>
      <c r="M130" s="7" t="s">
        <v>15</v>
      </c>
      <c r="N130" s="7">
        <f>COUNTIFS(A:A,A130,D:D,D130,E:E,I130)</f>
        <v>0</v>
      </c>
    </row>
    <row r="131" spans="1:14" x14ac:dyDescent="0.3">
      <c r="A131" s="7" t="s">
        <v>99</v>
      </c>
      <c r="B131" s="7" t="s">
        <v>100</v>
      </c>
      <c r="C131" s="7" t="s">
        <v>425</v>
      </c>
      <c r="D131" s="8">
        <v>45350</v>
      </c>
      <c r="E131" s="8" t="str">
        <f t="shared" si="7"/>
        <v>February</v>
      </c>
      <c r="F131">
        <f t="shared" si="8"/>
        <v>2024</v>
      </c>
      <c r="G131">
        <f t="shared" si="9"/>
        <v>0</v>
      </c>
      <c r="H131">
        <f t="shared" si="10"/>
        <v>0</v>
      </c>
      <c r="I131" s="6"/>
      <c r="J131" s="6"/>
      <c r="K131" s="7" t="s">
        <v>44</v>
      </c>
      <c r="L131" s="7" t="s">
        <v>14</v>
      </c>
      <c r="M131" s="7" t="s">
        <v>21</v>
      </c>
      <c r="N131" s="7">
        <f>COUNTIFS(A:A,A131,D:D,D131,E:E,I131)</f>
        <v>0</v>
      </c>
    </row>
    <row r="132" spans="1:14" x14ac:dyDescent="0.3">
      <c r="A132" s="7" t="s">
        <v>84</v>
      </c>
      <c r="B132" s="7" t="s">
        <v>85</v>
      </c>
      <c r="C132" s="7" t="s">
        <v>64</v>
      </c>
      <c r="D132" s="8">
        <v>45298</v>
      </c>
      <c r="E132" s="8" t="str">
        <f t="shared" si="7"/>
        <v>January</v>
      </c>
      <c r="F132">
        <f t="shared" si="8"/>
        <v>2024</v>
      </c>
      <c r="G132">
        <f t="shared" si="9"/>
        <v>0</v>
      </c>
      <c r="H132">
        <f t="shared" si="10"/>
        <v>0</v>
      </c>
      <c r="I132" s="6"/>
      <c r="J132" s="6"/>
      <c r="K132" s="7" t="s">
        <v>44</v>
      </c>
      <c r="L132" s="7" t="s">
        <v>27</v>
      </c>
      <c r="M132" s="7" t="s">
        <v>15</v>
      </c>
      <c r="N132" s="7">
        <f>COUNTIFS(A:A,A132,D:D,D132,E:E,I132)</f>
        <v>0</v>
      </c>
    </row>
    <row r="133" spans="1:14" x14ac:dyDescent="0.3">
      <c r="A133" s="7" t="s">
        <v>134</v>
      </c>
      <c r="B133" s="7" t="s">
        <v>135</v>
      </c>
      <c r="C133" s="7" t="s">
        <v>64</v>
      </c>
      <c r="D133" s="8">
        <v>45309</v>
      </c>
      <c r="E133" s="8" t="str">
        <f t="shared" si="7"/>
        <v>January</v>
      </c>
      <c r="F133">
        <f t="shared" si="8"/>
        <v>2024</v>
      </c>
      <c r="G133">
        <f t="shared" si="9"/>
        <v>1</v>
      </c>
      <c r="H133">
        <f t="shared" si="10"/>
        <v>0</v>
      </c>
      <c r="I133" s="6">
        <v>0.39444444444444443</v>
      </c>
      <c r="J133" s="6">
        <v>0.75</v>
      </c>
      <c r="K133" s="7" t="s">
        <v>20</v>
      </c>
      <c r="L133" s="7" t="s">
        <v>14</v>
      </c>
      <c r="M133" s="7" t="s">
        <v>15</v>
      </c>
      <c r="N133" s="7">
        <f>COUNTIFS(A:A,A133,D:D,D133,E:E,I133)</f>
        <v>0</v>
      </c>
    </row>
    <row r="134" spans="1:14" x14ac:dyDescent="0.3">
      <c r="A134" s="7" t="s">
        <v>34</v>
      </c>
      <c r="B134" s="7" t="s">
        <v>35</v>
      </c>
      <c r="C134" s="7" t="s">
        <v>425</v>
      </c>
      <c r="D134" s="8">
        <v>45329</v>
      </c>
      <c r="E134" s="8" t="str">
        <f t="shared" si="7"/>
        <v>February</v>
      </c>
      <c r="F134">
        <f t="shared" si="8"/>
        <v>2024</v>
      </c>
      <c r="G134">
        <f t="shared" si="9"/>
        <v>0</v>
      </c>
      <c r="H134">
        <f t="shared" si="10"/>
        <v>0</v>
      </c>
      <c r="I134" s="6"/>
      <c r="J134" s="6"/>
      <c r="K134" s="7" t="s">
        <v>44</v>
      </c>
      <c r="L134" s="7" t="s">
        <v>27</v>
      </c>
      <c r="M134" s="7" t="s">
        <v>15</v>
      </c>
      <c r="N134" s="7">
        <f>COUNTIFS(A:A,A134,D:D,D134,E:E,I134)</f>
        <v>0</v>
      </c>
    </row>
    <row r="135" spans="1:14" x14ac:dyDescent="0.3">
      <c r="A135" s="7" t="s">
        <v>48</v>
      </c>
      <c r="B135" s="7" t="s">
        <v>49</v>
      </c>
      <c r="C135" s="7" t="s">
        <v>42</v>
      </c>
      <c r="D135" s="8">
        <v>45321</v>
      </c>
      <c r="E135" s="8" t="str">
        <f t="shared" si="7"/>
        <v>January</v>
      </c>
      <c r="F135">
        <f t="shared" si="8"/>
        <v>2024</v>
      </c>
      <c r="G135">
        <f t="shared" si="9"/>
        <v>1</v>
      </c>
      <c r="H135">
        <f t="shared" si="10"/>
        <v>1</v>
      </c>
      <c r="I135" s="6">
        <v>0.48055555555555557</v>
      </c>
      <c r="J135" s="6">
        <v>0.68680555555555556</v>
      </c>
      <c r="K135" s="7" t="s">
        <v>26</v>
      </c>
      <c r="L135" s="7" t="s">
        <v>27</v>
      </c>
      <c r="M135" s="7" t="s">
        <v>15</v>
      </c>
      <c r="N135" s="7">
        <f>COUNTIFS(A:A,A135,D:D,D135,E:E,I135)</f>
        <v>0</v>
      </c>
    </row>
    <row r="136" spans="1:14" x14ac:dyDescent="0.3">
      <c r="A136" s="7" t="s">
        <v>75</v>
      </c>
      <c r="B136" s="7" t="s">
        <v>76</v>
      </c>
      <c r="C136" s="7" t="s">
        <v>60</v>
      </c>
      <c r="D136" s="8">
        <v>45322</v>
      </c>
      <c r="E136" s="8" t="str">
        <f t="shared" si="7"/>
        <v>January</v>
      </c>
      <c r="F136">
        <f t="shared" si="8"/>
        <v>2024</v>
      </c>
      <c r="G136">
        <f t="shared" si="9"/>
        <v>1</v>
      </c>
      <c r="H136">
        <f t="shared" si="10"/>
        <v>1</v>
      </c>
      <c r="I136" s="6">
        <v>0.42708333333333331</v>
      </c>
      <c r="J136" s="6">
        <v>0.68888888888888888</v>
      </c>
      <c r="K136" s="7" t="s">
        <v>26</v>
      </c>
      <c r="L136" s="7" t="s">
        <v>27</v>
      </c>
      <c r="M136" s="7" t="s">
        <v>21</v>
      </c>
      <c r="N136" s="7">
        <f>COUNTIFS(A:A,A136,D:D,D136,E:E,I136)</f>
        <v>0</v>
      </c>
    </row>
    <row r="137" spans="1:14" x14ac:dyDescent="0.3">
      <c r="A137" s="7" t="s">
        <v>31</v>
      </c>
      <c r="B137" s="7" t="s">
        <v>32</v>
      </c>
      <c r="C137" s="7" t="s">
        <v>64</v>
      </c>
      <c r="D137" s="8">
        <v>45373</v>
      </c>
      <c r="E137" s="8" t="str">
        <f t="shared" si="7"/>
        <v>March</v>
      </c>
      <c r="F137">
        <f t="shared" si="8"/>
        <v>2024</v>
      </c>
      <c r="G137">
        <f t="shared" si="9"/>
        <v>1</v>
      </c>
      <c r="H137">
        <f t="shared" si="10"/>
        <v>0</v>
      </c>
      <c r="I137" s="6">
        <v>0.35972222222222222</v>
      </c>
      <c r="J137" s="6">
        <v>0.7055555555555556</v>
      </c>
      <c r="K137" s="7" t="s">
        <v>20</v>
      </c>
      <c r="L137" s="7" t="s">
        <v>14</v>
      </c>
      <c r="M137" s="7" t="s">
        <v>15</v>
      </c>
      <c r="N137" s="7">
        <f>COUNTIFS(A:A,A137,D:D,D137,E:E,I137)</f>
        <v>0</v>
      </c>
    </row>
    <row r="138" spans="1:14" x14ac:dyDescent="0.3">
      <c r="A138" s="7" t="s">
        <v>66</v>
      </c>
      <c r="B138" s="7" t="s">
        <v>67</v>
      </c>
      <c r="C138" s="7" t="s">
        <v>425</v>
      </c>
      <c r="D138" s="8">
        <v>45444</v>
      </c>
      <c r="E138" s="8" t="str">
        <f t="shared" si="7"/>
        <v>June</v>
      </c>
      <c r="F138">
        <f t="shared" si="8"/>
        <v>2024</v>
      </c>
      <c r="G138">
        <f t="shared" si="9"/>
        <v>0</v>
      </c>
      <c r="H138">
        <f t="shared" si="10"/>
        <v>0</v>
      </c>
      <c r="I138" s="6"/>
      <c r="J138" s="6"/>
      <c r="K138" s="7" t="s">
        <v>44</v>
      </c>
      <c r="L138" s="7" t="s">
        <v>27</v>
      </c>
      <c r="M138" s="7" t="s">
        <v>15</v>
      </c>
      <c r="N138" s="7">
        <f>COUNTIFS(A:A,A138,D:D,D138,E:E,I138)</f>
        <v>0</v>
      </c>
    </row>
    <row r="139" spans="1:14" x14ac:dyDescent="0.3">
      <c r="A139" s="7" t="s">
        <v>194</v>
      </c>
      <c r="B139" s="7" t="s">
        <v>195</v>
      </c>
      <c r="C139" s="7" t="s">
        <v>64</v>
      </c>
      <c r="D139" s="8">
        <v>45350</v>
      </c>
      <c r="E139" s="8" t="str">
        <f t="shared" si="7"/>
        <v>February</v>
      </c>
      <c r="F139">
        <f t="shared" si="8"/>
        <v>2024</v>
      </c>
      <c r="G139">
        <f t="shared" si="9"/>
        <v>0</v>
      </c>
      <c r="H139">
        <f t="shared" si="10"/>
        <v>0</v>
      </c>
      <c r="I139" s="6"/>
      <c r="J139" s="6"/>
      <c r="K139" s="7" t="s">
        <v>44</v>
      </c>
      <c r="L139" s="7" t="s">
        <v>14</v>
      </c>
      <c r="M139" s="7" t="s">
        <v>21</v>
      </c>
      <c r="N139" s="7">
        <f>COUNTIFS(A:A,A139,D:D,D139,E:E,I139)</f>
        <v>0</v>
      </c>
    </row>
    <row r="140" spans="1:14" x14ac:dyDescent="0.3">
      <c r="A140" s="7" t="s">
        <v>115</v>
      </c>
      <c r="B140" s="7" t="s">
        <v>116</v>
      </c>
      <c r="C140" s="7" t="s">
        <v>426</v>
      </c>
      <c r="D140" s="8">
        <v>45413</v>
      </c>
      <c r="E140" s="8" t="str">
        <f t="shared" si="7"/>
        <v>May</v>
      </c>
      <c r="F140">
        <f t="shared" si="8"/>
        <v>2024</v>
      </c>
      <c r="G140">
        <f t="shared" si="9"/>
        <v>1</v>
      </c>
      <c r="H140">
        <f t="shared" si="10"/>
        <v>0</v>
      </c>
      <c r="I140" s="6">
        <v>0.45347222222222222</v>
      </c>
      <c r="J140" s="6">
        <v>0.73888888888888893</v>
      </c>
      <c r="K140" s="7" t="s">
        <v>13</v>
      </c>
      <c r="L140" s="7" t="s">
        <v>14</v>
      </c>
      <c r="M140" s="7" t="s">
        <v>21</v>
      </c>
      <c r="N140" s="7">
        <f>COUNTIFS(A:A,A140,D:D,D140,E:E,I140)</f>
        <v>0</v>
      </c>
    </row>
    <row r="141" spans="1:14" x14ac:dyDescent="0.3">
      <c r="A141" s="7" t="s">
        <v>99</v>
      </c>
      <c r="B141" s="7" t="s">
        <v>100</v>
      </c>
      <c r="C141" s="7" t="s">
        <v>426</v>
      </c>
      <c r="D141" s="8">
        <v>45355</v>
      </c>
      <c r="E141" s="8" t="str">
        <f t="shared" si="7"/>
        <v>March</v>
      </c>
      <c r="F141">
        <f t="shared" si="8"/>
        <v>2024</v>
      </c>
      <c r="G141">
        <f t="shared" si="9"/>
        <v>1</v>
      </c>
      <c r="H141">
        <f t="shared" si="10"/>
        <v>0</v>
      </c>
      <c r="I141" s="6">
        <v>0.38472222222222224</v>
      </c>
      <c r="J141" s="6">
        <v>0.76944444444444449</v>
      </c>
      <c r="K141" s="7" t="s">
        <v>13</v>
      </c>
      <c r="L141" s="7" t="s">
        <v>27</v>
      </c>
      <c r="M141" s="7" t="s">
        <v>21</v>
      </c>
      <c r="N141" s="7">
        <f>COUNTIFS(A:A,A141,D:D,D141,E:E,I141)</f>
        <v>0</v>
      </c>
    </row>
    <row r="142" spans="1:14" x14ac:dyDescent="0.3">
      <c r="A142" s="7" t="s">
        <v>171</v>
      </c>
      <c r="B142" s="7" t="s">
        <v>172</v>
      </c>
      <c r="C142" s="7" t="s">
        <v>426</v>
      </c>
      <c r="D142" s="8">
        <v>45366</v>
      </c>
      <c r="E142" s="8" t="str">
        <f t="shared" si="7"/>
        <v>March</v>
      </c>
      <c r="F142">
        <f t="shared" si="8"/>
        <v>2024</v>
      </c>
      <c r="G142">
        <f t="shared" si="9"/>
        <v>0</v>
      </c>
      <c r="H142">
        <f t="shared" si="10"/>
        <v>0</v>
      </c>
      <c r="I142" s="6"/>
      <c r="J142" s="6"/>
      <c r="K142" s="7" t="s">
        <v>44</v>
      </c>
      <c r="L142" s="7" t="s">
        <v>27</v>
      </c>
      <c r="M142" s="7" t="s">
        <v>21</v>
      </c>
      <c r="N142" s="7">
        <f>COUNTIFS(A:A,A142,D:D,D142,E:E,I142)</f>
        <v>0</v>
      </c>
    </row>
    <row r="143" spans="1:14" x14ac:dyDescent="0.3">
      <c r="A143" s="7" t="s">
        <v>194</v>
      </c>
      <c r="B143" s="7" t="s">
        <v>195</v>
      </c>
      <c r="C143" s="7" t="s">
        <v>64</v>
      </c>
      <c r="D143" s="8">
        <v>45568</v>
      </c>
      <c r="E143" s="8" t="str">
        <f t="shared" si="7"/>
        <v>October</v>
      </c>
      <c r="F143">
        <f t="shared" si="8"/>
        <v>2024</v>
      </c>
      <c r="G143">
        <f t="shared" si="9"/>
        <v>1</v>
      </c>
      <c r="H143">
        <f t="shared" si="10"/>
        <v>0</v>
      </c>
      <c r="I143" s="6">
        <v>0.39027777777777778</v>
      </c>
      <c r="J143" s="6">
        <v>0.85347222222222219</v>
      </c>
      <c r="K143" s="7" t="s">
        <v>20</v>
      </c>
      <c r="L143" s="7" t="s">
        <v>14</v>
      </c>
      <c r="M143" s="7" t="s">
        <v>21</v>
      </c>
      <c r="N143" s="7">
        <f>COUNTIFS(A:A,A143,D:D,D143,E:E,I143)</f>
        <v>0</v>
      </c>
    </row>
    <row r="144" spans="1:14" x14ac:dyDescent="0.3">
      <c r="A144" s="7" t="s">
        <v>246</v>
      </c>
      <c r="B144" s="7" t="s">
        <v>247</v>
      </c>
      <c r="C144" s="7" t="s">
        <v>42</v>
      </c>
      <c r="D144" s="8">
        <v>45334</v>
      </c>
      <c r="E144" s="8" t="str">
        <f t="shared" si="7"/>
        <v>February</v>
      </c>
      <c r="F144">
        <f t="shared" si="8"/>
        <v>2024</v>
      </c>
      <c r="G144">
        <f t="shared" si="9"/>
        <v>1</v>
      </c>
      <c r="H144">
        <f t="shared" si="10"/>
        <v>0</v>
      </c>
      <c r="I144" s="6">
        <v>0.37569444444444444</v>
      </c>
      <c r="J144" s="6">
        <v>0.84722222222222221</v>
      </c>
      <c r="K144" s="7" t="s">
        <v>13</v>
      </c>
      <c r="L144" s="7" t="s">
        <v>27</v>
      </c>
      <c r="M144" s="7" t="s">
        <v>15</v>
      </c>
      <c r="N144" s="7">
        <f>COUNTIFS(A:A,A144,D:D,D144,E:E,I144)</f>
        <v>0</v>
      </c>
    </row>
    <row r="145" spans="1:14" x14ac:dyDescent="0.3">
      <c r="A145" s="7" t="s">
        <v>52</v>
      </c>
      <c r="B145" s="7" t="s">
        <v>53</v>
      </c>
      <c r="C145" s="7" t="s">
        <v>425</v>
      </c>
      <c r="D145" s="8">
        <v>45307</v>
      </c>
      <c r="E145" s="8" t="str">
        <f t="shared" si="7"/>
        <v>January</v>
      </c>
      <c r="F145">
        <f t="shared" si="8"/>
        <v>2024</v>
      </c>
      <c r="G145">
        <f t="shared" si="9"/>
        <v>1</v>
      </c>
      <c r="H145">
        <f t="shared" si="10"/>
        <v>0</v>
      </c>
      <c r="I145" s="6">
        <v>0.47013888888888888</v>
      </c>
      <c r="J145" s="6">
        <v>0.78472222222222221</v>
      </c>
      <c r="K145" s="7" t="s">
        <v>20</v>
      </c>
      <c r="L145" s="7" t="s">
        <v>14</v>
      </c>
      <c r="M145" s="7" t="s">
        <v>15</v>
      </c>
      <c r="N145" s="7">
        <f>COUNTIFS(A:A,A145,D:D,D145,E:E,I145)</f>
        <v>0</v>
      </c>
    </row>
    <row r="146" spans="1:14" x14ac:dyDescent="0.3">
      <c r="A146" s="7" t="s">
        <v>16</v>
      </c>
      <c r="B146" s="7" t="s">
        <v>17</v>
      </c>
      <c r="C146" s="7" t="s">
        <v>426</v>
      </c>
      <c r="D146" s="8">
        <v>45349</v>
      </c>
      <c r="E146" s="8" t="str">
        <f t="shared" si="7"/>
        <v>February</v>
      </c>
      <c r="F146">
        <f t="shared" si="8"/>
        <v>2024</v>
      </c>
      <c r="G146">
        <f t="shared" si="9"/>
        <v>1</v>
      </c>
      <c r="H146">
        <f t="shared" si="10"/>
        <v>1</v>
      </c>
      <c r="I146" s="6">
        <v>0.47986111111111113</v>
      </c>
      <c r="J146" s="6">
        <v>0.6743055555555556</v>
      </c>
      <c r="K146" s="7" t="s">
        <v>26</v>
      </c>
      <c r="L146" s="7" t="s">
        <v>14</v>
      </c>
      <c r="M146" s="7" t="s">
        <v>21</v>
      </c>
      <c r="N146" s="7">
        <f>COUNTIFS(A:A,A146,D:D,D146,E:E,I146)</f>
        <v>0</v>
      </c>
    </row>
    <row r="147" spans="1:14" x14ac:dyDescent="0.3">
      <c r="A147" s="7" t="s">
        <v>109</v>
      </c>
      <c r="B147" s="7" t="s">
        <v>110</v>
      </c>
      <c r="C147" s="7" t="s">
        <v>60</v>
      </c>
      <c r="D147" s="8">
        <v>45352</v>
      </c>
      <c r="E147" s="8" t="str">
        <f t="shared" si="7"/>
        <v>March</v>
      </c>
      <c r="F147">
        <f t="shared" si="8"/>
        <v>2024</v>
      </c>
      <c r="G147">
        <f t="shared" si="9"/>
        <v>1</v>
      </c>
      <c r="H147">
        <f t="shared" si="10"/>
        <v>0</v>
      </c>
      <c r="I147" s="6">
        <v>0.41736111111111113</v>
      </c>
      <c r="J147" s="6">
        <v>0.69097222222222221</v>
      </c>
      <c r="K147" s="7" t="s">
        <v>20</v>
      </c>
      <c r="L147" s="7" t="s">
        <v>27</v>
      </c>
      <c r="M147" s="7" t="s">
        <v>21</v>
      </c>
      <c r="N147" s="7">
        <f>COUNTIFS(A:A,A147,D:D,D147,E:E,I147)</f>
        <v>0</v>
      </c>
    </row>
    <row r="148" spans="1:14" x14ac:dyDescent="0.3">
      <c r="A148" s="7" t="s">
        <v>157</v>
      </c>
      <c r="B148" s="7" t="s">
        <v>158</v>
      </c>
      <c r="C148" s="7" t="s">
        <v>426</v>
      </c>
      <c r="D148" s="8">
        <v>45302</v>
      </c>
      <c r="E148" s="8" t="str">
        <f t="shared" si="7"/>
        <v>January</v>
      </c>
      <c r="F148">
        <f t="shared" si="8"/>
        <v>2024</v>
      </c>
      <c r="G148">
        <f t="shared" si="9"/>
        <v>1</v>
      </c>
      <c r="H148">
        <f t="shared" si="10"/>
        <v>0</v>
      </c>
      <c r="I148" s="6">
        <v>0.42569444444444443</v>
      </c>
      <c r="J148" s="6">
        <v>0.8256944444444444</v>
      </c>
      <c r="K148" s="7" t="s">
        <v>20</v>
      </c>
      <c r="L148" s="7" t="s">
        <v>27</v>
      </c>
      <c r="M148" s="7" t="s">
        <v>15</v>
      </c>
      <c r="N148" s="7">
        <f>COUNTIFS(A:A,A148,D:D,D148,E:E,I148)</f>
        <v>0</v>
      </c>
    </row>
    <row r="149" spans="1:14" x14ac:dyDescent="0.3">
      <c r="A149" s="7" t="s">
        <v>138</v>
      </c>
      <c r="B149" s="7" t="s">
        <v>139</v>
      </c>
      <c r="C149" s="7" t="s">
        <v>425</v>
      </c>
      <c r="D149" s="8">
        <v>45368</v>
      </c>
      <c r="E149" s="8" t="str">
        <f t="shared" si="7"/>
        <v>March</v>
      </c>
      <c r="F149">
        <f t="shared" si="8"/>
        <v>2024</v>
      </c>
      <c r="G149">
        <f t="shared" si="9"/>
        <v>1</v>
      </c>
      <c r="H149">
        <f t="shared" si="10"/>
        <v>1</v>
      </c>
      <c r="I149" s="6">
        <v>0.45347222222222222</v>
      </c>
      <c r="J149" s="6">
        <v>0.77083333333333337</v>
      </c>
      <c r="K149" s="7" t="s">
        <v>26</v>
      </c>
      <c r="L149" s="7" t="s">
        <v>14</v>
      </c>
      <c r="M149" s="7" t="s">
        <v>21</v>
      </c>
      <c r="N149" s="7">
        <f>COUNTIFS(A:A,A149,D:D,D149,E:E,I149)</f>
        <v>0</v>
      </c>
    </row>
    <row r="150" spans="1:14" x14ac:dyDescent="0.3">
      <c r="A150" s="7" t="s">
        <v>200</v>
      </c>
      <c r="B150" s="7" t="s">
        <v>201</v>
      </c>
      <c r="C150" s="7" t="s">
        <v>426</v>
      </c>
      <c r="D150" s="8">
        <v>45315</v>
      </c>
      <c r="E150" s="8" t="str">
        <f t="shared" si="7"/>
        <v>January</v>
      </c>
      <c r="F150">
        <f t="shared" si="8"/>
        <v>2024</v>
      </c>
      <c r="G150">
        <f t="shared" si="9"/>
        <v>1</v>
      </c>
      <c r="H150">
        <f t="shared" si="10"/>
        <v>0</v>
      </c>
      <c r="I150" s="6">
        <v>0.42222222222222222</v>
      </c>
      <c r="J150" s="6">
        <v>0.81527777777777777</v>
      </c>
      <c r="K150" s="7" t="s">
        <v>13</v>
      </c>
      <c r="L150" s="7" t="s">
        <v>27</v>
      </c>
      <c r="M150" s="7" t="s">
        <v>15</v>
      </c>
      <c r="N150" s="7">
        <f>COUNTIFS(A:A,A150,D:D,D150,E:E,I150)</f>
        <v>0</v>
      </c>
    </row>
    <row r="151" spans="1:14" x14ac:dyDescent="0.3">
      <c r="A151" s="7" t="s">
        <v>250</v>
      </c>
      <c r="B151" s="7" t="s">
        <v>251</v>
      </c>
      <c r="C151" s="7" t="s">
        <v>60</v>
      </c>
      <c r="D151" s="8">
        <v>45346</v>
      </c>
      <c r="E151" s="8" t="str">
        <f t="shared" si="7"/>
        <v>February</v>
      </c>
      <c r="F151">
        <f t="shared" si="8"/>
        <v>2024</v>
      </c>
      <c r="G151">
        <f t="shared" si="9"/>
        <v>0</v>
      </c>
      <c r="H151">
        <f t="shared" si="10"/>
        <v>0</v>
      </c>
      <c r="I151" s="6"/>
      <c r="J151" s="6"/>
      <c r="K151" s="7" t="s">
        <v>44</v>
      </c>
      <c r="L151" s="7" t="s">
        <v>14</v>
      </c>
      <c r="M151" s="7" t="s">
        <v>21</v>
      </c>
      <c r="N151" s="7">
        <f>COUNTIFS(A:A,A151,D:D,D151,E:E,I151)</f>
        <v>0</v>
      </c>
    </row>
    <row r="152" spans="1:14" x14ac:dyDescent="0.3">
      <c r="A152" s="7" t="s">
        <v>250</v>
      </c>
      <c r="B152" s="7" t="s">
        <v>251</v>
      </c>
      <c r="C152" s="7" t="s">
        <v>60</v>
      </c>
      <c r="D152" s="8">
        <v>45628</v>
      </c>
      <c r="E152" s="8" t="str">
        <f t="shared" si="7"/>
        <v>December</v>
      </c>
      <c r="F152">
        <f t="shared" si="8"/>
        <v>2024</v>
      </c>
      <c r="G152">
        <f t="shared" si="9"/>
        <v>1</v>
      </c>
      <c r="H152">
        <f t="shared" si="10"/>
        <v>0</v>
      </c>
      <c r="I152" s="6">
        <v>0.43958333333333333</v>
      </c>
      <c r="J152" s="6">
        <v>0.75486111111111109</v>
      </c>
      <c r="K152" s="7" t="s">
        <v>20</v>
      </c>
      <c r="L152" s="7" t="s">
        <v>14</v>
      </c>
      <c r="M152" s="7" t="s">
        <v>15</v>
      </c>
      <c r="N152" s="7">
        <f>COUNTIFS(A:A,A152,D:D,D152,E:E,I152)</f>
        <v>0</v>
      </c>
    </row>
    <row r="153" spans="1:14" x14ac:dyDescent="0.3">
      <c r="A153" s="7" t="s">
        <v>200</v>
      </c>
      <c r="B153" s="7" t="s">
        <v>201</v>
      </c>
      <c r="C153" s="7" t="s">
        <v>42</v>
      </c>
      <c r="D153" s="8">
        <v>45325</v>
      </c>
      <c r="E153" s="8" t="str">
        <f t="shared" si="7"/>
        <v>February</v>
      </c>
      <c r="F153">
        <f t="shared" si="8"/>
        <v>2024</v>
      </c>
      <c r="G153">
        <f t="shared" si="9"/>
        <v>1</v>
      </c>
      <c r="H153">
        <f t="shared" si="10"/>
        <v>1</v>
      </c>
      <c r="I153" s="6">
        <v>0.44236111111111109</v>
      </c>
      <c r="J153" s="6">
        <v>0.83125000000000004</v>
      </c>
      <c r="K153" s="7" t="s">
        <v>26</v>
      </c>
      <c r="L153" s="7" t="s">
        <v>14</v>
      </c>
      <c r="M153" s="7" t="s">
        <v>15</v>
      </c>
      <c r="N153" s="7">
        <f>COUNTIFS(A:A,A153,D:D,D153,E:E,I153)</f>
        <v>0</v>
      </c>
    </row>
    <row r="154" spans="1:14" x14ac:dyDescent="0.3">
      <c r="A154" s="7" t="s">
        <v>250</v>
      </c>
      <c r="B154" s="7" t="s">
        <v>251</v>
      </c>
      <c r="C154" s="7" t="s">
        <v>42</v>
      </c>
      <c r="D154" s="8">
        <v>45361</v>
      </c>
      <c r="E154" s="8" t="str">
        <f t="shared" si="7"/>
        <v>March</v>
      </c>
      <c r="F154">
        <f t="shared" si="8"/>
        <v>2024</v>
      </c>
      <c r="G154">
        <f t="shared" si="9"/>
        <v>1</v>
      </c>
      <c r="H154">
        <f t="shared" si="10"/>
        <v>1</v>
      </c>
      <c r="I154" s="6">
        <v>0.43055555555555558</v>
      </c>
      <c r="J154" s="6">
        <v>0.74027777777777781</v>
      </c>
      <c r="K154" s="7" t="s">
        <v>26</v>
      </c>
      <c r="L154" s="7" t="s">
        <v>27</v>
      </c>
      <c r="M154" s="7" t="s">
        <v>21</v>
      </c>
      <c r="N154" s="7">
        <f>COUNTIFS(A:A,A154,D:D,D154,E:E,I154)</f>
        <v>0</v>
      </c>
    </row>
    <row r="155" spans="1:14" x14ac:dyDescent="0.3">
      <c r="A155" s="7" t="s">
        <v>146</v>
      </c>
      <c r="B155" s="7" t="s">
        <v>147</v>
      </c>
      <c r="C155" s="7" t="s">
        <v>426</v>
      </c>
      <c r="D155" s="8">
        <v>45307</v>
      </c>
      <c r="E155" s="8" t="str">
        <f t="shared" si="7"/>
        <v>January</v>
      </c>
      <c r="F155">
        <f t="shared" si="8"/>
        <v>2024</v>
      </c>
      <c r="G155">
        <f t="shared" si="9"/>
        <v>1</v>
      </c>
      <c r="H155">
        <f t="shared" si="10"/>
        <v>1</v>
      </c>
      <c r="I155" s="6">
        <v>0.4826388888888889</v>
      </c>
      <c r="J155" s="6">
        <v>0.84722222222222221</v>
      </c>
      <c r="K155" s="7" t="s">
        <v>26</v>
      </c>
      <c r="L155" s="7" t="s">
        <v>27</v>
      </c>
      <c r="M155" s="7" t="s">
        <v>21</v>
      </c>
      <c r="N155" s="7">
        <f>COUNTIFS(A:A,A155,D:D,D155,E:E,I155)</f>
        <v>0</v>
      </c>
    </row>
    <row r="156" spans="1:14" x14ac:dyDescent="0.3">
      <c r="A156" s="7" t="s">
        <v>9</v>
      </c>
      <c r="B156" s="7" t="s">
        <v>10</v>
      </c>
      <c r="C156" s="7" t="s">
        <v>425</v>
      </c>
      <c r="D156" s="8">
        <v>45306</v>
      </c>
      <c r="E156" s="8" t="str">
        <f t="shared" si="7"/>
        <v>January</v>
      </c>
      <c r="F156">
        <f t="shared" si="8"/>
        <v>2024</v>
      </c>
      <c r="G156">
        <f t="shared" si="9"/>
        <v>1</v>
      </c>
      <c r="H156">
        <f t="shared" si="10"/>
        <v>0</v>
      </c>
      <c r="I156" s="6">
        <v>0.47222222222222221</v>
      </c>
      <c r="J156" s="6">
        <v>0.85277777777777775</v>
      </c>
      <c r="K156" s="7" t="s">
        <v>13</v>
      </c>
      <c r="L156" s="7" t="s">
        <v>14</v>
      </c>
      <c r="M156" s="7" t="s">
        <v>15</v>
      </c>
      <c r="N156" s="7">
        <f>COUNTIFS(A:A,A156,D:D,D156,E:E,I156)</f>
        <v>0</v>
      </c>
    </row>
    <row r="157" spans="1:14" x14ac:dyDescent="0.3">
      <c r="A157" s="7" t="s">
        <v>154</v>
      </c>
      <c r="B157" s="7" t="s">
        <v>155</v>
      </c>
      <c r="C157" s="7" t="s">
        <v>426</v>
      </c>
      <c r="D157" s="8">
        <v>45536</v>
      </c>
      <c r="E157" s="8" t="str">
        <f t="shared" si="7"/>
        <v>September</v>
      </c>
      <c r="F157">
        <f t="shared" si="8"/>
        <v>2024</v>
      </c>
      <c r="G157">
        <f t="shared" si="9"/>
        <v>1</v>
      </c>
      <c r="H157">
        <f t="shared" si="10"/>
        <v>0</v>
      </c>
      <c r="I157" s="6">
        <v>0.47638888888888886</v>
      </c>
      <c r="J157" s="6">
        <v>0.82916666666666672</v>
      </c>
      <c r="K157" s="7" t="s">
        <v>13</v>
      </c>
      <c r="L157" s="7" t="s">
        <v>14</v>
      </c>
      <c r="M157" s="7" t="s">
        <v>15</v>
      </c>
      <c r="N157" s="7">
        <f>COUNTIFS(A:A,A157,D:D,D157,E:E,I157)</f>
        <v>0</v>
      </c>
    </row>
    <row r="158" spans="1:14" x14ac:dyDescent="0.3">
      <c r="A158" s="7" t="s">
        <v>134</v>
      </c>
      <c r="B158" s="7" t="s">
        <v>135</v>
      </c>
      <c r="C158" s="7" t="s">
        <v>425</v>
      </c>
      <c r="D158" s="8">
        <v>45323</v>
      </c>
      <c r="E158" s="8" t="str">
        <f t="shared" si="7"/>
        <v>February</v>
      </c>
      <c r="F158">
        <f t="shared" si="8"/>
        <v>2024</v>
      </c>
      <c r="G158">
        <f t="shared" si="9"/>
        <v>1</v>
      </c>
      <c r="H158">
        <f t="shared" si="10"/>
        <v>0</v>
      </c>
      <c r="I158" s="6">
        <v>0.47430555555555554</v>
      </c>
      <c r="J158" s="6">
        <v>0.85972222222222228</v>
      </c>
      <c r="K158" s="7" t="s">
        <v>20</v>
      </c>
      <c r="L158" s="7" t="s">
        <v>27</v>
      </c>
      <c r="M158" s="7" t="s">
        <v>15</v>
      </c>
      <c r="N158" s="7">
        <f>COUNTIFS(A:A,A158,D:D,D158,E:E,I158)</f>
        <v>0</v>
      </c>
    </row>
    <row r="159" spans="1:14" x14ac:dyDescent="0.3">
      <c r="A159" s="7" t="s">
        <v>146</v>
      </c>
      <c r="B159" s="7" t="s">
        <v>147</v>
      </c>
      <c r="C159" s="7" t="s">
        <v>60</v>
      </c>
      <c r="D159" s="8">
        <v>45315</v>
      </c>
      <c r="E159" s="8" t="str">
        <f t="shared" si="7"/>
        <v>January</v>
      </c>
      <c r="F159">
        <f t="shared" si="8"/>
        <v>2024</v>
      </c>
      <c r="G159">
        <f t="shared" si="9"/>
        <v>1</v>
      </c>
      <c r="H159">
        <f t="shared" si="10"/>
        <v>0</v>
      </c>
      <c r="I159" s="6">
        <v>0.38680555555555557</v>
      </c>
      <c r="J159" s="6">
        <v>0.81319444444444444</v>
      </c>
      <c r="K159" s="7" t="s">
        <v>13</v>
      </c>
      <c r="L159" s="7" t="s">
        <v>14</v>
      </c>
      <c r="M159" s="7" t="s">
        <v>15</v>
      </c>
      <c r="N159" s="7">
        <f>COUNTIFS(A:A,A159,D:D,D159,E:E,I159)</f>
        <v>0</v>
      </c>
    </row>
    <row r="160" spans="1:14" x14ac:dyDescent="0.3">
      <c r="A160" s="7" t="s">
        <v>22</v>
      </c>
      <c r="B160" s="7" t="s">
        <v>23</v>
      </c>
      <c r="C160" s="7" t="s">
        <v>42</v>
      </c>
      <c r="D160" s="8">
        <v>45567</v>
      </c>
      <c r="E160" s="8" t="str">
        <f t="shared" si="7"/>
        <v>October</v>
      </c>
      <c r="F160">
        <f t="shared" si="8"/>
        <v>2024</v>
      </c>
      <c r="G160">
        <f t="shared" si="9"/>
        <v>1</v>
      </c>
      <c r="H160">
        <f t="shared" si="10"/>
        <v>0</v>
      </c>
      <c r="I160" s="6">
        <v>0.39097222222222222</v>
      </c>
      <c r="J160" s="6">
        <v>0.68958333333333333</v>
      </c>
      <c r="K160" s="7" t="s">
        <v>20</v>
      </c>
      <c r="L160" s="7" t="s">
        <v>27</v>
      </c>
      <c r="M160" s="7" t="s">
        <v>21</v>
      </c>
      <c r="N160" s="7">
        <f>COUNTIFS(A:A,A160,D:D,D160,E:E,I160)</f>
        <v>0</v>
      </c>
    </row>
    <row r="161" spans="1:14" x14ac:dyDescent="0.3">
      <c r="A161" s="7" t="s">
        <v>90</v>
      </c>
      <c r="B161" s="7" t="s">
        <v>91</v>
      </c>
      <c r="C161" s="7" t="s">
        <v>425</v>
      </c>
      <c r="D161" s="8">
        <v>45320</v>
      </c>
      <c r="E161" s="8" t="str">
        <f t="shared" si="7"/>
        <v>January</v>
      </c>
      <c r="F161">
        <f t="shared" si="8"/>
        <v>2024</v>
      </c>
      <c r="G161">
        <f t="shared" si="9"/>
        <v>1</v>
      </c>
      <c r="H161">
        <f t="shared" si="10"/>
        <v>1</v>
      </c>
      <c r="I161" s="6">
        <v>0.36736111111111114</v>
      </c>
      <c r="J161" s="6">
        <v>0.73333333333333328</v>
      </c>
      <c r="K161" s="7" t="s">
        <v>26</v>
      </c>
      <c r="L161" s="7" t="s">
        <v>14</v>
      </c>
      <c r="M161" s="7" t="s">
        <v>15</v>
      </c>
      <c r="N161" s="7">
        <f>COUNTIFS(A:A,A161,D:D,D161,E:E,I161)</f>
        <v>0</v>
      </c>
    </row>
    <row r="162" spans="1:14" x14ac:dyDescent="0.3">
      <c r="A162" s="7" t="s">
        <v>246</v>
      </c>
      <c r="B162" s="7" t="s">
        <v>247</v>
      </c>
      <c r="C162" s="7" t="s">
        <v>42</v>
      </c>
      <c r="D162" s="8">
        <v>45354</v>
      </c>
      <c r="E162" s="8" t="str">
        <f t="shared" si="7"/>
        <v>March</v>
      </c>
      <c r="F162">
        <f t="shared" si="8"/>
        <v>2024</v>
      </c>
      <c r="G162">
        <f t="shared" si="9"/>
        <v>1</v>
      </c>
      <c r="H162">
        <f t="shared" si="10"/>
        <v>0</v>
      </c>
      <c r="I162" s="6">
        <v>0.48749999999999999</v>
      </c>
      <c r="J162" s="6">
        <v>0.78888888888888886</v>
      </c>
      <c r="K162" s="7" t="s">
        <v>20</v>
      </c>
      <c r="L162" s="7" t="s">
        <v>27</v>
      </c>
      <c r="M162" s="7" t="s">
        <v>15</v>
      </c>
      <c r="N162" s="7">
        <f>COUNTIFS(A:A,A162,D:D,D162,E:E,I162)</f>
        <v>0</v>
      </c>
    </row>
    <row r="163" spans="1:14" x14ac:dyDescent="0.3">
      <c r="A163" s="7" t="s">
        <v>99</v>
      </c>
      <c r="B163" s="7" t="s">
        <v>100</v>
      </c>
      <c r="C163" s="7" t="s">
        <v>425</v>
      </c>
      <c r="D163" s="8">
        <v>45505</v>
      </c>
      <c r="E163" s="8" t="str">
        <f t="shared" si="7"/>
        <v>August</v>
      </c>
      <c r="F163">
        <f t="shared" si="8"/>
        <v>2024</v>
      </c>
      <c r="G163">
        <f t="shared" si="9"/>
        <v>1</v>
      </c>
      <c r="H163">
        <f t="shared" si="10"/>
        <v>1</v>
      </c>
      <c r="I163" s="6">
        <v>0.36041666666666666</v>
      </c>
      <c r="J163" s="6">
        <v>0.77638888888888891</v>
      </c>
      <c r="K163" s="7" t="s">
        <v>26</v>
      </c>
      <c r="L163" s="7" t="s">
        <v>27</v>
      </c>
      <c r="M163" s="7" t="s">
        <v>15</v>
      </c>
      <c r="N163" s="7">
        <f>COUNTIFS(A:A,A163,D:D,D163,E:E,I163)</f>
        <v>0</v>
      </c>
    </row>
    <row r="164" spans="1:14" x14ac:dyDescent="0.3">
      <c r="A164" s="7" t="s">
        <v>69</v>
      </c>
      <c r="B164" s="7" t="s">
        <v>70</v>
      </c>
      <c r="C164" s="7" t="s">
        <v>42</v>
      </c>
      <c r="D164" s="8">
        <v>45317</v>
      </c>
      <c r="E164" s="8" t="str">
        <f t="shared" si="7"/>
        <v>January</v>
      </c>
      <c r="F164">
        <f t="shared" si="8"/>
        <v>2024</v>
      </c>
      <c r="G164">
        <f t="shared" si="9"/>
        <v>1</v>
      </c>
      <c r="H164">
        <f t="shared" si="10"/>
        <v>1</v>
      </c>
      <c r="I164" s="6">
        <v>0.40208333333333335</v>
      </c>
      <c r="J164" s="6">
        <v>0.79027777777777775</v>
      </c>
      <c r="K164" s="7" t="s">
        <v>26</v>
      </c>
      <c r="L164" s="7" t="s">
        <v>27</v>
      </c>
      <c r="M164" s="7" t="s">
        <v>15</v>
      </c>
      <c r="N164" s="7">
        <f>COUNTIFS(A:A,A164,D:D,D164,E:E,I164)</f>
        <v>0</v>
      </c>
    </row>
    <row r="165" spans="1:14" x14ac:dyDescent="0.3">
      <c r="A165" s="7" t="s">
        <v>146</v>
      </c>
      <c r="B165" s="7" t="s">
        <v>147</v>
      </c>
      <c r="C165" s="7" t="s">
        <v>60</v>
      </c>
      <c r="D165" s="8">
        <v>45346</v>
      </c>
      <c r="E165" s="8" t="str">
        <f t="shared" si="7"/>
        <v>February</v>
      </c>
      <c r="F165">
        <f t="shared" si="8"/>
        <v>2024</v>
      </c>
      <c r="G165">
        <f t="shared" si="9"/>
        <v>1</v>
      </c>
      <c r="H165">
        <f t="shared" si="10"/>
        <v>1</v>
      </c>
      <c r="I165" s="6">
        <v>0.43680555555555556</v>
      </c>
      <c r="J165" s="6">
        <v>0.74930555555555556</v>
      </c>
      <c r="K165" s="7" t="s">
        <v>26</v>
      </c>
      <c r="L165" s="7" t="s">
        <v>27</v>
      </c>
      <c r="M165" s="7" t="s">
        <v>15</v>
      </c>
      <c r="N165" s="7">
        <f>COUNTIFS(A:A,A165,D:D,D165,E:E,I165)</f>
        <v>0</v>
      </c>
    </row>
    <row r="166" spans="1:14" x14ac:dyDescent="0.3">
      <c r="A166" s="7" t="s">
        <v>45</v>
      </c>
      <c r="B166" s="7" t="s">
        <v>46</v>
      </c>
      <c r="C166" s="7" t="s">
        <v>42</v>
      </c>
      <c r="D166" s="8">
        <v>45321</v>
      </c>
      <c r="E166" s="8" t="str">
        <f t="shared" si="7"/>
        <v>January</v>
      </c>
      <c r="F166">
        <f t="shared" si="8"/>
        <v>2024</v>
      </c>
      <c r="G166">
        <f t="shared" si="9"/>
        <v>0</v>
      </c>
      <c r="H166">
        <f t="shared" si="10"/>
        <v>0</v>
      </c>
      <c r="I166" s="6"/>
      <c r="J166" s="6"/>
      <c r="K166" s="7" t="s">
        <v>44</v>
      </c>
      <c r="L166" s="7" t="s">
        <v>27</v>
      </c>
      <c r="M166" s="7" t="s">
        <v>15</v>
      </c>
      <c r="N166" s="7">
        <f>COUNTIFS(A:A,A166,D:D,D166,E:E,I166)</f>
        <v>0</v>
      </c>
    </row>
    <row r="167" spans="1:14" x14ac:dyDescent="0.3">
      <c r="A167" s="7" t="s">
        <v>16</v>
      </c>
      <c r="B167" s="7" t="s">
        <v>17</v>
      </c>
      <c r="C167" s="7" t="s">
        <v>426</v>
      </c>
      <c r="D167" s="8">
        <v>45337</v>
      </c>
      <c r="E167" s="8" t="str">
        <f t="shared" si="7"/>
        <v>February</v>
      </c>
      <c r="F167">
        <f t="shared" si="8"/>
        <v>2024</v>
      </c>
      <c r="G167">
        <f t="shared" si="9"/>
        <v>1</v>
      </c>
      <c r="H167">
        <f t="shared" si="10"/>
        <v>0</v>
      </c>
      <c r="I167" s="6">
        <v>0.48055555555555557</v>
      </c>
      <c r="J167" s="6">
        <v>0.70833333333333337</v>
      </c>
      <c r="K167" s="7" t="s">
        <v>20</v>
      </c>
      <c r="L167" s="7" t="s">
        <v>14</v>
      </c>
      <c r="M167" s="7" t="s">
        <v>21</v>
      </c>
      <c r="N167" s="7">
        <f>COUNTIFS(A:A,A167,D:D,D167,E:E,I167)</f>
        <v>0</v>
      </c>
    </row>
    <row r="168" spans="1:14" x14ac:dyDescent="0.3">
      <c r="A168" s="7" t="s">
        <v>200</v>
      </c>
      <c r="B168" s="7" t="s">
        <v>201</v>
      </c>
      <c r="C168" s="7" t="s">
        <v>64</v>
      </c>
      <c r="D168" s="8">
        <v>45318</v>
      </c>
      <c r="E168" s="8" t="str">
        <f t="shared" si="7"/>
        <v>January</v>
      </c>
      <c r="F168">
        <f t="shared" si="8"/>
        <v>2024</v>
      </c>
      <c r="G168">
        <f t="shared" si="9"/>
        <v>0</v>
      </c>
      <c r="H168">
        <f t="shared" si="10"/>
        <v>0</v>
      </c>
      <c r="I168" s="6"/>
      <c r="J168" s="6"/>
      <c r="K168" s="7" t="s">
        <v>44</v>
      </c>
      <c r="L168" s="7" t="s">
        <v>14</v>
      </c>
      <c r="M168" s="7" t="s">
        <v>21</v>
      </c>
      <c r="N168" s="7">
        <f>COUNTIFS(A:A,A168,D:D,D168,E:E,I168)</f>
        <v>0</v>
      </c>
    </row>
    <row r="169" spans="1:14" x14ac:dyDescent="0.3">
      <c r="A169" s="7" t="s">
        <v>175</v>
      </c>
      <c r="B169" s="7" t="s">
        <v>176</v>
      </c>
      <c r="C169" s="7" t="s">
        <v>64</v>
      </c>
      <c r="D169" s="8">
        <v>45368</v>
      </c>
      <c r="E169" s="8" t="str">
        <f t="shared" si="7"/>
        <v>March</v>
      </c>
      <c r="F169">
        <f t="shared" si="8"/>
        <v>2024</v>
      </c>
      <c r="G169">
        <f t="shared" si="9"/>
        <v>1</v>
      </c>
      <c r="H169">
        <f t="shared" si="10"/>
        <v>1</v>
      </c>
      <c r="I169" s="6">
        <v>0.44722222222222224</v>
      </c>
      <c r="J169" s="6">
        <v>0.84791666666666665</v>
      </c>
      <c r="K169" s="7" t="s">
        <v>26</v>
      </c>
      <c r="L169" s="7" t="s">
        <v>27</v>
      </c>
      <c r="M169" s="7" t="s">
        <v>21</v>
      </c>
      <c r="N169" s="7">
        <f>COUNTIFS(A:A,A169,D:D,D169,E:E,I169)</f>
        <v>0</v>
      </c>
    </row>
    <row r="170" spans="1:14" x14ac:dyDescent="0.3">
      <c r="A170" s="7" t="s">
        <v>191</v>
      </c>
      <c r="B170" s="7" t="s">
        <v>192</v>
      </c>
      <c r="C170" s="7" t="s">
        <v>64</v>
      </c>
      <c r="D170" s="8">
        <v>45309</v>
      </c>
      <c r="E170" s="8" t="str">
        <f t="shared" si="7"/>
        <v>January</v>
      </c>
      <c r="F170">
        <f t="shared" si="8"/>
        <v>2024</v>
      </c>
      <c r="G170">
        <f t="shared" si="9"/>
        <v>0</v>
      </c>
      <c r="H170">
        <f t="shared" si="10"/>
        <v>0</v>
      </c>
      <c r="I170" s="6"/>
      <c r="J170" s="6"/>
      <c r="K170" s="7" t="s">
        <v>44</v>
      </c>
      <c r="L170" s="7" t="s">
        <v>14</v>
      </c>
      <c r="M170" s="7" t="s">
        <v>21</v>
      </c>
      <c r="N170" s="7">
        <f>COUNTIFS(A:A,A170,D:D,D170,E:E,I170)</f>
        <v>0</v>
      </c>
    </row>
    <row r="171" spans="1:14" x14ac:dyDescent="0.3">
      <c r="A171" s="7" t="s">
        <v>150</v>
      </c>
      <c r="B171" s="7" t="s">
        <v>151</v>
      </c>
      <c r="C171" s="7" t="s">
        <v>64</v>
      </c>
      <c r="D171" s="8">
        <v>45308</v>
      </c>
      <c r="E171" s="8" t="str">
        <f t="shared" si="7"/>
        <v>January</v>
      </c>
      <c r="F171">
        <f t="shared" si="8"/>
        <v>2024</v>
      </c>
      <c r="G171">
        <f t="shared" si="9"/>
        <v>1</v>
      </c>
      <c r="H171">
        <f t="shared" si="10"/>
        <v>0</v>
      </c>
      <c r="I171" s="6">
        <v>0.42430555555555555</v>
      </c>
      <c r="J171" s="6">
        <v>0.86736111111111114</v>
      </c>
      <c r="K171" s="7" t="s">
        <v>20</v>
      </c>
      <c r="L171" s="7" t="s">
        <v>27</v>
      </c>
      <c r="M171" s="7" t="s">
        <v>15</v>
      </c>
      <c r="N171" s="7">
        <f>COUNTIFS(A:A,A171,D:D,D171,E:E,I171)</f>
        <v>0</v>
      </c>
    </row>
    <row r="172" spans="1:14" x14ac:dyDescent="0.3">
      <c r="A172" s="7" t="s">
        <v>102</v>
      </c>
      <c r="B172" s="7" t="s">
        <v>103</v>
      </c>
      <c r="C172" s="7" t="s">
        <v>42</v>
      </c>
      <c r="D172" s="8">
        <v>45321</v>
      </c>
      <c r="E172" s="8" t="str">
        <f t="shared" si="7"/>
        <v>January</v>
      </c>
      <c r="F172">
        <f t="shared" si="8"/>
        <v>2024</v>
      </c>
      <c r="G172">
        <f t="shared" si="9"/>
        <v>1</v>
      </c>
      <c r="H172">
        <f t="shared" si="10"/>
        <v>0</v>
      </c>
      <c r="I172" s="6">
        <v>0.46250000000000002</v>
      </c>
      <c r="J172" s="6">
        <v>0.76249999999999996</v>
      </c>
      <c r="K172" s="7" t="s">
        <v>13</v>
      </c>
      <c r="L172" s="7" t="s">
        <v>14</v>
      </c>
      <c r="M172" s="7" t="s">
        <v>15</v>
      </c>
      <c r="N172" s="7">
        <f>COUNTIFS(A:A,A172,D:D,D172,E:E,I172)</f>
        <v>0</v>
      </c>
    </row>
    <row r="173" spans="1:14" x14ac:dyDescent="0.3">
      <c r="A173" s="7" t="s">
        <v>157</v>
      </c>
      <c r="B173" s="7" t="s">
        <v>158</v>
      </c>
      <c r="C173" s="7" t="s">
        <v>60</v>
      </c>
      <c r="D173" s="8">
        <v>45319</v>
      </c>
      <c r="E173" s="8" t="str">
        <f t="shared" si="7"/>
        <v>January</v>
      </c>
      <c r="F173">
        <f t="shared" si="8"/>
        <v>2024</v>
      </c>
      <c r="G173">
        <f t="shared" si="9"/>
        <v>0</v>
      </c>
      <c r="H173">
        <f t="shared" si="10"/>
        <v>0</v>
      </c>
      <c r="I173" s="6"/>
      <c r="J173" s="6"/>
      <c r="K173" s="7" t="s">
        <v>44</v>
      </c>
      <c r="L173" s="7" t="s">
        <v>14</v>
      </c>
      <c r="M173" s="7" t="s">
        <v>15</v>
      </c>
      <c r="N173" s="7">
        <f>COUNTIFS(A:A,A173,D:D,D173,E:E,I173)</f>
        <v>0</v>
      </c>
    </row>
    <row r="174" spans="1:14" x14ac:dyDescent="0.3">
      <c r="A174" s="7" t="s">
        <v>102</v>
      </c>
      <c r="B174" s="7" t="s">
        <v>103</v>
      </c>
      <c r="C174" s="7" t="s">
        <v>426</v>
      </c>
      <c r="D174" s="8">
        <v>45334</v>
      </c>
      <c r="E174" s="8" t="str">
        <f t="shared" si="7"/>
        <v>February</v>
      </c>
      <c r="F174">
        <f t="shared" si="8"/>
        <v>2024</v>
      </c>
      <c r="G174">
        <f t="shared" si="9"/>
        <v>1</v>
      </c>
      <c r="H174">
        <f t="shared" si="10"/>
        <v>1</v>
      </c>
      <c r="I174" s="6">
        <v>0.48680555555555555</v>
      </c>
      <c r="J174" s="6">
        <v>0.76388888888888884</v>
      </c>
      <c r="K174" s="7" t="s">
        <v>26</v>
      </c>
      <c r="L174" s="7" t="s">
        <v>27</v>
      </c>
      <c r="M174" s="7" t="s">
        <v>21</v>
      </c>
      <c r="N174" s="7">
        <f>COUNTIFS(A:A,A174,D:D,D174,E:E,I174)</f>
        <v>0</v>
      </c>
    </row>
    <row r="175" spans="1:14" x14ac:dyDescent="0.3">
      <c r="A175" s="7" t="s">
        <v>96</v>
      </c>
      <c r="B175" s="7" t="s">
        <v>97</v>
      </c>
      <c r="C175" s="7" t="s">
        <v>42</v>
      </c>
      <c r="D175" s="8">
        <v>45536</v>
      </c>
      <c r="E175" s="8" t="str">
        <f t="shared" si="7"/>
        <v>September</v>
      </c>
      <c r="F175">
        <f t="shared" si="8"/>
        <v>2024</v>
      </c>
      <c r="G175">
        <f t="shared" si="9"/>
        <v>1</v>
      </c>
      <c r="H175">
        <f t="shared" si="10"/>
        <v>0</v>
      </c>
      <c r="I175" s="6">
        <v>0.45</v>
      </c>
      <c r="J175" s="6">
        <v>0.71527777777777779</v>
      </c>
      <c r="K175" s="7" t="s">
        <v>20</v>
      </c>
      <c r="L175" s="7" t="s">
        <v>27</v>
      </c>
      <c r="M175" s="7" t="s">
        <v>21</v>
      </c>
      <c r="N175" s="7">
        <f>COUNTIFS(A:A,A175,D:D,D175,E:E,I175)</f>
        <v>0</v>
      </c>
    </row>
    <row r="176" spans="1:14" x14ac:dyDescent="0.3">
      <c r="A176" s="7" t="s">
        <v>55</v>
      </c>
      <c r="B176" s="7" t="s">
        <v>56</v>
      </c>
      <c r="C176" s="7" t="s">
        <v>425</v>
      </c>
      <c r="D176" s="8">
        <v>45349</v>
      </c>
      <c r="E176" s="8" t="str">
        <f t="shared" si="7"/>
        <v>February</v>
      </c>
      <c r="F176">
        <f t="shared" si="8"/>
        <v>2024</v>
      </c>
      <c r="G176">
        <f t="shared" si="9"/>
        <v>1</v>
      </c>
      <c r="H176">
        <f t="shared" si="10"/>
        <v>0</v>
      </c>
      <c r="I176" s="6">
        <v>0.48680555555555555</v>
      </c>
      <c r="J176" s="6">
        <v>0.75347222222222221</v>
      </c>
      <c r="K176" s="7" t="s">
        <v>13</v>
      </c>
      <c r="L176" s="7" t="s">
        <v>14</v>
      </c>
      <c r="M176" s="7" t="s">
        <v>21</v>
      </c>
      <c r="N176" s="7">
        <f>COUNTIFS(A:A,A176,D:D,D176,E:E,I176)</f>
        <v>0</v>
      </c>
    </row>
    <row r="177" spans="1:14" x14ac:dyDescent="0.3">
      <c r="A177" s="7" t="s">
        <v>62</v>
      </c>
      <c r="B177" s="7" t="s">
        <v>63</v>
      </c>
      <c r="C177" s="7" t="s">
        <v>425</v>
      </c>
      <c r="D177" s="8">
        <v>45353</v>
      </c>
      <c r="E177" s="8" t="str">
        <f t="shared" si="7"/>
        <v>March</v>
      </c>
      <c r="F177">
        <f t="shared" si="8"/>
        <v>2024</v>
      </c>
      <c r="G177">
        <f t="shared" si="9"/>
        <v>1</v>
      </c>
      <c r="H177">
        <f t="shared" si="10"/>
        <v>0</v>
      </c>
      <c r="I177" s="6">
        <v>0.39652777777777776</v>
      </c>
      <c r="J177" s="6">
        <v>0.72083333333333333</v>
      </c>
      <c r="K177" s="7" t="s">
        <v>13</v>
      </c>
      <c r="L177" s="7" t="s">
        <v>27</v>
      </c>
      <c r="M177" s="7" t="s">
        <v>15</v>
      </c>
      <c r="N177" s="7">
        <f>COUNTIFS(A:A,A177,D:D,D177,E:E,I177)</f>
        <v>0</v>
      </c>
    </row>
    <row r="178" spans="1:14" x14ac:dyDescent="0.3">
      <c r="A178" s="7" t="s">
        <v>66</v>
      </c>
      <c r="B178" s="7" t="s">
        <v>67</v>
      </c>
      <c r="C178" s="7" t="s">
        <v>42</v>
      </c>
      <c r="D178" s="8">
        <v>45567</v>
      </c>
      <c r="E178" s="8" t="str">
        <f t="shared" si="7"/>
        <v>October</v>
      </c>
      <c r="F178">
        <f t="shared" si="8"/>
        <v>2024</v>
      </c>
      <c r="G178">
        <f t="shared" si="9"/>
        <v>1</v>
      </c>
      <c r="H178">
        <f t="shared" si="10"/>
        <v>1</v>
      </c>
      <c r="I178" s="6">
        <v>0.47222222222222221</v>
      </c>
      <c r="J178" s="6">
        <v>0.70902777777777781</v>
      </c>
      <c r="K178" s="7" t="s">
        <v>26</v>
      </c>
      <c r="L178" s="7" t="s">
        <v>27</v>
      </c>
      <c r="M178" s="7" t="s">
        <v>15</v>
      </c>
      <c r="N178" s="7">
        <f>COUNTIFS(A:A,A178,D:D,D178,E:E,I178)</f>
        <v>0</v>
      </c>
    </row>
    <row r="179" spans="1:14" x14ac:dyDescent="0.3">
      <c r="A179" s="7" t="s">
        <v>112</v>
      </c>
      <c r="B179" s="7" t="s">
        <v>113</v>
      </c>
      <c r="C179" s="7" t="s">
        <v>60</v>
      </c>
      <c r="D179" s="8">
        <v>45368</v>
      </c>
      <c r="E179" s="8" t="str">
        <f t="shared" si="7"/>
        <v>March</v>
      </c>
      <c r="F179">
        <f t="shared" si="8"/>
        <v>2024</v>
      </c>
      <c r="G179">
        <f t="shared" si="9"/>
        <v>1</v>
      </c>
      <c r="H179">
        <f t="shared" si="10"/>
        <v>1</v>
      </c>
      <c r="I179" s="6">
        <v>0.46666666666666667</v>
      </c>
      <c r="J179" s="6">
        <v>0.85277777777777775</v>
      </c>
      <c r="K179" s="7" t="s">
        <v>26</v>
      </c>
      <c r="L179" s="7" t="s">
        <v>27</v>
      </c>
      <c r="M179" s="7" t="s">
        <v>21</v>
      </c>
      <c r="N179" s="7">
        <f>COUNTIFS(A:A,A179,D:D,D179,E:E,I179)</f>
        <v>0</v>
      </c>
    </row>
    <row r="180" spans="1:14" x14ac:dyDescent="0.3">
      <c r="A180" s="7" t="s">
        <v>194</v>
      </c>
      <c r="B180" s="7" t="s">
        <v>195</v>
      </c>
      <c r="C180" s="7" t="s">
        <v>426</v>
      </c>
      <c r="D180" s="8">
        <v>45345</v>
      </c>
      <c r="E180" s="8" t="str">
        <f t="shared" si="7"/>
        <v>February</v>
      </c>
      <c r="F180">
        <f t="shared" si="8"/>
        <v>2024</v>
      </c>
      <c r="G180">
        <f t="shared" si="9"/>
        <v>1</v>
      </c>
      <c r="H180">
        <f t="shared" si="10"/>
        <v>0</v>
      </c>
      <c r="I180" s="6">
        <v>0.47847222222222224</v>
      </c>
      <c r="J180" s="6">
        <v>0.8125</v>
      </c>
      <c r="K180" s="7" t="s">
        <v>20</v>
      </c>
      <c r="L180" s="7" t="s">
        <v>27</v>
      </c>
      <c r="M180" s="7" t="s">
        <v>15</v>
      </c>
      <c r="N180" s="7">
        <f>COUNTIFS(A:A,A180,D:D,D180,E:E,I180)</f>
        <v>0</v>
      </c>
    </row>
    <row r="181" spans="1:14" x14ac:dyDescent="0.3">
      <c r="A181" s="7" t="s">
        <v>66</v>
      </c>
      <c r="B181" s="7" t="s">
        <v>67</v>
      </c>
      <c r="C181" s="7" t="s">
        <v>60</v>
      </c>
      <c r="D181" s="8">
        <v>45315</v>
      </c>
      <c r="E181" s="8" t="str">
        <f t="shared" si="7"/>
        <v>January</v>
      </c>
      <c r="F181">
        <f t="shared" si="8"/>
        <v>2024</v>
      </c>
      <c r="G181">
        <f t="shared" si="9"/>
        <v>1</v>
      </c>
      <c r="H181">
        <f t="shared" si="10"/>
        <v>0</v>
      </c>
      <c r="I181" s="6">
        <v>0.42430555555555555</v>
      </c>
      <c r="J181" s="6">
        <v>0.72291666666666665</v>
      </c>
      <c r="K181" s="7" t="s">
        <v>20</v>
      </c>
      <c r="L181" s="7" t="s">
        <v>27</v>
      </c>
      <c r="M181" s="7" t="s">
        <v>15</v>
      </c>
      <c r="N181" s="7">
        <f>COUNTIFS(A:A,A181,D:D,D181,E:E,I181)</f>
        <v>0</v>
      </c>
    </row>
    <row r="182" spans="1:14" x14ac:dyDescent="0.3">
      <c r="A182" s="7" t="s">
        <v>250</v>
      </c>
      <c r="B182" s="7" t="s">
        <v>251</v>
      </c>
      <c r="C182" s="7" t="s">
        <v>64</v>
      </c>
      <c r="D182" s="8">
        <v>45336</v>
      </c>
      <c r="E182" s="8" t="str">
        <f t="shared" si="7"/>
        <v>February</v>
      </c>
      <c r="F182">
        <f t="shared" si="8"/>
        <v>2024</v>
      </c>
      <c r="G182">
        <f t="shared" si="9"/>
        <v>1</v>
      </c>
      <c r="H182">
        <f t="shared" si="10"/>
        <v>0</v>
      </c>
      <c r="I182" s="6">
        <v>0.44791666666666669</v>
      </c>
      <c r="J182" s="6">
        <v>0.73333333333333328</v>
      </c>
      <c r="K182" s="7" t="s">
        <v>13</v>
      </c>
      <c r="L182" s="7" t="s">
        <v>14</v>
      </c>
      <c r="M182" s="7" t="s">
        <v>21</v>
      </c>
      <c r="N182" s="7">
        <f>COUNTIFS(A:A,A182,D:D,D182,E:E,I182)</f>
        <v>0</v>
      </c>
    </row>
    <row r="183" spans="1:14" x14ac:dyDescent="0.3">
      <c r="A183" s="7" t="s">
        <v>130</v>
      </c>
      <c r="B183" s="7" t="s">
        <v>131</v>
      </c>
      <c r="C183" s="7" t="s">
        <v>425</v>
      </c>
      <c r="D183" s="8">
        <v>45506</v>
      </c>
      <c r="E183" s="8" t="str">
        <f t="shared" si="7"/>
        <v>August</v>
      </c>
      <c r="F183">
        <f t="shared" si="8"/>
        <v>2024</v>
      </c>
      <c r="G183">
        <f t="shared" si="9"/>
        <v>0</v>
      </c>
      <c r="H183">
        <f t="shared" si="10"/>
        <v>0</v>
      </c>
      <c r="I183" s="6"/>
      <c r="J183" s="6"/>
      <c r="K183" s="7" t="s">
        <v>44</v>
      </c>
      <c r="L183" s="7" t="s">
        <v>27</v>
      </c>
      <c r="M183" s="7" t="s">
        <v>15</v>
      </c>
      <c r="N183" s="7">
        <f>COUNTIFS(A:A,A183,D:D,D183,E:E,I183)</f>
        <v>0</v>
      </c>
    </row>
    <row r="184" spans="1:14" x14ac:dyDescent="0.3">
      <c r="A184" s="7" t="s">
        <v>157</v>
      </c>
      <c r="B184" s="7" t="s">
        <v>158</v>
      </c>
      <c r="C184" s="7" t="s">
        <v>64</v>
      </c>
      <c r="D184" s="8">
        <v>45321</v>
      </c>
      <c r="E184" s="8" t="str">
        <f t="shared" si="7"/>
        <v>January</v>
      </c>
      <c r="F184">
        <f t="shared" si="8"/>
        <v>2024</v>
      </c>
      <c r="G184">
        <f t="shared" si="9"/>
        <v>1</v>
      </c>
      <c r="H184">
        <f t="shared" si="10"/>
        <v>1</v>
      </c>
      <c r="I184" s="6">
        <v>0.44444444444444442</v>
      </c>
      <c r="J184" s="6">
        <v>0.74375000000000002</v>
      </c>
      <c r="K184" s="7" t="s">
        <v>26</v>
      </c>
      <c r="L184" s="7" t="s">
        <v>27</v>
      </c>
      <c r="M184" s="7" t="s">
        <v>21</v>
      </c>
      <c r="N184" s="7">
        <f>COUNTIFS(A:A,A184,D:D,D184,E:E,I184)</f>
        <v>0</v>
      </c>
    </row>
    <row r="185" spans="1:14" x14ac:dyDescent="0.3">
      <c r="A185" s="7" t="s">
        <v>146</v>
      </c>
      <c r="B185" s="7" t="s">
        <v>147</v>
      </c>
      <c r="C185" s="7" t="s">
        <v>64</v>
      </c>
      <c r="D185" s="8">
        <v>45299</v>
      </c>
      <c r="E185" s="8" t="str">
        <f t="shared" si="7"/>
        <v>January</v>
      </c>
      <c r="F185">
        <f t="shared" si="8"/>
        <v>2024</v>
      </c>
      <c r="G185">
        <f t="shared" si="9"/>
        <v>1</v>
      </c>
      <c r="H185">
        <f t="shared" si="10"/>
        <v>0</v>
      </c>
      <c r="I185" s="6">
        <v>0.36944444444444446</v>
      </c>
      <c r="J185" s="6">
        <v>0.78055555555555556</v>
      </c>
      <c r="K185" s="7" t="s">
        <v>13</v>
      </c>
      <c r="L185" s="7" t="s">
        <v>27</v>
      </c>
      <c r="M185" s="7" t="s">
        <v>21</v>
      </c>
      <c r="N185" s="7">
        <f>COUNTIFS(A:A,A185,D:D,D185,E:E,I185)</f>
        <v>0</v>
      </c>
    </row>
    <row r="186" spans="1:14" x14ac:dyDescent="0.3">
      <c r="A186" s="7" t="s">
        <v>269</v>
      </c>
      <c r="B186" s="7" t="s">
        <v>270</v>
      </c>
      <c r="C186" s="7" t="s">
        <v>42</v>
      </c>
      <c r="D186" s="8">
        <v>45567</v>
      </c>
      <c r="E186" s="8" t="str">
        <f t="shared" si="7"/>
        <v>October</v>
      </c>
      <c r="F186">
        <f t="shared" si="8"/>
        <v>2024</v>
      </c>
      <c r="G186">
        <f t="shared" si="9"/>
        <v>0</v>
      </c>
      <c r="H186">
        <f t="shared" si="10"/>
        <v>0</v>
      </c>
      <c r="I186" s="6"/>
      <c r="J186" s="6"/>
      <c r="K186" s="7" t="s">
        <v>44</v>
      </c>
      <c r="L186" s="7" t="s">
        <v>14</v>
      </c>
      <c r="M186" s="7" t="s">
        <v>15</v>
      </c>
      <c r="N186" s="7">
        <f>COUNTIFS(A:A,A186,D:D,D186,E:E,I186)</f>
        <v>0</v>
      </c>
    </row>
    <row r="187" spans="1:14" x14ac:dyDescent="0.3">
      <c r="A187" s="7" t="s">
        <v>75</v>
      </c>
      <c r="B187" s="7" t="s">
        <v>76</v>
      </c>
      <c r="C187" s="7" t="s">
        <v>425</v>
      </c>
      <c r="D187" s="8">
        <v>45629</v>
      </c>
      <c r="E187" s="8" t="str">
        <f t="shared" si="7"/>
        <v>December</v>
      </c>
      <c r="F187">
        <f t="shared" si="8"/>
        <v>2024</v>
      </c>
      <c r="G187">
        <f t="shared" si="9"/>
        <v>1</v>
      </c>
      <c r="H187">
        <f t="shared" si="10"/>
        <v>0</v>
      </c>
      <c r="I187" s="6">
        <v>0.43541666666666667</v>
      </c>
      <c r="J187" s="6">
        <v>0.8041666666666667</v>
      </c>
      <c r="K187" s="7" t="s">
        <v>20</v>
      </c>
      <c r="L187" s="7" t="s">
        <v>14</v>
      </c>
      <c r="M187" s="7" t="s">
        <v>21</v>
      </c>
      <c r="N187" s="7">
        <f>COUNTIFS(A:A,A187,D:D,D187,E:E,I187)</f>
        <v>0</v>
      </c>
    </row>
    <row r="188" spans="1:14" x14ac:dyDescent="0.3">
      <c r="A188" s="7" t="s">
        <v>224</v>
      </c>
      <c r="B188" s="7" t="s">
        <v>225</v>
      </c>
      <c r="C188" s="7" t="s">
        <v>64</v>
      </c>
      <c r="D188" s="8">
        <v>45342</v>
      </c>
      <c r="E188" s="8" t="str">
        <f t="shared" si="7"/>
        <v>February</v>
      </c>
      <c r="F188">
        <f t="shared" si="8"/>
        <v>2024</v>
      </c>
      <c r="G188">
        <f t="shared" si="9"/>
        <v>1</v>
      </c>
      <c r="H188">
        <f t="shared" si="10"/>
        <v>0</v>
      </c>
      <c r="I188" s="6">
        <v>0.37152777777777779</v>
      </c>
      <c r="J188" s="6">
        <v>0.69722222222222219</v>
      </c>
      <c r="K188" s="7" t="s">
        <v>20</v>
      </c>
      <c r="L188" s="7" t="s">
        <v>14</v>
      </c>
      <c r="M188" s="7" t="s">
        <v>15</v>
      </c>
      <c r="N188" s="7">
        <f>COUNTIFS(A:A,A188,D:D,D188,E:E,I188)</f>
        <v>0</v>
      </c>
    </row>
    <row r="189" spans="1:14" x14ac:dyDescent="0.3">
      <c r="A189" s="7" t="s">
        <v>269</v>
      </c>
      <c r="B189" s="7" t="s">
        <v>270</v>
      </c>
      <c r="C189" s="7" t="s">
        <v>64</v>
      </c>
      <c r="D189" s="8">
        <v>45378</v>
      </c>
      <c r="E189" s="8" t="str">
        <f t="shared" si="7"/>
        <v>March</v>
      </c>
      <c r="F189">
        <f t="shared" si="8"/>
        <v>2024</v>
      </c>
      <c r="G189">
        <f t="shared" si="9"/>
        <v>1</v>
      </c>
      <c r="H189">
        <f t="shared" si="10"/>
        <v>0</v>
      </c>
      <c r="I189" s="6">
        <v>0.36180555555555555</v>
      </c>
      <c r="J189" s="6">
        <v>0.77430555555555558</v>
      </c>
      <c r="K189" s="7" t="s">
        <v>13</v>
      </c>
      <c r="L189" s="7" t="s">
        <v>27</v>
      </c>
      <c r="M189" s="7" t="s">
        <v>15</v>
      </c>
      <c r="N189" s="7">
        <f>COUNTIFS(A:A,A189,D:D,D189,E:E,I189)</f>
        <v>0</v>
      </c>
    </row>
    <row r="190" spans="1:14" x14ac:dyDescent="0.3">
      <c r="A190" s="7" t="s">
        <v>48</v>
      </c>
      <c r="B190" s="7" t="s">
        <v>49</v>
      </c>
      <c r="C190" s="7" t="s">
        <v>425</v>
      </c>
      <c r="D190" s="8">
        <v>45506</v>
      </c>
      <c r="E190" s="8" t="str">
        <f t="shared" si="7"/>
        <v>August</v>
      </c>
      <c r="F190">
        <f t="shared" si="8"/>
        <v>2024</v>
      </c>
      <c r="G190">
        <f t="shared" si="9"/>
        <v>1</v>
      </c>
      <c r="H190">
        <f t="shared" si="10"/>
        <v>1</v>
      </c>
      <c r="I190" s="6">
        <v>0.3659722222222222</v>
      </c>
      <c r="J190" s="6">
        <v>0.75138888888888888</v>
      </c>
      <c r="K190" s="7" t="s">
        <v>26</v>
      </c>
      <c r="L190" s="7" t="s">
        <v>14</v>
      </c>
      <c r="M190" s="7" t="s">
        <v>15</v>
      </c>
      <c r="N190" s="7">
        <f>COUNTIFS(A:A,A190,D:D,D190,E:E,I190)</f>
        <v>0</v>
      </c>
    </row>
    <row r="191" spans="1:14" x14ac:dyDescent="0.3">
      <c r="A191" s="7" t="s">
        <v>175</v>
      </c>
      <c r="B191" s="7" t="s">
        <v>176</v>
      </c>
      <c r="C191" s="7" t="s">
        <v>42</v>
      </c>
      <c r="D191" s="8">
        <v>45345</v>
      </c>
      <c r="E191" s="8" t="str">
        <f t="shared" si="7"/>
        <v>February</v>
      </c>
      <c r="F191">
        <f t="shared" si="8"/>
        <v>2024</v>
      </c>
      <c r="G191">
        <f t="shared" si="9"/>
        <v>1</v>
      </c>
      <c r="H191">
        <f t="shared" si="10"/>
        <v>1</v>
      </c>
      <c r="I191" s="6">
        <v>0.375</v>
      </c>
      <c r="J191" s="6">
        <v>0.73819444444444449</v>
      </c>
      <c r="K191" s="7" t="s">
        <v>26</v>
      </c>
      <c r="L191" s="7" t="s">
        <v>14</v>
      </c>
      <c r="M191" s="7" t="s">
        <v>21</v>
      </c>
      <c r="N191" s="7">
        <f>COUNTIFS(A:A,A191,D:D,D191,E:E,I191)</f>
        <v>0</v>
      </c>
    </row>
    <row r="192" spans="1:14" x14ac:dyDescent="0.3">
      <c r="A192" s="7" t="s">
        <v>81</v>
      </c>
      <c r="B192" s="7" t="s">
        <v>82</v>
      </c>
      <c r="C192" s="7" t="s">
        <v>60</v>
      </c>
      <c r="D192" s="8">
        <v>45322</v>
      </c>
      <c r="E192" s="8" t="str">
        <f t="shared" si="7"/>
        <v>January</v>
      </c>
      <c r="F192">
        <f t="shared" si="8"/>
        <v>2024</v>
      </c>
      <c r="G192">
        <f t="shared" si="9"/>
        <v>1</v>
      </c>
      <c r="H192">
        <f t="shared" si="10"/>
        <v>1</v>
      </c>
      <c r="I192" s="6">
        <v>0.34513888888888888</v>
      </c>
      <c r="J192" s="6">
        <v>0.68611111111111112</v>
      </c>
      <c r="K192" s="7" t="s">
        <v>26</v>
      </c>
      <c r="L192" s="7" t="s">
        <v>27</v>
      </c>
      <c r="M192" s="7" t="s">
        <v>15</v>
      </c>
      <c r="N192" s="7">
        <f>COUNTIFS(A:A,A192,D:D,D192,E:E,I192)</f>
        <v>0</v>
      </c>
    </row>
    <row r="193" spans="1:14" x14ac:dyDescent="0.3">
      <c r="A193" s="7" t="s">
        <v>213</v>
      </c>
      <c r="B193" s="7" t="s">
        <v>214</v>
      </c>
      <c r="C193" s="7" t="s">
        <v>42</v>
      </c>
      <c r="D193" s="8">
        <v>45354</v>
      </c>
      <c r="E193" s="8" t="str">
        <f t="shared" si="7"/>
        <v>March</v>
      </c>
      <c r="F193">
        <f t="shared" si="8"/>
        <v>2024</v>
      </c>
      <c r="G193">
        <f t="shared" si="9"/>
        <v>1</v>
      </c>
      <c r="H193">
        <f t="shared" si="10"/>
        <v>1</v>
      </c>
      <c r="I193" s="6">
        <v>0.43958333333333333</v>
      </c>
      <c r="J193" s="6">
        <v>0.76875000000000004</v>
      </c>
      <c r="K193" s="7" t="s">
        <v>26</v>
      </c>
      <c r="L193" s="7" t="s">
        <v>14</v>
      </c>
      <c r="M193" s="7" t="s">
        <v>21</v>
      </c>
      <c r="N193" s="7">
        <f>COUNTIFS(A:A,A193,D:D,D193,E:E,I193)</f>
        <v>0</v>
      </c>
    </row>
    <row r="194" spans="1:14" x14ac:dyDescent="0.3">
      <c r="A194" s="7" t="s">
        <v>93</v>
      </c>
      <c r="B194" s="7" t="s">
        <v>94</v>
      </c>
      <c r="C194" s="7" t="s">
        <v>64</v>
      </c>
      <c r="D194" s="8">
        <v>45446</v>
      </c>
      <c r="E194" s="8" t="str">
        <f t="shared" ref="E194:E257" si="11">TEXT(D194,"mmmm")</f>
        <v>June</v>
      </c>
      <c r="F194">
        <f t="shared" ref="F194:F257" si="12">YEAR(D194)</f>
        <v>2024</v>
      </c>
      <c r="G194">
        <f t="shared" ref="G194:G257" si="13">IF(LOWER(K194)="absent",0,1)</f>
        <v>0</v>
      </c>
      <c r="H194">
        <f t="shared" ref="H194:H257" si="14">IF(K194="Late",1,0)</f>
        <v>0</v>
      </c>
      <c r="I194" s="6"/>
      <c r="J194" s="6"/>
      <c r="K194" s="7" t="s">
        <v>44</v>
      </c>
      <c r="L194" s="7" t="s">
        <v>14</v>
      </c>
      <c r="M194" s="7" t="s">
        <v>21</v>
      </c>
      <c r="N194" s="7">
        <f>COUNTIFS(A:A,A194,D:D,D194,E:E,I194)</f>
        <v>0</v>
      </c>
    </row>
    <row r="195" spans="1:14" x14ac:dyDescent="0.3">
      <c r="A195" s="7" t="s">
        <v>134</v>
      </c>
      <c r="B195" s="7" t="s">
        <v>135</v>
      </c>
      <c r="C195" s="7" t="s">
        <v>64</v>
      </c>
      <c r="D195" s="8">
        <v>45375</v>
      </c>
      <c r="E195" s="8" t="str">
        <f t="shared" si="11"/>
        <v>March</v>
      </c>
      <c r="F195">
        <f t="shared" si="12"/>
        <v>2024</v>
      </c>
      <c r="G195">
        <f t="shared" si="13"/>
        <v>1</v>
      </c>
      <c r="H195">
        <f t="shared" si="14"/>
        <v>1</v>
      </c>
      <c r="I195" s="6">
        <v>0.47291666666666665</v>
      </c>
      <c r="J195" s="6">
        <v>0.85486111111111107</v>
      </c>
      <c r="K195" s="7" t="s">
        <v>26</v>
      </c>
      <c r="L195" s="7" t="s">
        <v>14</v>
      </c>
      <c r="M195" s="7" t="s">
        <v>21</v>
      </c>
      <c r="N195" s="7">
        <f>COUNTIFS(A:A,A195,D:D,D195,E:E,I195)</f>
        <v>0</v>
      </c>
    </row>
    <row r="196" spans="1:14" x14ac:dyDescent="0.3">
      <c r="A196" s="7" t="s">
        <v>191</v>
      </c>
      <c r="B196" s="7" t="s">
        <v>192</v>
      </c>
      <c r="C196" s="7" t="s">
        <v>64</v>
      </c>
      <c r="D196" s="8">
        <v>45566</v>
      </c>
      <c r="E196" s="8" t="str">
        <f t="shared" si="11"/>
        <v>October</v>
      </c>
      <c r="F196">
        <f t="shared" si="12"/>
        <v>2024</v>
      </c>
      <c r="G196">
        <f t="shared" si="13"/>
        <v>1</v>
      </c>
      <c r="H196">
        <f t="shared" si="14"/>
        <v>1</v>
      </c>
      <c r="I196" s="6">
        <v>0.48819444444444443</v>
      </c>
      <c r="J196" s="6">
        <v>0.76875000000000004</v>
      </c>
      <c r="K196" s="7" t="s">
        <v>26</v>
      </c>
      <c r="L196" s="7" t="s">
        <v>14</v>
      </c>
      <c r="M196" s="7" t="s">
        <v>21</v>
      </c>
      <c r="N196" s="7">
        <f>COUNTIFS(A:A,A196,D:D,D196,E:E,I196)</f>
        <v>0</v>
      </c>
    </row>
    <row r="197" spans="1:14" x14ac:dyDescent="0.3">
      <c r="A197" s="7" t="s">
        <v>109</v>
      </c>
      <c r="B197" s="7" t="s">
        <v>110</v>
      </c>
      <c r="C197" s="7" t="s">
        <v>42</v>
      </c>
      <c r="D197" s="8">
        <v>45304</v>
      </c>
      <c r="E197" s="8" t="str">
        <f t="shared" si="11"/>
        <v>January</v>
      </c>
      <c r="F197">
        <f t="shared" si="12"/>
        <v>2024</v>
      </c>
      <c r="G197">
        <f t="shared" si="13"/>
        <v>0</v>
      </c>
      <c r="H197">
        <f t="shared" si="14"/>
        <v>0</v>
      </c>
      <c r="I197" s="6"/>
      <c r="J197" s="6"/>
      <c r="K197" s="7" t="s">
        <v>44</v>
      </c>
      <c r="L197" s="7" t="s">
        <v>14</v>
      </c>
      <c r="M197" s="7" t="s">
        <v>15</v>
      </c>
      <c r="N197" s="7">
        <f>COUNTIFS(A:A,A197,D:D,D197,E:E,I197)</f>
        <v>0</v>
      </c>
    </row>
    <row r="198" spans="1:14" x14ac:dyDescent="0.3">
      <c r="A198" s="7" t="s">
        <v>171</v>
      </c>
      <c r="B198" s="7" t="s">
        <v>172</v>
      </c>
      <c r="C198" s="7" t="s">
        <v>425</v>
      </c>
      <c r="D198" s="8">
        <v>45313</v>
      </c>
      <c r="E198" s="8" t="str">
        <f t="shared" si="11"/>
        <v>January</v>
      </c>
      <c r="F198">
        <f t="shared" si="12"/>
        <v>2024</v>
      </c>
      <c r="G198">
        <f t="shared" si="13"/>
        <v>1</v>
      </c>
      <c r="H198">
        <f t="shared" si="14"/>
        <v>1</v>
      </c>
      <c r="I198" s="6">
        <v>0.39097222222222222</v>
      </c>
      <c r="J198" s="6">
        <v>0.67361111111111116</v>
      </c>
      <c r="K198" s="7" t="s">
        <v>26</v>
      </c>
      <c r="L198" s="7" t="s">
        <v>27</v>
      </c>
      <c r="M198" s="7" t="s">
        <v>15</v>
      </c>
      <c r="N198" s="7">
        <f>COUNTIFS(A:A,A198,D:D,D198,E:E,I198)</f>
        <v>0</v>
      </c>
    </row>
    <row r="199" spans="1:14" x14ac:dyDescent="0.3">
      <c r="A199" s="7" t="s">
        <v>102</v>
      </c>
      <c r="B199" s="7" t="s">
        <v>103</v>
      </c>
      <c r="C199" s="7" t="s">
        <v>426</v>
      </c>
      <c r="D199" s="8">
        <v>45352</v>
      </c>
      <c r="E199" s="8" t="str">
        <f t="shared" si="11"/>
        <v>March</v>
      </c>
      <c r="F199">
        <f t="shared" si="12"/>
        <v>2024</v>
      </c>
      <c r="G199">
        <f t="shared" si="13"/>
        <v>0</v>
      </c>
      <c r="H199">
        <f t="shared" si="14"/>
        <v>0</v>
      </c>
      <c r="I199" s="6"/>
      <c r="J199" s="6"/>
      <c r="K199" s="7" t="s">
        <v>44</v>
      </c>
      <c r="L199" s="7" t="s">
        <v>14</v>
      </c>
      <c r="M199" s="7" t="s">
        <v>15</v>
      </c>
      <c r="N199" s="7">
        <f>COUNTIFS(A:A,A199,D:D,D199,E:E,I199)</f>
        <v>0</v>
      </c>
    </row>
    <row r="200" spans="1:14" x14ac:dyDescent="0.3">
      <c r="A200" s="7" t="s">
        <v>87</v>
      </c>
      <c r="B200" s="7" t="s">
        <v>88</v>
      </c>
      <c r="C200" s="7" t="s">
        <v>64</v>
      </c>
      <c r="D200" s="8">
        <v>45380</v>
      </c>
      <c r="E200" s="8" t="str">
        <f t="shared" si="11"/>
        <v>March</v>
      </c>
      <c r="F200">
        <f t="shared" si="12"/>
        <v>2024</v>
      </c>
      <c r="G200">
        <f t="shared" si="13"/>
        <v>0</v>
      </c>
      <c r="H200">
        <f t="shared" si="14"/>
        <v>0</v>
      </c>
      <c r="I200" s="6"/>
      <c r="J200" s="6"/>
      <c r="K200" s="7" t="s">
        <v>44</v>
      </c>
      <c r="L200" s="7" t="s">
        <v>27</v>
      </c>
      <c r="M200" s="7" t="s">
        <v>21</v>
      </c>
      <c r="N200" s="7">
        <f>COUNTIFS(A:A,A200,D:D,D200,E:E,I200)</f>
        <v>0</v>
      </c>
    </row>
    <row r="201" spans="1:14" x14ac:dyDescent="0.3">
      <c r="A201" s="7" t="s">
        <v>58</v>
      </c>
      <c r="B201" s="7" t="s">
        <v>59</v>
      </c>
      <c r="C201" s="7" t="s">
        <v>426</v>
      </c>
      <c r="D201" s="8">
        <v>45313</v>
      </c>
      <c r="E201" s="8" t="str">
        <f t="shared" si="11"/>
        <v>January</v>
      </c>
      <c r="F201">
        <f t="shared" si="12"/>
        <v>2024</v>
      </c>
      <c r="G201">
        <f t="shared" si="13"/>
        <v>1</v>
      </c>
      <c r="H201">
        <f t="shared" si="14"/>
        <v>0</v>
      </c>
      <c r="I201" s="6">
        <v>0.38472222222222224</v>
      </c>
      <c r="J201" s="6">
        <v>0.79027777777777775</v>
      </c>
      <c r="K201" s="7" t="s">
        <v>20</v>
      </c>
      <c r="L201" s="7" t="s">
        <v>27</v>
      </c>
      <c r="M201" s="7" t="s">
        <v>21</v>
      </c>
      <c r="N201" s="7">
        <f>COUNTIFS(A:A,A201,D:D,D201,E:E,I201)</f>
        <v>0</v>
      </c>
    </row>
    <row r="202" spans="1:14" x14ac:dyDescent="0.3">
      <c r="A202" s="7" t="s">
        <v>69</v>
      </c>
      <c r="B202" s="7" t="s">
        <v>70</v>
      </c>
      <c r="C202" s="7" t="s">
        <v>42</v>
      </c>
      <c r="D202" s="8">
        <v>45368</v>
      </c>
      <c r="E202" s="8" t="str">
        <f t="shared" si="11"/>
        <v>March</v>
      </c>
      <c r="F202">
        <f t="shared" si="12"/>
        <v>2024</v>
      </c>
      <c r="G202">
        <f t="shared" si="13"/>
        <v>1</v>
      </c>
      <c r="H202">
        <f t="shared" si="14"/>
        <v>1</v>
      </c>
      <c r="I202" s="6">
        <v>0.42638888888888887</v>
      </c>
      <c r="J202" s="6">
        <v>0.69097222222222221</v>
      </c>
      <c r="K202" s="7" t="s">
        <v>26</v>
      </c>
      <c r="L202" s="7" t="s">
        <v>14</v>
      </c>
      <c r="M202" s="7" t="s">
        <v>21</v>
      </c>
      <c r="N202" s="7">
        <f>COUNTIFS(A:A,A202,D:D,D202,E:E,I202)</f>
        <v>0</v>
      </c>
    </row>
    <row r="203" spans="1:14" x14ac:dyDescent="0.3">
      <c r="A203" s="7" t="s">
        <v>115</v>
      </c>
      <c r="B203" s="7" t="s">
        <v>116</v>
      </c>
      <c r="C203" s="7" t="s">
        <v>426</v>
      </c>
      <c r="D203" s="8">
        <v>45335</v>
      </c>
      <c r="E203" s="8" t="str">
        <f t="shared" si="11"/>
        <v>February</v>
      </c>
      <c r="F203">
        <f t="shared" si="12"/>
        <v>2024</v>
      </c>
      <c r="G203">
        <f t="shared" si="13"/>
        <v>1</v>
      </c>
      <c r="H203">
        <f t="shared" si="14"/>
        <v>1</v>
      </c>
      <c r="I203" s="6">
        <v>0.46805555555555556</v>
      </c>
      <c r="J203" s="6">
        <v>0.67777777777777781</v>
      </c>
      <c r="K203" s="7" t="s">
        <v>26</v>
      </c>
      <c r="L203" s="7" t="s">
        <v>14</v>
      </c>
      <c r="M203" s="7" t="s">
        <v>21</v>
      </c>
      <c r="N203" s="7">
        <f>COUNTIFS(A:A,A203,D:D,D203,E:E,I203)</f>
        <v>0</v>
      </c>
    </row>
    <row r="204" spans="1:14" x14ac:dyDescent="0.3">
      <c r="A204" s="7" t="s">
        <v>157</v>
      </c>
      <c r="B204" s="7" t="s">
        <v>158</v>
      </c>
      <c r="C204" s="7" t="s">
        <v>60</v>
      </c>
      <c r="D204" s="8">
        <v>45370</v>
      </c>
      <c r="E204" s="8" t="str">
        <f t="shared" si="11"/>
        <v>March</v>
      </c>
      <c r="F204">
        <f t="shared" si="12"/>
        <v>2024</v>
      </c>
      <c r="G204">
        <f t="shared" si="13"/>
        <v>1</v>
      </c>
      <c r="H204">
        <f t="shared" si="14"/>
        <v>0</v>
      </c>
      <c r="I204" s="6">
        <v>0.34444444444444444</v>
      </c>
      <c r="J204" s="6">
        <v>0.80972222222222223</v>
      </c>
      <c r="K204" s="7" t="s">
        <v>13</v>
      </c>
      <c r="L204" s="7" t="s">
        <v>27</v>
      </c>
      <c r="M204" s="7" t="s">
        <v>21</v>
      </c>
      <c r="N204" s="7">
        <f>COUNTIFS(A:A,A204,D:D,D204,E:E,I204)</f>
        <v>0</v>
      </c>
    </row>
    <row r="205" spans="1:14" x14ac:dyDescent="0.3">
      <c r="A205" s="7" t="s">
        <v>16</v>
      </c>
      <c r="B205" s="7" t="s">
        <v>17</v>
      </c>
      <c r="C205" s="7" t="s">
        <v>60</v>
      </c>
      <c r="D205" s="8">
        <v>45599</v>
      </c>
      <c r="E205" s="8" t="str">
        <f t="shared" si="11"/>
        <v>November</v>
      </c>
      <c r="F205">
        <f t="shared" si="12"/>
        <v>2024</v>
      </c>
      <c r="G205">
        <f t="shared" si="13"/>
        <v>1</v>
      </c>
      <c r="H205">
        <f t="shared" si="14"/>
        <v>0</v>
      </c>
      <c r="I205" s="6">
        <v>0.34444444444444444</v>
      </c>
      <c r="J205" s="6">
        <v>0.71458333333333335</v>
      </c>
      <c r="K205" s="7" t="s">
        <v>13</v>
      </c>
      <c r="L205" s="7" t="s">
        <v>14</v>
      </c>
      <c r="M205" s="7" t="s">
        <v>21</v>
      </c>
      <c r="N205" s="7">
        <f>COUNTIFS(A:A,A205,D:D,D205,E:E,I205)</f>
        <v>0</v>
      </c>
    </row>
    <row r="206" spans="1:14" x14ac:dyDescent="0.3">
      <c r="A206" s="7" t="s">
        <v>99</v>
      </c>
      <c r="B206" s="7" t="s">
        <v>100</v>
      </c>
      <c r="C206" s="7" t="s">
        <v>426</v>
      </c>
      <c r="D206" s="8">
        <v>45367</v>
      </c>
      <c r="E206" s="8" t="str">
        <f t="shared" si="11"/>
        <v>March</v>
      </c>
      <c r="F206">
        <f t="shared" si="12"/>
        <v>2024</v>
      </c>
      <c r="G206">
        <f t="shared" si="13"/>
        <v>0</v>
      </c>
      <c r="H206">
        <f t="shared" si="14"/>
        <v>0</v>
      </c>
      <c r="I206" s="6"/>
      <c r="J206" s="6"/>
      <c r="K206" s="7" t="s">
        <v>44</v>
      </c>
      <c r="L206" s="7" t="s">
        <v>27</v>
      </c>
      <c r="M206" s="7" t="s">
        <v>21</v>
      </c>
      <c r="N206" s="7">
        <f>COUNTIFS(A:A,A206,D:D,D206,E:E,I206)</f>
        <v>0</v>
      </c>
    </row>
    <row r="207" spans="1:14" x14ac:dyDescent="0.3">
      <c r="A207" s="7" t="s">
        <v>246</v>
      </c>
      <c r="B207" s="7" t="s">
        <v>247</v>
      </c>
      <c r="C207" s="7" t="s">
        <v>64</v>
      </c>
      <c r="D207" s="8">
        <v>45367</v>
      </c>
      <c r="E207" s="8" t="str">
        <f t="shared" si="11"/>
        <v>March</v>
      </c>
      <c r="F207">
        <f t="shared" si="12"/>
        <v>2024</v>
      </c>
      <c r="G207">
        <f t="shared" si="13"/>
        <v>0</v>
      </c>
      <c r="H207">
        <f t="shared" si="14"/>
        <v>0</v>
      </c>
      <c r="I207" s="6"/>
      <c r="J207" s="6"/>
      <c r="K207" s="7" t="s">
        <v>44</v>
      </c>
      <c r="L207" s="7" t="s">
        <v>27</v>
      </c>
      <c r="M207" s="7" t="s">
        <v>21</v>
      </c>
      <c r="N207" s="7">
        <f>COUNTIFS(A:A,A207,D:D,D207,E:E,I207)</f>
        <v>0</v>
      </c>
    </row>
    <row r="208" spans="1:14" x14ac:dyDescent="0.3">
      <c r="A208" s="7" t="s">
        <v>236</v>
      </c>
      <c r="B208" s="7" t="s">
        <v>237</v>
      </c>
      <c r="C208" s="7" t="s">
        <v>42</v>
      </c>
      <c r="D208" s="8">
        <v>45567</v>
      </c>
      <c r="E208" s="8" t="str">
        <f t="shared" si="11"/>
        <v>October</v>
      </c>
      <c r="F208">
        <f t="shared" si="12"/>
        <v>2024</v>
      </c>
      <c r="G208">
        <f t="shared" si="13"/>
        <v>1</v>
      </c>
      <c r="H208">
        <f t="shared" si="14"/>
        <v>0</v>
      </c>
      <c r="I208" s="6">
        <v>0.43680555555555556</v>
      </c>
      <c r="J208" s="6">
        <v>0.72569444444444442</v>
      </c>
      <c r="K208" s="7" t="s">
        <v>20</v>
      </c>
      <c r="L208" s="7" t="s">
        <v>14</v>
      </c>
      <c r="M208" s="7" t="s">
        <v>21</v>
      </c>
      <c r="N208" s="7">
        <f>COUNTIFS(A:A,A208,D:D,D208,E:E,I208)</f>
        <v>0</v>
      </c>
    </row>
    <row r="209" spans="1:14" x14ac:dyDescent="0.3">
      <c r="A209" s="7" t="s">
        <v>102</v>
      </c>
      <c r="B209" s="7" t="s">
        <v>103</v>
      </c>
      <c r="C209" s="7" t="s">
        <v>64</v>
      </c>
      <c r="D209" s="8">
        <v>45372</v>
      </c>
      <c r="E209" s="8" t="str">
        <f t="shared" si="11"/>
        <v>March</v>
      </c>
      <c r="F209">
        <f t="shared" si="12"/>
        <v>2024</v>
      </c>
      <c r="G209">
        <f t="shared" si="13"/>
        <v>1</v>
      </c>
      <c r="H209">
        <f t="shared" si="14"/>
        <v>1</v>
      </c>
      <c r="I209" s="6">
        <v>0.47847222222222224</v>
      </c>
      <c r="J209" s="6">
        <v>0.76666666666666672</v>
      </c>
      <c r="K209" s="7" t="s">
        <v>26</v>
      </c>
      <c r="L209" s="7" t="s">
        <v>14</v>
      </c>
      <c r="M209" s="7" t="s">
        <v>21</v>
      </c>
      <c r="N209" s="7">
        <f>COUNTIFS(A:A,A209,D:D,D209,E:E,I209)</f>
        <v>0</v>
      </c>
    </row>
    <row r="210" spans="1:14" x14ac:dyDescent="0.3">
      <c r="A210" s="7" t="s">
        <v>197</v>
      </c>
      <c r="B210" s="7" t="s">
        <v>198</v>
      </c>
      <c r="C210" s="7" t="s">
        <v>426</v>
      </c>
      <c r="D210" s="8">
        <v>45340</v>
      </c>
      <c r="E210" s="8" t="str">
        <f t="shared" si="11"/>
        <v>February</v>
      </c>
      <c r="F210">
        <f t="shared" si="12"/>
        <v>2024</v>
      </c>
      <c r="G210">
        <f t="shared" si="13"/>
        <v>1</v>
      </c>
      <c r="H210">
        <f t="shared" si="14"/>
        <v>1</v>
      </c>
      <c r="I210" s="6">
        <v>0.46388888888888891</v>
      </c>
      <c r="J210" s="6">
        <v>0.6743055555555556</v>
      </c>
      <c r="K210" s="7" t="s">
        <v>26</v>
      </c>
      <c r="L210" s="7" t="s">
        <v>14</v>
      </c>
      <c r="M210" s="7" t="s">
        <v>21</v>
      </c>
      <c r="N210" s="7">
        <f>COUNTIFS(A:A,A210,D:D,D210,E:E,I210)</f>
        <v>0</v>
      </c>
    </row>
    <row r="211" spans="1:14" x14ac:dyDescent="0.3">
      <c r="A211" s="7" t="s">
        <v>119</v>
      </c>
      <c r="B211" s="7" t="s">
        <v>120</v>
      </c>
      <c r="C211" s="7" t="s">
        <v>42</v>
      </c>
      <c r="D211" s="8">
        <v>45348</v>
      </c>
      <c r="E211" s="8" t="str">
        <f t="shared" si="11"/>
        <v>February</v>
      </c>
      <c r="F211">
        <f t="shared" si="12"/>
        <v>2024</v>
      </c>
      <c r="G211">
        <f t="shared" si="13"/>
        <v>0</v>
      </c>
      <c r="H211">
        <f t="shared" si="14"/>
        <v>0</v>
      </c>
      <c r="I211" s="6"/>
      <c r="J211" s="6"/>
      <c r="K211" s="7" t="s">
        <v>44</v>
      </c>
      <c r="L211" s="7" t="s">
        <v>27</v>
      </c>
      <c r="M211" s="7" t="s">
        <v>15</v>
      </c>
      <c r="N211" s="7">
        <f>COUNTIFS(A:A,A211,D:D,D211,E:E,I211)</f>
        <v>0</v>
      </c>
    </row>
    <row r="212" spans="1:14" x14ac:dyDescent="0.3">
      <c r="A212" s="7" t="s">
        <v>93</v>
      </c>
      <c r="B212" s="7" t="s">
        <v>94</v>
      </c>
      <c r="C212" s="7" t="s">
        <v>42</v>
      </c>
      <c r="D212" s="8">
        <v>45359</v>
      </c>
      <c r="E212" s="8" t="str">
        <f t="shared" si="11"/>
        <v>March</v>
      </c>
      <c r="F212">
        <f t="shared" si="12"/>
        <v>2024</v>
      </c>
      <c r="G212">
        <f t="shared" si="13"/>
        <v>1</v>
      </c>
      <c r="H212">
        <f t="shared" si="14"/>
        <v>0</v>
      </c>
      <c r="I212" s="6">
        <v>0.49027777777777776</v>
      </c>
      <c r="J212" s="6">
        <v>0.69097222222222221</v>
      </c>
      <c r="K212" s="7" t="s">
        <v>13</v>
      </c>
      <c r="L212" s="7" t="s">
        <v>14</v>
      </c>
      <c r="M212" s="7" t="s">
        <v>21</v>
      </c>
      <c r="N212" s="7">
        <f>COUNTIFS(A:A,A212,D:D,D212,E:E,I212)</f>
        <v>0</v>
      </c>
    </row>
    <row r="213" spans="1:14" x14ac:dyDescent="0.3">
      <c r="A213" s="7" t="s">
        <v>55</v>
      </c>
      <c r="B213" s="7" t="s">
        <v>56</v>
      </c>
      <c r="C213" s="7" t="s">
        <v>426</v>
      </c>
      <c r="D213" s="8">
        <v>45372</v>
      </c>
      <c r="E213" s="8" t="str">
        <f t="shared" si="11"/>
        <v>March</v>
      </c>
      <c r="F213">
        <f t="shared" si="12"/>
        <v>2024</v>
      </c>
      <c r="G213">
        <f t="shared" si="13"/>
        <v>0</v>
      </c>
      <c r="H213">
        <f t="shared" si="14"/>
        <v>0</v>
      </c>
      <c r="I213" s="6"/>
      <c r="J213" s="6"/>
      <c r="K213" s="7" t="s">
        <v>44</v>
      </c>
      <c r="L213" s="7" t="s">
        <v>14</v>
      </c>
      <c r="M213" s="7" t="s">
        <v>21</v>
      </c>
      <c r="N213" s="7">
        <f>COUNTIFS(A:A,A213,D:D,D213,E:E,I213)</f>
        <v>0</v>
      </c>
    </row>
    <row r="214" spans="1:14" x14ac:dyDescent="0.3">
      <c r="A214" s="7" t="s">
        <v>204</v>
      </c>
      <c r="B214" s="7" t="s">
        <v>205</v>
      </c>
      <c r="C214" s="7" t="s">
        <v>64</v>
      </c>
      <c r="D214" s="8">
        <v>45332</v>
      </c>
      <c r="E214" s="8" t="str">
        <f t="shared" si="11"/>
        <v>February</v>
      </c>
      <c r="F214">
        <f t="shared" si="12"/>
        <v>2024</v>
      </c>
      <c r="G214">
        <f t="shared" si="13"/>
        <v>1</v>
      </c>
      <c r="H214">
        <f t="shared" si="14"/>
        <v>0</v>
      </c>
      <c r="I214" s="6">
        <v>0.41597222222222224</v>
      </c>
      <c r="J214" s="6">
        <v>0.73611111111111116</v>
      </c>
      <c r="K214" s="7" t="s">
        <v>20</v>
      </c>
      <c r="L214" s="7" t="s">
        <v>14</v>
      </c>
      <c r="M214" s="7" t="s">
        <v>21</v>
      </c>
      <c r="N214" s="7">
        <f>COUNTIFS(A:A,A214,D:D,D214,E:E,I214)</f>
        <v>0</v>
      </c>
    </row>
    <row r="215" spans="1:14" x14ac:dyDescent="0.3">
      <c r="A215" s="7" t="s">
        <v>187</v>
      </c>
      <c r="B215" s="7" t="s">
        <v>188</v>
      </c>
      <c r="C215" s="7" t="s">
        <v>64</v>
      </c>
      <c r="D215" s="8">
        <v>45306</v>
      </c>
      <c r="E215" s="8" t="str">
        <f t="shared" si="11"/>
        <v>January</v>
      </c>
      <c r="F215">
        <f t="shared" si="12"/>
        <v>2024</v>
      </c>
      <c r="G215">
        <f t="shared" si="13"/>
        <v>1</v>
      </c>
      <c r="H215">
        <f t="shared" si="14"/>
        <v>0</v>
      </c>
      <c r="I215" s="6">
        <v>0.47916666666666669</v>
      </c>
      <c r="J215" s="6">
        <v>0.70763888888888893</v>
      </c>
      <c r="K215" s="7" t="s">
        <v>20</v>
      </c>
      <c r="L215" s="7" t="s">
        <v>14</v>
      </c>
      <c r="M215" s="7" t="s">
        <v>21</v>
      </c>
      <c r="N215" s="7">
        <f>COUNTIFS(A:A,A215,D:D,D215,E:E,I215)</f>
        <v>0</v>
      </c>
    </row>
    <row r="216" spans="1:14" x14ac:dyDescent="0.3">
      <c r="A216" s="7" t="s">
        <v>291</v>
      </c>
      <c r="B216" s="7" t="s">
        <v>292</v>
      </c>
      <c r="C216" s="7" t="s">
        <v>42</v>
      </c>
      <c r="D216" s="8">
        <v>45446</v>
      </c>
      <c r="E216" s="8" t="str">
        <f t="shared" si="11"/>
        <v>June</v>
      </c>
      <c r="F216">
        <f t="shared" si="12"/>
        <v>2024</v>
      </c>
      <c r="G216">
        <f t="shared" si="13"/>
        <v>0</v>
      </c>
      <c r="H216">
        <f t="shared" si="14"/>
        <v>0</v>
      </c>
      <c r="I216" s="6"/>
      <c r="J216" s="6"/>
      <c r="K216" s="7" t="s">
        <v>44</v>
      </c>
      <c r="L216" s="7" t="s">
        <v>14</v>
      </c>
      <c r="M216" s="7" t="s">
        <v>15</v>
      </c>
      <c r="N216" s="7">
        <f>COUNTIFS(A:A,A216,D:D,D216,E:E,I216)</f>
        <v>0</v>
      </c>
    </row>
    <row r="217" spans="1:14" x14ac:dyDescent="0.3">
      <c r="A217" s="7" t="s">
        <v>122</v>
      </c>
      <c r="B217" s="7" t="s">
        <v>123</v>
      </c>
      <c r="C217" s="7" t="s">
        <v>426</v>
      </c>
      <c r="D217" s="8">
        <v>45378</v>
      </c>
      <c r="E217" s="8" t="str">
        <f t="shared" si="11"/>
        <v>March</v>
      </c>
      <c r="F217">
        <f t="shared" si="12"/>
        <v>2024</v>
      </c>
      <c r="G217">
        <f t="shared" si="13"/>
        <v>0</v>
      </c>
      <c r="H217">
        <f t="shared" si="14"/>
        <v>0</v>
      </c>
      <c r="I217" s="6"/>
      <c r="J217" s="6"/>
      <c r="K217" s="7" t="s">
        <v>44</v>
      </c>
      <c r="L217" s="7" t="s">
        <v>27</v>
      </c>
      <c r="M217" s="7" t="s">
        <v>15</v>
      </c>
      <c r="N217" s="7">
        <f>COUNTIFS(A:A,A217,D:D,D217,E:E,I217)</f>
        <v>0</v>
      </c>
    </row>
    <row r="218" spans="1:14" x14ac:dyDescent="0.3">
      <c r="A218" s="7" t="s">
        <v>250</v>
      </c>
      <c r="B218" s="7" t="s">
        <v>251</v>
      </c>
      <c r="C218" s="7" t="s">
        <v>60</v>
      </c>
      <c r="D218" s="8">
        <v>45300</v>
      </c>
      <c r="E218" s="8" t="str">
        <f t="shared" si="11"/>
        <v>January</v>
      </c>
      <c r="F218">
        <f t="shared" si="12"/>
        <v>2024</v>
      </c>
      <c r="G218">
        <f t="shared" si="13"/>
        <v>1</v>
      </c>
      <c r="H218">
        <f t="shared" si="14"/>
        <v>1</v>
      </c>
      <c r="I218" s="6">
        <v>0.4284722222222222</v>
      </c>
      <c r="J218" s="6">
        <v>0.85486111111111107</v>
      </c>
      <c r="K218" s="7" t="s">
        <v>26</v>
      </c>
      <c r="L218" s="7" t="s">
        <v>27</v>
      </c>
      <c r="M218" s="7" t="s">
        <v>15</v>
      </c>
      <c r="N218" s="7">
        <f>COUNTIFS(A:A,A218,D:D,D218,E:E,I218)</f>
        <v>0</v>
      </c>
    </row>
    <row r="219" spans="1:14" x14ac:dyDescent="0.3">
      <c r="A219" s="7" t="s">
        <v>69</v>
      </c>
      <c r="B219" s="7" t="s">
        <v>70</v>
      </c>
      <c r="C219" s="7" t="s">
        <v>42</v>
      </c>
      <c r="D219" s="8">
        <v>45335</v>
      </c>
      <c r="E219" s="8" t="str">
        <f t="shared" si="11"/>
        <v>February</v>
      </c>
      <c r="F219">
        <f t="shared" si="12"/>
        <v>2024</v>
      </c>
      <c r="G219">
        <f t="shared" si="13"/>
        <v>1</v>
      </c>
      <c r="H219">
        <f t="shared" si="14"/>
        <v>0</v>
      </c>
      <c r="I219" s="6">
        <v>0.48333333333333334</v>
      </c>
      <c r="J219" s="6">
        <v>0.75486111111111109</v>
      </c>
      <c r="K219" s="7" t="s">
        <v>20</v>
      </c>
      <c r="L219" s="7" t="s">
        <v>14</v>
      </c>
      <c r="M219" s="7" t="s">
        <v>21</v>
      </c>
      <c r="N219" s="7">
        <f>COUNTIFS(A:A,A219,D:D,D219,E:E,I219)</f>
        <v>0</v>
      </c>
    </row>
    <row r="220" spans="1:14" x14ac:dyDescent="0.3">
      <c r="A220" s="7" t="s">
        <v>134</v>
      </c>
      <c r="B220" s="7" t="s">
        <v>135</v>
      </c>
      <c r="C220" s="7" t="s">
        <v>42</v>
      </c>
      <c r="D220" s="8">
        <v>45311</v>
      </c>
      <c r="E220" s="8" t="str">
        <f t="shared" si="11"/>
        <v>January</v>
      </c>
      <c r="F220">
        <f t="shared" si="12"/>
        <v>2024</v>
      </c>
      <c r="G220">
        <f t="shared" si="13"/>
        <v>0</v>
      </c>
      <c r="H220">
        <f t="shared" si="14"/>
        <v>0</v>
      </c>
      <c r="I220" s="6"/>
      <c r="J220" s="6"/>
      <c r="K220" s="7" t="s">
        <v>44</v>
      </c>
      <c r="L220" s="7" t="s">
        <v>27</v>
      </c>
      <c r="M220" s="7" t="s">
        <v>15</v>
      </c>
      <c r="N220" s="7">
        <f>COUNTIFS(A:A,A220,D:D,D220,E:E,I220)</f>
        <v>0</v>
      </c>
    </row>
    <row r="221" spans="1:14" x14ac:dyDescent="0.3">
      <c r="A221" s="7" t="s">
        <v>102</v>
      </c>
      <c r="B221" s="7" t="s">
        <v>103</v>
      </c>
      <c r="C221" s="7" t="s">
        <v>426</v>
      </c>
      <c r="D221" s="8">
        <v>45629</v>
      </c>
      <c r="E221" s="8" t="str">
        <f t="shared" si="11"/>
        <v>December</v>
      </c>
      <c r="F221">
        <f t="shared" si="12"/>
        <v>2024</v>
      </c>
      <c r="G221">
        <f t="shared" si="13"/>
        <v>0</v>
      </c>
      <c r="H221">
        <f t="shared" si="14"/>
        <v>0</v>
      </c>
      <c r="I221" s="6"/>
      <c r="J221" s="6"/>
      <c r="K221" s="7" t="s">
        <v>44</v>
      </c>
      <c r="L221" s="7" t="s">
        <v>27</v>
      </c>
      <c r="M221" s="7" t="s">
        <v>15</v>
      </c>
      <c r="N221" s="7">
        <f>COUNTIFS(A:A,A221,D:D,D221,E:E,I221)</f>
        <v>0</v>
      </c>
    </row>
    <row r="222" spans="1:14" x14ac:dyDescent="0.3">
      <c r="A222" s="7" t="s">
        <v>69</v>
      </c>
      <c r="B222" s="7" t="s">
        <v>70</v>
      </c>
      <c r="C222" s="7" t="s">
        <v>42</v>
      </c>
      <c r="D222" s="8">
        <v>45445</v>
      </c>
      <c r="E222" s="8" t="str">
        <f t="shared" si="11"/>
        <v>June</v>
      </c>
      <c r="F222">
        <f t="shared" si="12"/>
        <v>2024</v>
      </c>
      <c r="G222">
        <f t="shared" si="13"/>
        <v>1</v>
      </c>
      <c r="H222">
        <f t="shared" si="14"/>
        <v>1</v>
      </c>
      <c r="I222" s="6">
        <v>0.39027777777777778</v>
      </c>
      <c r="J222" s="6">
        <v>0.81180555555555556</v>
      </c>
      <c r="K222" s="7" t="s">
        <v>26</v>
      </c>
      <c r="L222" s="7" t="s">
        <v>14</v>
      </c>
      <c r="M222" s="7" t="s">
        <v>21</v>
      </c>
      <c r="N222" s="7">
        <f>COUNTIFS(A:A,A222,D:D,D222,E:E,I222)</f>
        <v>0</v>
      </c>
    </row>
    <row r="223" spans="1:14" x14ac:dyDescent="0.3">
      <c r="A223" s="7" t="s">
        <v>31</v>
      </c>
      <c r="B223" s="7" t="s">
        <v>32</v>
      </c>
      <c r="C223" s="7" t="s">
        <v>60</v>
      </c>
      <c r="D223" s="8">
        <v>45346</v>
      </c>
      <c r="E223" s="8" t="str">
        <f t="shared" si="11"/>
        <v>February</v>
      </c>
      <c r="F223">
        <f t="shared" si="12"/>
        <v>2024</v>
      </c>
      <c r="G223">
        <f t="shared" si="13"/>
        <v>1</v>
      </c>
      <c r="H223">
        <f t="shared" si="14"/>
        <v>0</v>
      </c>
      <c r="I223" s="6">
        <v>0.45833333333333331</v>
      </c>
      <c r="J223" s="6">
        <v>0.75069444444444444</v>
      </c>
      <c r="K223" s="7" t="s">
        <v>13</v>
      </c>
      <c r="L223" s="7" t="s">
        <v>27</v>
      </c>
      <c r="M223" s="7" t="s">
        <v>21</v>
      </c>
      <c r="N223" s="7">
        <f>COUNTIFS(A:A,A223,D:D,D223,E:E,I223)</f>
        <v>0</v>
      </c>
    </row>
    <row r="224" spans="1:14" x14ac:dyDescent="0.3">
      <c r="A224" s="7" t="s">
        <v>45</v>
      </c>
      <c r="B224" s="7" t="s">
        <v>46</v>
      </c>
      <c r="C224" s="7" t="s">
        <v>42</v>
      </c>
      <c r="D224" s="8">
        <v>45311</v>
      </c>
      <c r="E224" s="8" t="str">
        <f t="shared" si="11"/>
        <v>January</v>
      </c>
      <c r="F224">
        <f t="shared" si="12"/>
        <v>2024</v>
      </c>
      <c r="G224">
        <f t="shared" si="13"/>
        <v>0</v>
      </c>
      <c r="H224">
        <f t="shared" si="14"/>
        <v>0</v>
      </c>
      <c r="I224" s="6"/>
      <c r="J224" s="6"/>
      <c r="K224" s="7" t="s">
        <v>44</v>
      </c>
      <c r="L224" s="7" t="s">
        <v>27</v>
      </c>
      <c r="M224" s="7" t="s">
        <v>15</v>
      </c>
      <c r="N224" s="7">
        <f>COUNTIFS(A:A,A224,D:D,D224,E:E,I224)</f>
        <v>0</v>
      </c>
    </row>
    <row r="225" spans="1:14" x14ac:dyDescent="0.3">
      <c r="A225" s="7" t="s">
        <v>194</v>
      </c>
      <c r="B225" s="7" t="s">
        <v>195</v>
      </c>
      <c r="C225" s="7" t="s">
        <v>60</v>
      </c>
      <c r="D225" s="8">
        <v>45338</v>
      </c>
      <c r="E225" s="8" t="str">
        <f t="shared" si="11"/>
        <v>February</v>
      </c>
      <c r="F225">
        <f t="shared" si="12"/>
        <v>2024</v>
      </c>
      <c r="G225">
        <f t="shared" si="13"/>
        <v>0</v>
      </c>
      <c r="H225">
        <f t="shared" si="14"/>
        <v>0</v>
      </c>
      <c r="I225" s="6"/>
      <c r="J225" s="6"/>
      <c r="K225" s="7" t="s">
        <v>44</v>
      </c>
      <c r="L225" s="7" t="s">
        <v>14</v>
      </c>
      <c r="M225" s="7" t="s">
        <v>15</v>
      </c>
      <c r="N225" s="7">
        <f>COUNTIFS(A:A,A225,D:D,D225,E:E,I225)</f>
        <v>0</v>
      </c>
    </row>
    <row r="226" spans="1:14" x14ac:dyDescent="0.3">
      <c r="A226" s="7" t="s">
        <v>138</v>
      </c>
      <c r="B226" s="7" t="s">
        <v>139</v>
      </c>
      <c r="C226" s="7" t="s">
        <v>426</v>
      </c>
      <c r="D226" s="8">
        <v>45446</v>
      </c>
      <c r="E226" s="8" t="str">
        <f t="shared" si="11"/>
        <v>June</v>
      </c>
      <c r="F226">
        <f t="shared" si="12"/>
        <v>2024</v>
      </c>
      <c r="G226">
        <f t="shared" si="13"/>
        <v>0</v>
      </c>
      <c r="H226">
        <f t="shared" si="14"/>
        <v>0</v>
      </c>
      <c r="I226" s="6"/>
      <c r="J226" s="6"/>
      <c r="K226" s="7" t="s">
        <v>44</v>
      </c>
      <c r="L226" s="7" t="s">
        <v>27</v>
      </c>
      <c r="M226" s="7" t="s">
        <v>15</v>
      </c>
      <c r="N226" s="7">
        <f>COUNTIFS(A:A,A226,D:D,D226,E:E,I226)</f>
        <v>0</v>
      </c>
    </row>
    <row r="227" spans="1:14" x14ac:dyDescent="0.3">
      <c r="A227" s="7" t="s">
        <v>99</v>
      </c>
      <c r="B227" s="7" t="s">
        <v>100</v>
      </c>
      <c r="C227" s="7" t="s">
        <v>426</v>
      </c>
      <c r="D227" s="8">
        <v>45343</v>
      </c>
      <c r="E227" s="8" t="str">
        <f t="shared" si="11"/>
        <v>February</v>
      </c>
      <c r="F227">
        <f t="shared" si="12"/>
        <v>2024</v>
      </c>
      <c r="G227">
        <f t="shared" si="13"/>
        <v>1</v>
      </c>
      <c r="H227">
        <f t="shared" si="14"/>
        <v>1</v>
      </c>
      <c r="I227" s="6">
        <v>0.49791666666666667</v>
      </c>
      <c r="J227" s="6">
        <v>0.81597222222222221</v>
      </c>
      <c r="K227" s="7" t="s">
        <v>26</v>
      </c>
      <c r="L227" s="7" t="s">
        <v>27</v>
      </c>
      <c r="M227" s="7" t="s">
        <v>21</v>
      </c>
      <c r="N227" s="7">
        <f>COUNTIFS(A:A,A227,D:D,D227,E:E,I227)</f>
        <v>0</v>
      </c>
    </row>
    <row r="228" spans="1:14" x14ac:dyDescent="0.3">
      <c r="A228" s="7" t="s">
        <v>28</v>
      </c>
      <c r="B228" s="7" t="s">
        <v>29</v>
      </c>
      <c r="C228" s="7" t="s">
        <v>42</v>
      </c>
      <c r="D228" s="8">
        <v>45306</v>
      </c>
      <c r="E228" s="8" t="str">
        <f t="shared" si="11"/>
        <v>January</v>
      </c>
      <c r="F228">
        <f t="shared" si="12"/>
        <v>2024</v>
      </c>
      <c r="G228">
        <f t="shared" si="13"/>
        <v>0</v>
      </c>
      <c r="H228">
        <f t="shared" si="14"/>
        <v>0</v>
      </c>
      <c r="I228" s="6"/>
      <c r="J228" s="6"/>
      <c r="K228" s="7" t="s">
        <v>44</v>
      </c>
      <c r="L228" s="7" t="s">
        <v>27</v>
      </c>
      <c r="M228" s="7" t="s">
        <v>15</v>
      </c>
      <c r="N228" s="7">
        <f>COUNTIFS(A:A,A228,D:D,D228,E:E,I228)</f>
        <v>0</v>
      </c>
    </row>
    <row r="229" spans="1:14" x14ac:dyDescent="0.3">
      <c r="A229" s="7" t="s">
        <v>194</v>
      </c>
      <c r="B229" s="7" t="s">
        <v>195</v>
      </c>
      <c r="C229" s="7" t="s">
        <v>42</v>
      </c>
      <c r="D229" s="8">
        <v>45599</v>
      </c>
      <c r="E229" s="8" t="str">
        <f t="shared" si="11"/>
        <v>November</v>
      </c>
      <c r="F229">
        <f t="shared" si="12"/>
        <v>2024</v>
      </c>
      <c r="G229">
        <f t="shared" si="13"/>
        <v>1</v>
      </c>
      <c r="H229">
        <f t="shared" si="14"/>
        <v>1</v>
      </c>
      <c r="I229" s="6">
        <v>0.48055555555555557</v>
      </c>
      <c r="J229" s="6">
        <v>0.7993055555555556</v>
      </c>
      <c r="K229" s="7" t="s">
        <v>26</v>
      </c>
      <c r="L229" s="7" t="s">
        <v>27</v>
      </c>
      <c r="M229" s="7" t="s">
        <v>21</v>
      </c>
      <c r="N229" s="7">
        <f>COUNTIFS(A:A,A229,D:D,D229,E:E,I229)</f>
        <v>0</v>
      </c>
    </row>
    <row r="230" spans="1:14" x14ac:dyDescent="0.3">
      <c r="A230" s="7" t="s">
        <v>119</v>
      </c>
      <c r="B230" s="7" t="s">
        <v>120</v>
      </c>
      <c r="C230" s="7" t="s">
        <v>42</v>
      </c>
      <c r="D230" s="8">
        <v>45307</v>
      </c>
      <c r="E230" s="8" t="str">
        <f t="shared" si="11"/>
        <v>January</v>
      </c>
      <c r="F230">
        <f t="shared" si="12"/>
        <v>2024</v>
      </c>
      <c r="G230">
        <f t="shared" si="13"/>
        <v>1</v>
      </c>
      <c r="H230">
        <f t="shared" si="14"/>
        <v>0</v>
      </c>
      <c r="I230" s="6">
        <v>0.48958333333333331</v>
      </c>
      <c r="J230" s="6">
        <v>0.70625000000000004</v>
      </c>
      <c r="K230" s="7" t="s">
        <v>13</v>
      </c>
      <c r="L230" s="7" t="s">
        <v>14</v>
      </c>
      <c r="M230" s="7" t="s">
        <v>21</v>
      </c>
      <c r="N230" s="7">
        <f>COUNTIFS(A:A,A230,D:D,D230,E:E,I230)</f>
        <v>0</v>
      </c>
    </row>
    <row r="231" spans="1:14" x14ac:dyDescent="0.3">
      <c r="A231" s="7" t="s">
        <v>28</v>
      </c>
      <c r="B231" s="7" t="s">
        <v>29</v>
      </c>
      <c r="C231" s="7" t="s">
        <v>42</v>
      </c>
      <c r="D231" s="8">
        <v>45372</v>
      </c>
      <c r="E231" s="8" t="str">
        <f t="shared" si="11"/>
        <v>March</v>
      </c>
      <c r="F231">
        <f t="shared" si="12"/>
        <v>2024</v>
      </c>
      <c r="G231">
        <f t="shared" si="13"/>
        <v>1</v>
      </c>
      <c r="H231">
        <f t="shared" si="14"/>
        <v>0</v>
      </c>
      <c r="I231" s="6">
        <v>0.3576388888888889</v>
      </c>
      <c r="J231" s="6">
        <v>0.72291666666666665</v>
      </c>
      <c r="K231" s="7" t="s">
        <v>13</v>
      </c>
      <c r="L231" s="7" t="s">
        <v>27</v>
      </c>
      <c r="M231" s="7" t="s">
        <v>15</v>
      </c>
      <c r="N231" s="7">
        <f>COUNTIFS(A:A,A231,D:D,D231,E:E,I231)</f>
        <v>0</v>
      </c>
    </row>
    <row r="232" spans="1:14" x14ac:dyDescent="0.3">
      <c r="A232" s="7" t="s">
        <v>55</v>
      </c>
      <c r="B232" s="7" t="s">
        <v>56</v>
      </c>
      <c r="C232" s="7" t="s">
        <v>60</v>
      </c>
      <c r="D232" s="8">
        <v>45368</v>
      </c>
      <c r="E232" s="8" t="str">
        <f t="shared" si="11"/>
        <v>March</v>
      </c>
      <c r="F232">
        <f t="shared" si="12"/>
        <v>2024</v>
      </c>
      <c r="G232">
        <f t="shared" si="13"/>
        <v>1</v>
      </c>
      <c r="H232">
        <f t="shared" si="14"/>
        <v>0</v>
      </c>
      <c r="I232" s="6">
        <v>0.47152777777777777</v>
      </c>
      <c r="J232" s="6">
        <v>0.80347222222222225</v>
      </c>
      <c r="K232" s="7" t="s">
        <v>20</v>
      </c>
      <c r="L232" s="7" t="s">
        <v>27</v>
      </c>
      <c r="M232" s="7" t="s">
        <v>15</v>
      </c>
      <c r="N232" s="7">
        <f>COUNTIFS(A:A,A232,D:D,D232,E:E,I232)</f>
        <v>0</v>
      </c>
    </row>
    <row r="233" spans="1:14" x14ac:dyDescent="0.3">
      <c r="A233" s="7" t="s">
        <v>48</v>
      </c>
      <c r="B233" s="7" t="s">
        <v>49</v>
      </c>
      <c r="C233" s="7" t="s">
        <v>425</v>
      </c>
      <c r="D233" s="8">
        <v>45332</v>
      </c>
      <c r="E233" s="8" t="str">
        <f t="shared" si="11"/>
        <v>February</v>
      </c>
      <c r="F233">
        <f t="shared" si="12"/>
        <v>2024</v>
      </c>
      <c r="G233">
        <f t="shared" si="13"/>
        <v>1</v>
      </c>
      <c r="H233">
        <f t="shared" si="14"/>
        <v>0</v>
      </c>
      <c r="I233" s="6">
        <v>0.41944444444444445</v>
      </c>
      <c r="J233" s="6">
        <v>0.83472222222222225</v>
      </c>
      <c r="K233" s="7" t="s">
        <v>13</v>
      </c>
      <c r="L233" s="7" t="s">
        <v>14</v>
      </c>
      <c r="M233" s="7" t="s">
        <v>21</v>
      </c>
      <c r="N233" s="7">
        <f>COUNTIFS(A:A,A233,D:D,D233,E:E,I233)</f>
        <v>0</v>
      </c>
    </row>
    <row r="234" spans="1:14" x14ac:dyDescent="0.3">
      <c r="A234" s="7" t="s">
        <v>75</v>
      </c>
      <c r="B234" s="7" t="s">
        <v>76</v>
      </c>
      <c r="C234" s="7" t="s">
        <v>64</v>
      </c>
      <c r="D234" s="8">
        <v>45351</v>
      </c>
      <c r="E234" s="8" t="str">
        <f t="shared" si="11"/>
        <v>February</v>
      </c>
      <c r="F234">
        <f t="shared" si="12"/>
        <v>2024</v>
      </c>
      <c r="G234">
        <f t="shared" si="13"/>
        <v>1</v>
      </c>
      <c r="H234">
        <f t="shared" si="14"/>
        <v>1</v>
      </c>
      <c r="I234" s="6">
        <v>0.44444444444444442</v>
      </c>
      <c r="J234" s="6">
        <v>0.78194444444444444</v>
      </c>
      <c r="K234" s="7" t="s">
        <v>26</v>
      </c>
      <c r="L234" s="7" t="s">
        <v>14</v>
      </c>
      <c r="M234" s="7" t="s">
        <v>21</v>
      </c>
      <c r="N234" s="7">
        <f>COUNTIFS(A:A,A234,D:D,D234,E:E,I234)</f>
        <v>0</v>
      </c>
    </row>
    <row r="235" spans="1:14" x14ac:dyDescent="0.3">
      <c r="A235" s="7" t="s">
        <v>81</v>
      </c>
      <c r="B235" s="7" t="s">
        <v>82</v>
      </c>
      <c r="C235" s="7" t="s">
        <v>425</v>
      </c>
      <c r="D235" s="8">
        <v>45375</v>
      </c>
      <c r="E235" s="8" t="str">
        <f t="shared" si="11"/>
        <v>March</v>
      </c>
      <c r="F235">
        <f t="shared" si="12"/>
        <v>2024</v>
      </c>
      <c r="G235">
        <f t="shared" si="13"/>
        <v>1</v>
      </c>
      <c r="H235">
        <f t="shared" si="14"/>
        <v>1</v>
      </c>
      <c r="I235" s="6">
        <v>0.4597222222222222</v>
      </c>
      <c r="J235" s="6">
        <v>0.75416666666666665</v>
      </c>
      <c r="K235" s="7" t="s">
        <v>26</v>
      </c>
      <c r="L235" s="7" t="s">
        <v>14</v>
      </c>
      <c r="M235" s="7" t="s">
        <v>21</v>
      </c>
      <c r="N235" s="7">
        <f>COUNTIFS(A:A,A235,D:D,D235,E:E,I235)</f>
        <v>0</v>
      </c>
    </row>
    <row r="236" spans="1:14" x14ac:dyDescent="0.3">
      <c r="A236" s="7" t="s">
        <v>224</v>
      </c>
      <c r="B236" s="7" t="s">
        <v>225</v>
      </c>
      <c r="C236" s="7" t="s">
        <v>60</v>
      </c>
      <c r="D236" s="8">
        <v>45346</v>
      </c>
      <c r="E236" s="8" t="str">
        <f t="shared" si="11"/>
        <v>February</v>
      </c>
      <c r="F236">
        <f t="shared" si="12"/>
        <v>2024</v>
      </c>
      <c r="G236">
        <f t="shared" si="13"/>
        <v>1</v>
      </c>
      <c r="H236">
        <f t="shared" si="14"/>
        <v>0</v>
      </c>
      <c r="I236" s="6">
        <v>0.37083333333333335</v>
      </c>
      <c r="J236" s="6">
        <v>0.82013888888888886</v>
      </c>
      <c r="K236" s="7" t="s">
        <v>20</v>
      </c>
      <c r="L236" s="7" t="s">
        <v>27</v>
      </c>
      <c r="M236" s="7" t="s">
        <v>21</v>
      </c>
      <c r="N236" s="7">
        <f>COUNTIFS(A:A,A236,D:D,D236,E:E,I236)</f>
        <v>0</v>
      </c>
    </row>
    <row r="237" spans="1:14" x14ac:dyDescent="0.3">
      <c r="A237" s="7" t="s">
        <v>75</v>
      </c>
      <c r="B237" s="7" t="s">
        <v>76</v>
      </c>
      <c r="C237" s="7" t="s">
        <v>60</v>
      </c>
      <c r="D237" s="8">
        <v>45384</v>
      </c>
      <c r="E237" s="8" t="str">
        <f t="shared" si="11"/>
        <v>April</v>
      </c>
      <c r="F237">
        <f t="shared" si="12"/>
        <v>2024</v>
      </c>
      <c r="G237">
        <f t="shared" si="13"/>
        <v>0</v>
      </c>
      <c r="H237">
        <f t="shared" si="14"/>
        <v>0</v>
      </c>
      <c r="I237" s="6"/>
      <c r="J237" s="6"/>
      <c r="K237" s="7" t="s">
        <v>44</v>
      </c>
      <c r="L237" s="7" t="s">
        <v>27</v>
      </c>
      <c r="M237" s="7" t="s">
        <v>15</v>
      </c>
      <c r="N237" s="7">
        <f>COUNTIFS(A:A,A237,D:D,D237,E:E,I237)</f>
        <v>0</v>
      </c>
    </row>
    <row r="238" spans="1:14" x14ac:dyDescent="0.3">
      <c r="A238" s="7" t="s">
        <v>84</v>
      </c>
      <c r="B238" s="7" t="s">
        <v>85</v>
      </c>
      <c r="C238" s="7" t="s">
        <v>425</v>
      </c>
      <c r="D238" s="8">
        <v>45345</v>
      </c>
      <c r="E238" s="8" t="str">
        <f t="shared" si="11"/>
        <v>February</v>
      </c>
      <c r="F238">
        <f t="shared" si="12"/>
        <v>2024</v>
      </c>
      <c r="G238">
        <f t="shared" si="13"/>
        <v>1</v>
      </c>
      <c r="H238">
        <f t="shared" si="14"/>
        <v>1</v>
      </c>
      <c r="I238" s="6">
        <v>0.45</v>
      </c>
      <c r="J238" s="6">
        <v>0.69722222222222219</v>
      </c>
      <c r="K238" s="7" t="s">
        <v>26</v>
      </c>
      <c r="L238" s="7" t="s">
        <v>27</v>
      </c>
      <c r="M238" s="7" t="s">
        <v>15</v>
      </c>
      <c r="N238" s="7">
        <f>COUNTIFS(A:A,A238,D:D,D238,E:E,I238)</f>
        <v>0</v>
      </c>
    </row>
    <row r="239" spans="1:14" x14ac:dyDescent="0.3">
      <c r="A239" s="7" t="s">
        <v>72</v>
      </c>
      <c r="B239" s="7" t="s">
        <v>73</v>
      </c>
      <c r="C239" s="7" t="s">
        <v>42</v>
      </c>
      <c r="D239" s="8">
        <v>45297</v>
      </c>
      <c r="E239" s="8" t="str">
        <f t="shared" si="11"/>
        <v>January</v>
      </c>
      <c r="F239">
        <f t="shared" si="12"/>
        <v>2024</v>
      </c>
      <c r="G239">
        <f t="shared" si="13"/>
        <v>1</v>
      </c>
      <c r="H239">
        <f t="shared" si="14"/>
        <v>1</v>
      </c>
      <c r="I239" s="6">
        <v>0.37638888888888888</v>
      </c>
      <c r="J239" s="6">
        <v>0.67500000000000004</v>
      </c>
      <c r="K239" s="7" t="s">
        <v>26</v>
      </c>
      <c r="L239" s="7" t="s">
        <v>27</v>
      </c>
      <c r="M239" s="7" t="s">
        <v>21</v>
      </c>
      <c r="N239" s="7">
        <f>COUNTIFS(A:A,A239,D:D,D239,E:E,I239)</f>
        <v>0</v>
      </c>
    </row>
    <row r="240" spans="1:14" x14ac:dyDescent="0.3">
      <c r="A240" s="7" t="s">
        <v>204</v>
      </c>
      <c r="B240" s="7" t="s">
        <v>205</v>
      </c>
      <c r="C240" s="7" t="s">
        <v>64</v>
      </c>
      <c r="D240" s="8">
        <v>45307</v>
      </c>
      <c r="E240" s="8" t="str">
        <f t="shared" si="11"/>
        <v>January</v>
      </c>
      <c r="F240">
        <f t="shared" si="12"/>
        <v>2024</v>
      </c>
      <c r="G240">
        <f t="shared" si="13"/>
        <v>1</v>
      </c>
      <c r="H240">
        <f t="shared" si="14"/>
        <v>0</v>
      </c>
      <c r="I240" s="6">
        <v>0.35347222222222224</v>
      </c>
      <c r="J240" s="6">
        <v>0.86805555555555558</v>
      </c>
      <c r="K240" s="7" t="s">
        <v>20</v>
      </c>
      <c r="L240" s="7" t="s">
        <v>27</v>
      </c>
      <c r="M240" s="7" t="s">
        <v>15</v>
      </c>
      <c r="N240" s="7">
        <f>COUNTIFS(A:A,A240,D:D,D240,E:E,I240)</f>
        <v>0</v>
      </c>
    </row>
    <row r="241" spans="1:14" x14ac:dyDescent="0.3">
      <c r="A241" s="7" t="s">
        <v>109</v>
      </c>
      <c r="B241" s="7" t="s">
        <v>110</v>
      </c>
      <c r="C241" s="7" t="s">
        <v>64</v>
      </c>
      <c r="D241" s="8">
        <v>45568</v>
      </c>
      <c r="E241" s="8" t="str">
        <f t="shared" si="11"/>
        <v>October</v>
      </c>
      <c r="F241">
        <f t="shared" si="12"/>
        <v>2024</v>
      </c>
      <c r="G241">
        <f t="shared" si="13"/>
        <v>1</v>
      </c>
      <c r="H241">
        <f t="shared" si="14"/>
        <v>0</v>
      </c>
      <c r="I241" s="6">
        <v>0.45902777777777776</v>
      </c>
      <c r="J241" s="6">
        <v>0.71111111111111114</v>
      </c>
      <c r="K241" s="7" t="s">
        <v>13</v>
      </c>
      <c r="L241" s="7" t="s">
        <v>27</v>
      </c>
      <c r="M241" s="7" t="s">
        <v>15</v>
      </c>
      <c r="N241" s="7">
        <f>COUNTIFS(A:A,A241,D:D,D241,E:E,I241)</f>
        <v>0</v>
      </c>
    </row>
    <row r="242" spans="1:14" x14ac:dyDescent="0.3">
      <c r="A242" s="7" t="s">
        <v>102</v>
      </c>
      <c r="B242" s="7" t="s">
        <v>103</v>
      </c>
      <c r="C242" s="7" t="s">
        <v>426</v>
      </c>
      <c r="D242" s="8">
        <v>45379</v>
      </c>
      <c r="E242" s="8" t="str">
        <f t="shared" si="11"/>
        <v>March</v>
      </c>
      <c r="F242">
        <f t="shared" si="12"/>
        <v>2024</v>
      </c>
      <c r="G242">
        <f t="shared" si="13"/>
        <v>1</v>
      </c>
      <c r="H242">
        <f t="shared" si="14"/>
        <v>0</v>
      </c>
      <c r="I242" s="6">
        <v>0.42291666666666666</v>
      </c>
      <c r="J242" s="6">
        <v>0.79166666666666663</v>
      </c>
      <c r="K242" s="7" t="s">
        <v>20</v>
      </c>
      <c r="L242" s="7" t="s">
        <v>14</v>
      </c>
      <c r="M242" s="7" t="s">
        <v>15</v>
      </c>
      <c r="N242" s="7">
        <f>COUNTIFS(A:A,A242,D:D,D242,E:E,I242)</f>
        <v>0</v>
      </c>
    </row>
    <row r="243" spans="1:14" x14ac:dyDescent="0.3">
      <c r="A243" s="7" t="s">
        <v>90</v>
      </c>
      <c r="B243" s="7" t="s">
        <v>91</v>
      </c>
      <c r="C243" s="7" t="s">
        <v>42</v>
      </c>
      <c r="D243" s="8">
        <v>45315</v>
      </c>
      <c r="E243" s="8" t="str">
        <f t="shared" si="11"/>
        <v>January</v>
      </c>
      <c r="F243">
        <f t="shared" si="12"/>
        <v>2024</v>
      </c>
      <c r="G243">
        <f t="shared" si="13"/>
        <v>0</v>
      </c>
      <c r="H243">
        <f t="shared" si="14"/>
        <v>0</v>
      </c>
      <c r="I243" s="6"/>
      <c r="J243" s="6"/>
      <c r="K243" s="7" t="s">
        <v>44</v>
      </c>
      <c r="L243" s="7" t="s">
        <v>14</v>
      </c>
      <c r="M243" s="7" t="s">
        <v>15</v>
      </c>
      <c r="N243" s="7">
        <f>COUNTIFS(A:A,A243,D:D,D243,E:E,I243)</f>
        <v>0</v>
      </c>
    </row>
    <row r="244" spans="1:14" x14ac:dyDescent="0.3">
      <c r="A244" s="7" t="s">
        <v>28</v>
      </c>
      <c r="B244" s="7" t="s">
        <v>29</v>
      </c>
      <c r="C244" s="7" t="s">
        <v>425</v>
      </c>
      <c r="D244" s="8">
        <v>45335</v>
      </c>
      <c r="E244" s="8" t="str">
        <f t="shared" si="11"/>
        <v>February</v>
      </c>
      <c r="F244">
        <f t="shared" si="12"/>
        <v>2024</v>
      </c>
      <c r="G244">
        <f t="shared" si="13"/>
        <v>1</v>
      </c>
      <c r="H244">
        <f t="shared" si="14"/>
        <v>0</v>
      </c>
      <c r="I244" s="6">
        <v>0.4826388888888889</v>
      </c>
      <c r="J244" s="6">
        <v>0.76736111111111116</v>
      </c>
      <c r="K244" s="7" t="s">
        <v>20</v>
      </c>
      <c r="L244" s="7" t="s">
        <v>14</v>
      </c>
      <c r="M244" s="7" t="s">
        <v>15</v>
      </c>
      <c r="N244" s="7">
        <f>COUNTIFS(A:A,A244,D:D,D244,E:E,I244)</f>
        <v>0</v>
      </c>
    </row>
    <row r="245" spans="1:14" x14ac:dyDescent="0.3">
      <c r="A245" s="7" t="s">
        <v>146</v>
      </c>
      <c r="B245" s="7" t="s">
        <v>147</v>
      </c>
      <c r="C245" s="7" t="s">
        <v>60</v>
      </c>
      <c r="D245" s="8">
        <v>45326</v>
      </c>
      <c r="E245" s="8" t="str">
        <f t="shared" si="11"/>
        <v>February</v>
      </c>
      <c r="F245">
        <f t="shared" si="12"/>
        <v>2024</v>
      </c>
      <c r="G245">
        <f t="shared" si="13"/>
        <v>1</v>
      </c>
      <c r="H245">
        <f t="shared" si="14"/>
        <v>0</v>
      </c>
      <c r="I245" s="6">
        <v>0.42083333333333334</v>
      </c>
      <c r="J245" s="6">
        <v>0.81319444444444444</v>
      </c>
      <c r="K245" s="7" t="s">
        <v>13</v>
      </c>
      <c r="L245" s="7" t="s">
        <v>27</v>
      </c>
      <c r="M245" s="7" t="s">
        <v>21</v>
      </c>
      <c r="N245" s="7">
        <f>COUNTIFS(A:A,A245,D:D,D245,E:E,I245)</f>
        <v>0</v>
      </c>
    </row>
    <row r="246" spans="1:14" x14ac:dyDescent="0.3">
      <c r="A246" s="7" t="s">
        <v>66</v>
      </c>
      <c r="B246" s="7" t="s">
        <v>67</v>
      </c>
      <c r="C246" s="7" t="s">
        <v>42</v>
      </c>
      <c r="D246" s="8">
        <v>45316</v>
      </c>
      <c r="E246" s="8" t="str">
        <f t="shared" si="11"/>
        <v>January</v>
      </c>
      <c r="F246">
        <f t="shared" si="12"/>
        <v>2024</v>
      </c>
      <c r="G246">
        <f t="shared" si="13"/>
        <v>0</v>
      </c>
      <c r="H246">
        <f t="shared" si="14"/>
        <v>0</v>
      </c>
      <c r="I246" s="6"/>
      <c r="J246" s="6"/>
      <c r="K246" s="7" t="s">
        <v>44</v>
      </c>
      <c r="L246" s="7" t="s">
        <v>27</v>
      </c>
      <c r="M246" s="7" t="s">
        <v>15</v>
      </c>
      <c r="N246" s="7">
        <f>COUNTIFS(A:A,A246,D:D,D246,E:E,I246)</f>
        <v>0</v>
      </c>
    </row>
    <row r="247" spans="1:14" x14ac:dyDescent="0.3">
      <c r="A247" s="7" t="s">
        <v>187</v>
      </c>
      <c r="B247" s="7" t="s">
        <v>188</v>
      </c>
      <c r="C247" s="7" t="s">
        <v>42</v>
      </c>
      <c r="D247" s="8">
        <v>45305</v>
      </c>
      <c r="E247" s="8" t="str">
        <f t="shared" si="11"/>
        <v>January</v>
      </c>
      <c r="F247">
        <f t="shared" si="12"/>
        <v>2024</v>
      </c>
      <c r="G247">
        <f t="shared" si="13"/>
        <v>1</v>
      </c>
      <c r="H247">
        <f t="shared" si="14"/>
        <v>1</v>
      </c>
      <c r="I247" s="6">
        <v>0.34652777777777777</v>
      </c>
      <c r="J247" s="6">
        <v>0.72430555555555554</v>
      </c>
      <c r="K247" s="7" t="s">
        <v>26</v>
      </c>
      <c r="L247" s="7" t="s">
        <v>27</v>
      </c>
      <c r="M247" s="7" t="s">
        <v>15</v>
      </c>
      <c r="N247" s="7">
        <f>COUNTIFS(A:A,A247,D:D,D247,E:E,I247)</f>
        <v>0</v>
      </c>
    </row>
    <row r="248" spans="1:14" x14ac:dyDescent="0.3">
      <c r="A248" s="7" t="s">
        <v>99</v>
      </c>
      <c r="B248" s="7" t="s">
        <v>100</v>
      </c>
      <c r="C248" s="7" t="s">
        <v>60</v>
      </c>
      <c r="D248" s="8">
        <v>45474</v>
      </c>
      <c r="E248" s="8" t="str">
        <f t="shared" si="11"/>
        <v>July</v>
      </c>
      <c r="F248">
        <f t="shared" si="12"/>
        <v>2024</v>
      </c>
      <c r="G248">
        <f t="shared" si="13"/>
        <v>1</v>
      </c>
      <c r="H248">
        <f t="shared" si="14"/>
        <v>0</v>
      </c>
      <c r="I248" s="6">
        <v>0.4909722222222222</v>
      </c>
      <c r="J248" s="6">
        <v>0.84444444444444444</v>
      </c>
      <c r="K248" s="7" t="s">
        <v>20</v>
      </c>
      <c r="L248" s="7" t="s">
        <v>27</v>
      </c>
      <c r="M248" s="7" t="s">
        <v>21</v>
      </c>
      <c r="N248" s="7">
        <f>COUNTIFS(A:A,A248,D:D,D248,E:E,I248)</f>
        <v>0</v>
      </c>
    </row>
    <row r="249" spans="1:14" x14ac:dyDescent="0.3">
      <c r="A249" s="7" t="s">
        <v>96</v>
      </c>
      <c r="B249" s="7" t="s">
        <v>97</v>
      </c>
      <c r="C249" s="7" t="s">
        <v>426</v>
      </c>
      <c r="D249" s="8">
        <v>45311</v>
      </c>
      <c r="E249" s="8" t="str">
        <f t="shared" si="11"/>
        <v>January</v>
      </c>
      <c r="F249">
        <f t="shared" si="12"/>
        <v>2024</v>
      </c>
      <c r="G249">
        <f t="shared" si="13"/>
        <v>1</v>
      </c>
      <c r="H249">
        <f t="shared" si="14"/>
        <v>0</v>
      </c>
      <c r="I249" s="6">
        <v>0.43194444444444446</v>
      </c>
      <c r="J249" s="6">
        <v>0.79305555555555551</v>
      </c>
      <c r="K249" s="7" t="s">
        <v>20</v>
      </c>
      <c r="L249" s="7" t="s">
        <v>14</v>
      </c>
      <c r="M249" s="7" t="s">
        <v>21</v>
      </c>
      <c r="N249" s="7">
        <f>COUNTIFS(A:A,A249,D:D,D249,E:E,I249)</f>
        <v>0</v>
      </c>
    </row>
    <row r="250" spans="1:14" x14ac:dyDescent="0.3">
      <c r="A250" s="7" t="s">
        <v>81</v>
      </c>
      <c r="B250" s="7" t="s">
        <v>82</v>
      </c>
      <c r="C250" s="7" t="s">
        <v>425</v>
      </c>
      <c r="D250" s="8">
        <v>45293</v>
      </c>
      <c r="E250" s="8" t="str">
        <f t="shared" si="11"/>
        <v>January</v>
      </c>
      <c r="F250">
        <f t="shared" si="12"/>
        <v>2024</v>
      </c>
      <c r="G250">
        <f t="shared" si="13"/>
        <v>0</v>
      </c>
      <c r="H250">
        <f t="shared" si="14"/>
        <v>0</v>
      </c>
      <c r="I250" s="6"/>
      <c r="J250" s="6"/>
      <c r="K250" s="7" t="s">
        <v>44</v>
      </c>
      <c r="L250" s="7" t="s">
        <v>14</v>
      </c>
      <c r="M250" s="7" t="s">
        <v>15</v>
      </c>
      <c r="N250" s="7">
        <f>COUNTIFS(A:A,A250,D:D,D250,E:E,I250)</f>
        <v>0</v>
      </c>
    </row>
    <row r="251" spans="1:14" x14ac:dyDescent="0.3">
      <c r="A251" s="7" t="s">
        <v>191</v>
      </c>
      <c r="B251" s="7" t="s">
        <v>192</v>
      </c>
      <c r="C251" s="7" t="s">
        <v>426</v>
      </c>
      <c r="D251" s="8">
        <v>45341</v>
      </c>
      <c r="E251" s="8" t="str">
        <f t="shared" si="11"/>
        <v>February</v>
      </c>
      <c r="F251">
        <f t="shared" si="12"/>
        <v>2024</v>
      </c>
      <c r="G251">
        <f t="shared" si="13"/>
        <v>1</v>
      </c>
      <c r="H251">
        <f t="shared" si="14"/>
        <v>0</v>
      </c>
      <c r="I251" s="6">
        <v>0.44444444444444442</v>
      </c>
      <c r="J251" s="6">
        <v>0.86805555555555558</v>
      </c>
      <c r="K251" s="7" t="s">
        <v>20</v>
      </c>
      <c r="L251" s="7" t="s">
        <v>27</v>
      </c>
      <c r="M251" s="7" t="s">
        <v>15</v>
      </c>
      <c r="N251" s="7">
        <f>COUNTIFS(A:A,A251,D:D,D251,E:E,I251)</f>
        <v>0</v>
      </c>
    </row>
    <row r="252" spans="1:14" x14ac:dyDescent="0.3">
      <c r="A252" s="7" t="s">
        <v>150</v>
      </c>
      <c r="B252" s="7" t="s">
        <v>151</v>
      </c>
      <c r="C252" s="7" t="s">
        <v>426</v>
      </c>
      <c r="D252" s="8">
        <v>45299</v>
      </c>
      <c r="E252" s="8" t="str">
        <f t="shared" si="11"/>
        <v>January</v>
      </c>
      <c r="F252">
        <f t="shared" si="12"/>
        <v>2024</v>
      </c>
      <c r="G252">
        <f t="shared" si="13"/>
        <v>1</v>
      </c>
      <c r="H252">
        <f t="shared" si="14"/>
        <v>0</v>
      </c>
      <c r="I252" s="6">
        <v>0.46527777777777779</v>
      </c>
      <c r="J252" s="6">
        <v>0.69652777777777775</v>
      </c>
      <c r="K252" s="7" t="s">
        <v>13</v>
      </c>
      <c r="L252" s="7" t="s">
        <v>27</v>
      </c>
      <c r="M252" s="7" t="s">
        <v>21</v>
      </c>
      <c r="N252" s="7">
        <f>COUNTIFS(A:A,A252,D:D,D252,E:E,I252)</f>
        <v>0</v>
      </c>
    </row>
    <row r="253" spans="1:14" x14ac:dyDescent="0.3">
      <c r="A253" s="7" t="s">
        <v>216</v>
      </c>
      <c r="B253" s="7" t="s">
        <v>217</v>
      </c>
      <c r="C253" s="7" t="s">
        <v>60</v>
      </c>
      <c r="D253" s="8">
        <v>45341</v>
      </c>
      <c r="E253" s="8" t="str">
        <f t="shared" si="11"/>
        <v>February</v>
      </c>
      <c r="F253">
        <f t="shared" si="12"/>
        <v>2024</v>
      </c>
      <c r="G253">
        <f t="shared" si="13"/>
        <v>1</v>
      </c>
      <c r="H253">
        <f t="shared" si="14"/>
        <v>0</v>
      </c>
      <c r="I253" s="6">
        <v>0.34513888888888888</v>
      </c>
      <c r="J253" s="6">
        <v>0.83125000000000004</v>
      </c>
      <c r="K253" s="7" t="s">
        <v>20</v>
      </c>
      <c r="L253" s="7" t="s">
        <v>27</v>
      </c>
      <c r="M253" s="7" t="s">
        <v>15</v>
      </c>
      <c r="N253" s="7">
        <f>COUNTIFS(A:A,A253,D:D,D253,E:E,I253)</f>
        <v>0</v>
      </c>
    </row>
    <row r="254" spans="1:14" x14ac:dyDescent="0.3">
      <c r="A254" s="7" t="s">
        <v>246</v>
      </c>
      <c r="B254" s="7" t="s">
        <v>247</v>
      </c>
      <c r="C254" s="7" t="s">
        <v>426</v>
      </c>
      <c r="D254" s="8">
        <v>45384</v>
      </c>
      <c r="E254" s="8" t="str">
        <f t="shared" si="11"/>
        <v>April</v>
      </c>
      <c r="F254">
        <f t="shared" si="12"/>
        <v>2024</v>
      </c>
      <c r="G254">
        <f t="shared" si="13"/>
        <v>1</v>
      </c>
      <c r="H254">
        <f t="shared" si="14"/>
        <v>0</v>
      </c>
      <c r="I254" s="6">
        <v>0.45624999999999999</v>
      </c>
      <c r="J254" s="6">
        <v>0.78194444444444444</v>
      </c>
      <c r="K254" s="7" t="s">
        <v>13</v>
      </c>
      <c r="L254" s="7" t="s">
        <v>27</v>
      </c>
      <c r="M254" s="7" t="s">
        <v>21</v>
      </c>
      <c r="N254" s="7">
        <f>COUNTIFS(A:A,A254,D:D,D254,E:E,I254)</f>
        <v>0</v>
      </c>
    </row>
    <row r="255" spans="1:14" x14ac:dyDescent="0.3">
      <c r="A255" s="7" t="s">
        <v>191</v>
      </c>
      <c r="B255" s="7" t="s">
        <v>192</v>
      </c>
      <c r="C255" s="7" t="s">
        <v>64</v>
      </c>
      <c r="D255" s="8">
        <v>45306</v>
      </c>
      <c r="E255" s="8" t="str">
        <f t="shared" si="11"/>
        <v>January</v>
      </c>
      <c r="F255">
        <f t="shared" si="12"/>
        <v>2024</v>
      </c>
      <c r="G255">
        <f t="shared" si="13"/>
        <v>1</v>
      </c>
      <c r="H255">
        <f t="shared" si="14"/>
        <v>0</v>
      </c>
      <c r="I255" s="6">
        <v>0.40972222222222221</v>
      </c>
      <c r="J255" s="6">
        <v>0.69722222222222219</v>
      </c>
      <c r="K255" s="7" t="s">
        <v>20</v>
      </c>
      <c r="L255" s="7" t="s">
        <v>14</v>
      </c>
      <c r="M255" s="7" t="s">
        <v>21</v>
      </c>
      <c r="N255" s="7">
        <f>COUNTIFS(A:A,A255,D:D,D255,E:E,I255)</f>
        <v>0</v>
      </c>
    </row>
    <row r="256" spans="1:14" x14ac:dyDescent="0.3">
      <c r="A256" s="7" t="s">
        <v>9</v>
      </c>
      <c r="B256" s="7" t="s">
        <v>10</v>
      </c>
      <c r="C256" s="7" t="s">
        <v>42</v>
      </c>
      <c r="D256" s="8">
        <v>45333</v>
      </c>
      <c r="E256" s="8" t="str">
        <f t="shared" si="11"/>
        <v>February</v>
      </c>
      <c r="F256">
        <f t="shared" si="12"/>
        <v>2024</v>
      </c>
      <c r="G256">
        <f t="shared" si="13"/>
        <v>1</v>
      </c>
      <c r="H256">
        <f t="shared" si="14"/>
        <v>0</v>
      </c>
      <c r="I256" s="6">
        <v>0.36944444444444446</v>
      </c>
      <c r="J256" s="6">
        <v>0.7319444444444444</v>
      </c>
      <c r="K256" s="7" t="s">
        <v>20</v>
      </c>
      <c r="L256" s="7" t="s">
        <v>14</v>
      </c>
      <c r="M256" s="7" t="s">
        <v>21</v>
      </c>
      <c r="N256" s="7">
        <f>COUNTIFS(A:A,A256,D:D,D256,E:E,I256)</f>
        <v>0</v>
      </c>
    </row>
    <row r="257" spans="1:14" x14ac:dyDescent="0.3">
      <c r="A257" s="7" t="s">
        <v>115</v>
      </c>
      <c r="B257" s="7" t="s">
        <v>116</v>
      </c>
      <c r="C257" s="7" t="s">
        <v>60</v>
      </c>
      <c r="D257" s="8">
        <v>45343</v>
      </c>
      <c r="E257" s="8" t="str">
        <f t="shared" si="11"/>
        <v>February</v>
      </c>
      <c r="F257">
        <f t="shared" si="12"/>
        <v>2024</v>
      </c>
      <c r="G257">
        <f t="shared" si="13"/>
        <v>1</v>
      </c>
      <c r="H257">
        <f t="shared" si="14"/>
        <v>0</v>
      </c>
      <c r="I257" s="6">
        <v>0.45208333333333334</v>
      </c>
      <c r="J257" s="6">
        <v>0.82430555555555551</v>
      </c>
      <c r="K257" s="7" t="s">
        <v>13</v>
      </c>
      <c r="L257" s="7" t="s">
        <v>27</v>
      </c>
      <c r="M257" s="7" t="s">
        <v>21</v>
      </c>
      <c r="N257" s="7">
        <f>COUNTIFS(A:A,A257,D:D,D257,E:E,I257)</f>
        <v>0</v>
      </c>
    </row>
    <row r="258" spans="1:14" x14ac:dyDescent="0.3">
      <c r="A258" s="7" t="s">
        <v>315</v>
      </c>
      <c r="B258" s="7" t="s">
        <v>316</v>
      </c>
      <c r="C258" s="7" t="s">
        <v>42</v>
      </c>
      <c r="D258" s="8">
        <v>45538</v>
      </c>
      <c r="E258" s="8" t="str">
        <f t="shared" ref="E258:E321" si="15">TEXT(D258,"mmmm")</f>
        <v>September</v>
      </c>
      <c r="F258">
        <f t="shared" ref="F258:F321" si="16">YEAR(D258)</f>
        <v>2024</v>
      </c>
      <c r="G258">
        <f t="shared" ref="G258:G321" si="17">IF(LOWER(K258)="absent",0,1)</f>
        <v>0</v>
      </c>
      <c r="H258">
        <f t="shared" ref="H258:H321" si="18">IF(K258="Late",1,0)</f>
        <v>0</v>
      </c>
      <c r="I258" s="6"/>
      <c r="J258" s="6"/>
      <c r="K258" s="7" t="s">
        <v>44</v>
      </c>
      <c r="L258" s="7" t="s">
        <v>14</v>
      </c>
      <c r="M258" s="7" t="s">
        <v>15</v>
      </c>
      <c r="N258" s="7">
        <f>COUNTIFS(A:A,A258,D:D,D258,E:E,I258)</f>
        <v>0</v>
      </c>
    </row>
    <row r="259" spans="1:14" x14ac:dyDescent="0.3">
      <c r="A259" s="7" t="s">
        <v>48</v>
      </c>
      <c r="B259" s="7" t="s">
        <v>49</v>
      </c>
      <c r="C259" s="7" t="s">
        <v>425</v>
      </c>
      <c r="D259" s="8">
        <v>45341</v>
      </c>
      <c r="E259" s="8" t="str">
        <f t="shared" si="15"/>
        <v>February</v>
      </c>
      <c r="F259">
        <f t="shared" si="16"/>
        <v>2024</v>
      </c>
      <c r="G259">
        <f t="shared" si="17"/>
        <v>1</v>
      </c>
      <c r="H259">
        <f t="shared" si="18"/>
        <v>0</v>
      </c>
      <c r="I259" s="6">
        <v>0.4513888888888889</v>
      </c>
      <c r="J259" s="6">
        <v>0.85416666666666663</v>
      </c>
      <c r="K259" s="7" t="s">
        <v>20</v>
      </c>
      <c r="L259" s="7" t="s">
        <v>27</v>
      </c>
      <c r="M259" s="7" t="s">
        <v>21</v>
      </c>
      <c r="N259" s="7">
        <f>COUNTIFS(A:A,A259,D:D,D259,E:E,I259)</f>
        <v>0</v>
      </c>
    </row>
    <row r="260" spans="1:14" x14ac:dyDescent="0.3">
      <c r="A260" s="7" t="s">
        <v>66</v>
      </c>
      <c r="B260" s="7" t="s">
        <v>67</v>
      </c>
      <c r="C260" s="7" t="s">
        <v>60</v>
      </c>
      <c r="D260" s="8">
        <v>45335</v>
      </c>
      <c r="E260" s="8" t="str">
        <f t="shared" si="15"/>
        <v>February</v>
      </c>
      <c r="F260">
        <f t="shared" si="16"/>
        <v>2024</v>
      </c>
      <c r="G260">
        <f t="shared" si="17"/>
        <v>0</v>
      </c>
      <c r="H260">
        <f t="shared" si="18"/>
        <v>0</v>
      </c>
      <c r="I260" s="6"/>
      <c r="J260" s="6"/>
      <c r="K260" s="7" t="s">
        <v>44</v>
      </c>
      <c r="L260" s="7" t="s">
        <v>14</v>
      </c>
      <c r="M260" s="7" t="s">
        <v>21</v>
      </c>
      <c r="N260" s="7">
        <f>COUNTIFS(A:A,A260,D:D,D260,E:E,I260)</f>
        <v>0</v>
      </c>
    </row>
    <row r="261" spans="1:14" x14ac:dyDescent="0.3">
      <c r="A261" s="7" t="s">
        <v>34</v>
      </c>
      <c r="B261" s="7" t="s">
        <v>35</v>
      </c>
      <c r="C261" s="7" t="s">
        <v>42</v>
      </c>
      <c r="D261" s="8">
        <v>45304</v>
      </c>
      <c r="E261" s="8" t="str">
        <f t="shared" si="15"/>
        <v>January</v>
      </c>
      <c r="F261">
        <f t="shared" si="16"/>
        <v>2024</v>
      </c>
      <c r="G261">
        <f t="shared" si="17"/>
        <v>1</v>
      </c>
      <c r="H261">
        <f t="shared" si="18"/>
        <v>0</v>
      </c>
      <c r="I261" s="6">
        <v>0.375</v>
      </c>
      <c r="J261" s="6">
        <v>0.80277777777777781</v>
      </c>
      <c r="K261" s="7" t="s">
        <v>13</v>
      </c>
      <c r="L261" s="7" t="s">
        <v>14</v>
      </c>
      <c r="M261" s="7" t="s">
        <v>21</v>
      </c>
      <c r="N261" s="7">
        <f>COUNTIFS(A:A,A261,D:D,D261,E:E,I261)</f>
        <v>0</v>
      </c>
    </row>
    <row r="262" spans="1:14" x14ac:dyDescent="0.3">
      <c r="A262" s="7" t="s">
        <v>134</v>
      </c>
      <c r="B262" s="7" t="s">
        <v>135</v>
      </c>
      <c r="C262" s="7" t="s">
        <v>42</v>
      </c>
      <c r="D262" s="8">
        <v>45292</v>
      </c>
      <c r="E262" s="8" t="str">
        <f t="shared" si="15"/>
        <v>January</v>
      </c>
      <c r="F262">
        <f t="shared" si="16"/>
        <v>2024</v>
      </c>
      <c r="G262">
        <f t="shared" si="17"/>
        <v>1</v>
      </c>
      <c r="H262">
        <f t="shared" si="18"/>
        <v>1</v>
      </c>
      <c r="I262" s="6">
        <v>0.49513888888888891</v>
      </c>
      <c r="J262" s="6">
        <v>0.69305555555555554</v>
      </c>
      <c r="K262" s="7" t="s">
        <v>26</v>
      </c>
      <c r="L262" s="7" t="s">
        <v>14</v>
      </c>
      <c r="M262" s="7" t="s">
        <v>21</v>
      </c>
      <c r="N262" s="7">
        <f>COUNTIFS(A:A,A262,D:D,D262,E:E,I262)</f>
        <v>0</v>
      </c>
    </row>
    <row r="263" spans="1:14" x14ac:dyDescent="0.3">
      <c r="A263" s="7" t="s">
        <v>78</v>
      </c>
      <c r="B263" s="7" t="s">
        <v>79</v>
      </c>
      <c r="C263" s="7" t="s">
        <v>426</v>
      </c>
      <c r="D263" s="8">
        <v>45292</v>
      </c>
      <c r="E263" s="8" t="str">
        <f t="shared" si="15"/>
        <v>January</v>
      </c>
      <c r="F263">
        <f t="shared" si="16"/>
        <v>2024</v>
      </c>
      <c r="G263">
        <f t="shared" si="17"/>
        <v>1</v>
      </c>
      <c r="H263">
        <f t="shared" si="18"/>
        <v>0</v>
      </c>
      <c r="I263" s="6">
        <v>0.38819444444444445</v>
      </c>
      <c r="J263" s="6">
        <v>0.87222222222222223</v>
      </c>
      <c r="K263" s="7" t="s">
        <v>13</v>
      </c>
      <c r="L263" s="7" t="s">
        <v>14</v>
      </c>
      <c r="M263" s="7" t="s">
        <v>15</v>
      </c>
      <c r="N263" s="7">
        <f>COUNTIFS(A:A,A263,D:D,D263,E:E,I263)</f>
        <v>0</v>
      </c>
    </row>
    <row r="264" spans="1:14" x14ac:dyDescent="0.3">
      <c r="A264" s="7" t="s">
        <v>187</v>
      </c>
      <c r="B264" s="7" t="s">
        <v>188</v>
      </c>
      <c r="C264" s="7" t="s">
        <v>60</v>
      </c>
      <c r="D264" s="8">
        <v>45305</v>
      </c>
      <c r="E264" s="8" t="str">
        <f t="shared" si="15"/>
        <v>January</v>
      </c>
      <c r="F264">
        <f t="shared" si="16"/>
        <v>2024</v>
      </c>
      <c r="G264">
        <f t="shared" si="17"/>
        <v>1</v>
      </c>
      <c r="H264">
        <f t="shared" si="18"/>
        <v>0</v>
      </c>
      <c r="I264" s="6">
        <v>0.34097222222222223</v>
      </c>
      <c r="J264" s="6">
        <v>0.76527777777777772</v>
      </c>
      <c r="K264" s="7" t="s">
        <v>13</v>
      </c>
      <c r="L264" s="7" t="s">
        <v>14</v>
      </c>
      <c r="M264" s="7" t="s">
        <v>15</v>
      </c>
      <c r="N264" s="7">
        <f>COUNTIFS(A:A,A264,D:D,D264,E:E,I264)</f>
        <v>0</v>
      </c>
    </row>
    <row r="265" spans="1:14" x14ac:dyDescent="0.3">
      <c r="A265" s="7" t="s">
        <v>87</v>
      </c>
      <c r="B265" s="7" t="s">
        <v>88</v>
      </c>
      <c r="C265" s="7" t="s">
        <v>426</v>
      </c>
      <c r="D265" s="8">
        <v>45344</v>
      </c>
      <c r="E265" s="8" t="str">
        <f t="shared" si="15"/>
        <v>February</v>
      </c>
      <c r="F265">
        <f t="shared" si="16"/>
        <v>2024</v>
      </c>
      <c r="G265">
        <f t="shared" si="17"/>
        <v>1</v>
      </c>
      <c r="H265">
        <f t="shared" si="18"/>
        <v>0</v>
      </c>
      <c r="I265" s="6">
        <v>0.47916666666666669</v>
      </c>
      <c r="J265" s="6">
        <v>0.70416666666666672</v>
      </c>
      <c r="K265" s="7" t="s">
        <v>13</v>
      </c>
      <c r="L265" s="7" t="s">
        <v>27</v>
      </c>
      <c r="M265" s="7" t="s">
        <v>15</v>
      </c>
      <c r="N265" s="7">
        <f>COUNTIFS(A:A,A265,D:D,D265,E:E,I265)</f>
        <v>0</v>
      </c>
    </row>
    <row r="266" spans="1:14" x14ac:dyDescent="0.3">
      <c r="A266" s="7" t="s">
        <v>119</v>
      </c>
      <c r="B266" s="7" t="s">
        <v>120</v>
      </c>
      <c r="C266" s="7" t="s">
        <v>64</v>
      </c>
      <c r="D266" s="8">
        <v>45340</v>
      </c>
      <c r="E266" s="8" t="str">
        <f t="shared" si="15"/>
        <v>February</v>
      </c>
      <c r="F266">
        <f t="shared" si="16"/>
        <v>2024</v>
      </c>
      <c r="G266">
        <f t="shared" si="17"/>
        <v>1</v>
      </c>
      <c r="H266">
        <f t="shared" si="18"/>
        <v>0</v>
      </c>
      <c r="I266" s="6">
        <v>0.35347222222222224</v>
      </c>
      <c r="J266" s="6">
        <v>0.67847222222222225</v>
      </c>
      <c r="K266" s="7" t="s">
        <v>13</v>
      </c>
      <c r="L266" s="7" t="s">
        <v>27</v>
      </c>
      <c r="M266" s="7" t="s">
        <v>21</v>
      </c>
      <c r="N266" s="7">
        <f>COUNTIFS(A:A,A266,D:D,D266,E:E,I266)</f>
        <v>0</v>
      </c>
    </row>
    <row r="267" spans="1:14" x14ac:dyDescent="0.3">
      <c r="A267" s="7" t="s">
        <v>31</v>
      </c>
      <c r="B267" s="7" t="s">
        <v>32</v>
      </c>
      <c r="C267" s="7" t="s">
        <v>64</v>
      </c>
      <c r="D267" s="8">
        <v>45360</v>
      </c>
      <c r="E267" s="8" t="str">
        <f t="shared" si="15"/>
        <v>March</v>
      </c>
      <c r="F267">
        <f t="shared" si="16"/>
        <v>2024</v>
      </c>
      <c r="G267">
        <f t="shared" si="17"/>
        <v>1</v>
      </c>
      <c r="H267">
        <f t="shared" si="18"/>
        <v>0</v>
      </c>
      <c r="I267" s="6">
        <v>0.33333333333333331</v>
      </c>
      <c r="J267" s="6">
        <v>0.81736111111111109</v>
      </c>
      <c r="K267" s="7" t="s">
        <v>13</v>
      </c>
      <c r="L267" s="7" t="s">
        <v>14</v>
      </c>
      <c r="M267" s="7" t="s">
        <v>15</v>
      </c>
      <c r="N267" s="7">
        <f>COUNTIFS(A:A,A267,D:D,D267,E:E,I267)</f>
        <v>0</v>
      </c>
    </row>
    <row r="268" spans="1:14" x14ac:dyDescent="0.3">
      <c r="A268" s="7" t="s">
        <v>16</v>
      </c>
      <c r="B268" s="7" t="s">
        <v>17</v>
      </c>
      <c r="C268" s="7" t="s">
        <v>425</v>
      </c>
      <c r="D268" s="8">
        <v>45357</v>
      </c>
      <c r="E268" s="8" t="str">
        <f t="shared" si="15"/>
        <v>March</v>
      </c>
      <c r="F268">
        <f t="shared" si="16"/>
        <v>2024</v>
      </c>
      <c r="G268">
        <f t="shared" si="17"/>
        <v>0</v>
      </c>
      <c r="H268">
        <f t="shared" si="18"/>
        <v>0</v>
      </c>
      <c r="I268" s="6"/>
      <c r="J268" s="6"/>
      <c r="K268" s="7" t="s">
        <v>44</v>
      </c>
      <c r="L268" s="7" t="s">
        <v>14</v>
      </c>
      <c r="M268" s="7" t="s">
        <v>15</v>
      </c>
      <c r="N268" s="7">
        <f>COUNTIFS(A:A,A268,D:D,D268,E:E,I268)</f>
        <v>0</v>
      </c>
    </row>
    <row r="269" spans="1:14" x14ac:dyDescent="0.3">
      <c r="A269" s="7" t="s">
        <v>134</v>
      </c>
      <c r="B269" s="7" t="s">
        <v>135</v>
      </c>
      <c r="C269" s="7" t="s">
        <v>64</v>
      </c>
      <c r="D269" s="8">
        <v>45309</v>
      </c>
      <c r="E269" s="8" t="str">
        <f t="shared" si="15"/>
        <v>January</v>
      </c>
      <c r="F269">
        <f t="shared" si="16"/>
        <v>2024</v>
      </c>
      <c r="G269">
        <f t="shared" si="17"/>
        <v>1</v>
      </c>
      <c r="H269">
        <f t="shared" si="18"/>
        <v>0</v>
      </c>
      <c r="I269" s="6">
        <v>0.4152777777777778</v>
      </c>
      <c r="J269" s="6">
        <v>0.72222222222222221</v>
      </c>
      <c r="K269" s="7" t="s">
        <v>13</v>
      </c>
      <c r="L269" s="7" t="s">
        <v>14</v>
      </c>
      <c r="M269" s="7" t="s">
        <v>21</v>
      </c>
      <c r="N269" s="7">
        <f>COUNTIFS(A:A,A269,D:D,D269,E:E,I269)</f>
        <v>0</v>
      </c>
    </row>
    <row r="270" spans="1:14" x14ac:dyDescent="0.3">
      <c r="A270" s="7" t="s">
        <v>109</v>
      </c>
      <c r="B270" s="7" t="s">
        <v>110</v>
      </c>
      <c r="C270" s="7" t="s">
        <v>64</v>
      </c>
      <c r="D270" s="8">
        <v>45364</v>
      </c>
      <c r="E270" s="8" t="str">
        <f t="shared" si="15"/>
        <v>March</v>
      </c>
      <c r="F270">
        <f t="shared" si="16"/>
        <v>2024</v>
      </c>
      <c r="G270">
        <f t="shared" si="17"/>
        <v>0</v>
      </c>
      <c r="H270">
        <f t="shared" si="18"/>
        <v>0</v>
      </c>
      <c r="I270" s="6"/>
      <c r="J270" s="6"/>
      <c r="K270" s="7" t="s">
        <v>44</v>
      </c>
      <c r="L270" s="7" t="s">
        <v>27</v>
      </c>
      <c r="M270" s="7" t="s">
        <v>15</v>
      </c>
      <c r="N270" s="7">
        <f>COUNTIFS(A:A,A270,D:D,D270,E:E,I270)</f>
        <v>0</v>
      </c>
    </row>
    <row r="271" spans="1:14" x14ac:dyDescent="0.3">
      <c r="A271" s="7" t="s">
        <v>16</v>
      </c>
      <c r="B271" s="7" t="s">
        <v>17</v>
      </c>
      <c r="C271" s="7" t="s">
        <v>64</v>
      </c>
      <c r="D271" s="8">
        <v>45378</v>
      </c>
      <c r="E271" s="8" t="str">
        <f t="shared" si="15"/>
        <v>March</v>
      </c>
      <c r="F271">
        <f t="shared" si="16"/>
        <v>2024</v>
      </c>
      <c r="G271">
        <f t="shared" si="17"/>
        <v>1</v>
      </c>
      <c r="H271">
        <f t="shared" si="18"/>
        <v>0</v>
      </c>
      <c r="I271" s="6">
        <v>0.37361111111111112</v>
      </c>
      <c r="J271" s="6">
        <v>0.81597222222222221</v>
      </c>
      <c r="K271" s="7" t="s">
        <v>13</v>
      </c>
      <c r="L271" s="7" t="s">
        <v>14</v>
      </c>
      <c r="M271" s="7" t="s">
        <v>21</v>
      </c>
      <c r="N271" s="7">
        <f>COUNTIFS(A:A,A271,D:D,D271,E:E,I271)</f>
        <v>0</v>
      </c>
    </row>
    <row r="272" spans="1:14" x14ac:dyDescent="0.3">
      <c r="A272" s="7" t="s">
        <v>93</v>
      </c>
      <c r="B272" s="7" t="s">
        <v>94</v>
      </c>
      <c r="C272" s="7" t="s">
        <v>42</v>
      </c>
      <c r="D272" s="8">
        <v>45537</v>
      </c>
      <c r="E272" s="8" t="str">
        <f t="shared" si="15"/>
        <v>September</v>
      </c>
      <c r="F272">
        <f t="shared" si="16"/>
        <v>2024</v>
      </c>
      <c r="G272">
        <f t="shared" si="17"/>
        <v>1</v>
      </c>
      <c r="H272">
        <f t="shared" si="18"/>
        <v>1</v>
      </c>
      <c r="I272" s="6">
        <v>0.48819444444444443</v>
      </c>
      <c r="J272" s="6">
        <v>0.8256944444444444</v>
      </c>
      <c r="K272" s="7" t="s">
        <v>26</v>
      </c>
      <c r="L272" s="7" t="s">
        <v>27</v>
      </c>
      <c r="M272" s="7" t="s">
        <v>15</v>
      </c>
      <c r="N272" s="7">
        <f>COUNTIFS(A:A,A272,D:D,D272,E:E,I272)</f>
        <v>0</v>
      </c>
    </row>
    <row r="273" spans="1:14" x14ac:dyDescent="0.3">
      <c r="A273" s="7" t="s">
        <v>96</v>
      </c>
      <c r="B273" s="7" t="s">
        <v>97</v>
      </c>
      <c r="C273" s="7" t="s">
        <v>425</v>
      </c>
      <c r="D273" s="8">
        <v>45342</v>
      </c>
      <c r="E273" s="8" t="str">
        <f t="shared" si="15"/>
        <v>February</v>
      </c>
      <c r="F273">
        <f t="shared" si="16"/>
        <v>2024</v>
      </c>
      <c r="G273">
        <f t="shared" si="17"/>
        <v>1</v>
      </c>
      <c r="H273">
        <f t="shared" si="18"/>
        <v>1</v>
      </c>
      <c r="I273" s="6">
        <v>0.38750000000000001</v>
      </c>
      <c r="J273" s="6">
        <v>0.81527777777777777</v>
      </c>
      <c r="K273" s="7" t="s">
        <v>26</v>
      </c>
      <c r="L273" s="7" t="s">
        <v>14</v>
      </c>
      <c r="M273" s="7" t="s">
        <v>21</v>
      </c>
      <c r="N273" s="7">
        <f>COUNTIFS(A:A,A273,D:D,D273,E:E,I273)</f>
        <v>0</v>
      </c>
    </row>
    <row r="274" spans="1:14" x14ac:dyDescent="0.3">
      <c r="A274" s="7" t="s">
        <v>34</v>
      </c>
      <c r="B274" s="7" t="s">
        <v>35</v>
      </c>
      <c r="C274" s="7" t="s">
        <v>60</v>
      </c>
      <c r="D274" s="8">
        <v>45415</v>
      </c>
      <c r="E274" s="8" t="str">
        <f t="shared" si="15"/>
        <v>May</v>
      </c>
      <c r="F274">
        <f t="shared" si="16"/>
        <v>2024</v>
      </c>
      <c r="G274">
        <f t="shared" si="17"/>
        <v>1</v>
      </c>
      <c r="H274">
        <f t="shared" si="18"/>
        <v>1</v>
      </c>
      <c r="I274" s="6">
        <v>0.33680555555555558</v>
      </c>
      <c r="J274" s="6">
        <v>0.87361111111111112</v>
      </c>
      <c r="K274" s="7" t="s">
        <v>26</v>
      </c>
      <c r="L274" s="7" t="s">
        <v>14</v>
      </c>
      <c r="M274" s="7" t="s">
        <v>21</v>
      </c>
      <c r="N274" s="7">
        <f>COUNTIFS(A:A,A274,D:D,D274,E:E,I274)</f>
        <v>0</v>
      </c>
    </row>
    <row r="275" spans="1:14" x14ac:dyDescent="0.3">
      <c r="A275" s="7" t="s">
        <v>72</v>
      </c>
      <c r="B275" s="7" t="s">
        <v>73</v>
      </c>
      <c r="C275" s="7" t="s">
        <v>426</v>
      </c>
      <c r="D275" s="8">
        <v>45294</v>
      </c>
      <c r="E275" s="8" t="str">
        <f t="shared" si="15"/>
        <v>January</v>
      </c>
      <c r="F275">
        <f t="shared" si="16"/>
        <v>2024</v>
      </c>
      <c r="G275">
        <f t="shared" si="17"/>
        <v>1</v>
      </c>
      <c r="H275">
        <f t="shared" si="18"/>
        <v>1</v>
      </c>
      <c r="I275" s="6">
        <v>0.34652777777777777</v>
      </c>
      <c r="J275" s="6">
        <v>0.68055555555555558</v>
      </c>
      <c r="K275" s="7" t="s">
        <v>26</v>
      </c>
      <c r="L275" s="7" t="s">
        <v>27</v>
      </c>
      <c r="M275" s="7" t="s">
        <v>21</v>
      </c>
      <c r="N275" s="7">
        <f>COUNTIFS(A:A,A275,D:D,D275,E:E,I275)</f>
        <v>0</v>
      </c>
    </row>
    <row r="276" spans="1:14" x14ac:dyDescent="0.3">
      <c r="A276" s="7" t="s">
        <v>75</v>
      </c>
      <c r="B276" s="7" t="s">
        <v>76</v>
      </c>
      <c r="C276" s="7" t="s">
        <v>426</v>
      </c>
      <c r="D276" s="8">
        <v>45368</v>
      </c>
      <c r="E276" s="8" t="str">
        <f t="shared" si="15"/>
        <v>March</v>
      </c>
      <c r="F276">
        <f t="shared" si="16"/>
        <v>2024</v>
      </c>
      <c r="G276">
        <f t="shared" si="17"/>
        <v>1</v>
      </c>
      <c r="H276">
        <f t="shared" si="18"/>
        <v>1</v>
      </c>
      <c r="I276" s="6">
        <v>0.40208333333333335</v>
      </c>
      <c r="J276" s="6">
        <v>0.75069444444444444</v>
      </c>
      <c r="K276" s="7" t="s">
        <v>26</v>
      </c>
      <c r="L276" s="7" t="s">
        <v>14</v>
      </c>
      <c r="M276" s="7" t="s">
        <v>21</v>
      </c>
      <c r="N276" s="7">
        <f>COUNTIFS(A:A,A276,D:D,D276,E:E,I276)</f>
        <v>0</v>
      </c>
    </row>
    <row r="277" spans="1:14" x14ac:dyDescent="0.3">
      <c r="A277" s="7" t="s">
        <v>291</v>
      </c>
      <c r="B277" s="7" t="s">
        <v>292</v>
      </c>
      <c r="C277" s="7" t="s">
        <v>42</v>
      </c>
      <c r="D277" s="8">
        <v>45324</v>
      </c>
      <c r="E277" s="8" t="str">
        <f t="shared" si="15"/>
        <v>February</v>
      </c>
      <c r="F277">
        <f t="shared" si="16"/>
        <v>2024</v>
      </c>
      <c r="G277">
        <f t="shared" si="17"/>
        <v>1</v>
      </c>
      <c r="H277">
        <f t="shared" si="18"/>
        <v>0</v>
      </c>
      <c r="I277" s="6">
        <v>0.43333333333333335</v>
      </c>
      <c r="J277" s="6">
        <v>0.76875000000000004</v>
      </c>
      <c r="K277" s="7" t="s">
        <v>13</v>
      </c>
      <c r="L277" s="7" t="s">
        <v>14</v>
      </c>
      <c r="M277" s="7" t="s">
        <v>15</v>
      </c>
      <c r="N277" s="7">
        <f>COUNTIFS(A:A,A277,D:D,D277,E:E,I277)</f>
        <v>0</v>
      </c>
    </row>
    <row r="278" spans="1:14" x14ac:dyDescent="0.3">
      <c r="A278" s="7" t="s">
        <v>22</v>
      </c>
      <c r="B278" s="7" t="s">
        <v>23</v>
      </c>
      <c r="C278" s="7" t="s">
        <v>426</v>
      </c>
      <c r="D278" s="8">
        <v>45354</v>
      </c>
      <c r="E278" s="8" t="str">
        <f t="shared" si="15"/>
        <v>March</v>
      </c>
      <c r="F278">
        <f t="shared" si="16"/>
        <v>2024</v>
      </c>
      <c r="G278">
        <f t="shared" si="17"/>
        <v>1</v>
      </c>
      <c r="H278">
        <f t="shared" si="18"/>
        <v>0</v>
      </c>
      <c r="I278" s="6">
        <v>0.44930555555555557</v>
      </c>
      <c r="J278" s="6">
        <v>0.67777777777777781</v>
      </c>
      <c r="K278" s="7" t="s">
        <v>20</v>
      </c>
      <c r="L278" s="7" t="s">
        <v>14</v>
      </c>
      <c r="M278" s="7" t="s">
        <v>21</v>
      </c>
      <c r="N278" s="7">
        <f>COUNTIFS(A:A,A278,D:D,D278,E:E,I278)</f>
        <v>0</v>
      </c>
    </row>
    <row r="279" spans="1:14" x14ac:dyDescent="0.3">
      <c r="A279" s="7" t="s">
        <v>48</v>
      </c>
      <c r="B279" s="7" t="s">
        <v>49</v>
      </c>
      <c r="C279" s="7" t="s">
        <v>425</v>
      </c>
      <c r="D279" s="8">
        <v>45371</v>
      </c>
      <c r="E279" s="8" t="str">
        <f t="shared" si="15"/>
        <v>March</v>
      </c>
      <c r="F279">
        <f t="shared" si="16"/>
        <v>2024</v>
      </c>
      <c r="G279">
        <f t="shared" si="17"/>
        <v>0</v>
      </c>
      <c r="H279">
        <f t="shared" si="18"/>
        <v>0</v>
      </c>
      <c r="I279" s="6"/>
      <c r="J279" s="6"/>
      <c r="K279" s="7" t="s">
        <v>44</v>
      </c>
      <c r="L279" s="7" t="s">
        <v>27</v>
      </c>
      <c r="M279" s="7" t="s">
        <v>15</v>
      </c>
      <c r="N279" s="7">
        <f>COUNTIFS(A:A,A279,D:D,D279,E:E,I279)</f>
        <v>0</v>
      </c>
    </row>
    <row r="280" spans="1:14" x14ac:dyDescent="0.3">
      <c r="A280" s="7" t="s">
        <v>102</v>
      </c>
      <c r="B280" s="7" t="s">
        <v>103</v>
      </c>
      <c r="C280" s="7" t="s">
        <v>42</v>
      </c>
      <c r="D280" s="8">
        <v>45337</v>
      </c>
      <c r="E280" s="8" t="str">
        <f t="shared" si="15"/>
        <v>February</v>
      </c>
      <c r="F280">
        <f t="shared" si="16"/>
        <v>2024</v>
      </c>
      <c r="G280">
        <f t="shared" si="17"/>
        <v>0</v>
      </c>
      <c r="H280">
        <f t="shared" si="18"/>
        <v>0</v>
      </c>
      <c r="I280" s="6"/>
      <c r="J280" s="6"/>
      <c r="K280" s="7" t="s">
        <v>44</v>
      </c>
      <c r="L280" s="7" t="s">
        <v>27</v>
      </c>
      <c r="M280" s="7" t="s">
        <v>21</v>
      </c>
      <c r="N280" s="7">
        <f>COUNTIFS(A:A,A280,D:D,D280,E:E,I280)</f>
        <v>0</v>
      </c>
    </row>
    <row r="281" spans="1:14" x14ac:dyDescent="0.3">
      <c r="A281" s="7" t="s">
        <v>66</v>
      </c>
      <c r="B281" s="7" t="s">
        <v>67</v>
      </c>
      <c r="C281" s="7" t="s">
        <v>60</v>
      </c>
      <c r="D281" s="8">
        <v>45315</v>
      </c>
      <c r="E281" s="8" t="str">
        <f t="shared" si="15"/>
        <v>January</v>
      </c>
      <c r="F281">
        <f t="shared" si="16"/>
        <v>2024</v>
      </c>
      <c r="G281">
        <f t="shared" si="17"/>
        <v>1</v>
      </c>
      <c r="H281">
        <f t="shared" si="18"/>
        <v>0</v>
      </c>
      <c r="I281" s="6">
        <v>0.39513888888888887</v>
      </c>
      <c r="J281" s="6">
        <v>0.78472222222222221</v>
      </c>
      <c r="K281" s="7" t="s">
        <v>13</v>
      </c>
      <c r="L281" s="7" t="s">
        <v>27</v>
      </c>
      <c r="M281" s="7" t="s">
        <v>21</v>
      </c>
      <c r="N281" s="7">
        <f>COUNTIFS(A:A,A281,D:D,D281,E:E,I281)</f>
        <v>0</v>
      </c>
    </row>
    <row r="282" spans="1:14" x14ac:dyDescent="0.3">
      <c r="A282" s="7" t="s">
        <v>78</v>
      </c>
      <c r="B282" s="7" t="s">
        <v>79</v>
      </c>
      <c r="C282" s="7" t="s">
        <v>60</v>
      </c>
      <c r="D282" s="8">
        <v>45304</v>
      </c>
      <c r="E282" s="8" t="str">
        <f t="shared" si="15"/>
        <v>January</v>
      </c>
      <c r="F282">
        <f t="shared" si="16"/>
        <v>2024</v>
      </c>
      <c r="G282">
        <f t="shared" si="17"/>
        <v>1</v>
      </c>
      <c r="H282">
        <f t="shared" si="18"/>
        <v>0</v>
      </c>
      <c r="I282" s="6">
        <v>0.42916666666666664</v>
      </c>
      <c r="J282" s="6">
        <v>0.77222222222222225</v>
      </c>
      <c r="K282" s="7" t="s">
        <v>13</v>
      </c>
      <c r="L282" s="7" t="s">
        <v>27</v>
      </c>
      <c r="M282" s="7" t="s">
        <v>15</v>
      </c>
      <c r="N282" s="7">
        <f>COUNTIFS(A:A,A282,D:D,D282,E:E,I282)</f>
        <v>0</v>
      </c>
    </row>
    <row r="283" spans="1:14" x14ac:dyDescent="0.3">
      <c r="A283" s="7" t="s">
        <v>154</v>
      </c>
      <c r="B283" s="7" t="s">
        <v>155</v>
      </c>
      <c r="C283" s="7" t="s">
        <v>60</v>
      </c>
      <c r="D283" s="8">
        <v>45379</v>
      </c>
      <c r="E283" s="8" t="str">
        <f t="shared" si="15"/>
        <v>March</v>
      </c>
      <c r="F283">
        <f t="shared" si="16"/>
        <v>2024</v>
      </c>
      <c r="G283">
        <f t="shared" si="17"/>
        <v>1</v>
      </c>
      <c r="H283">
        <f t="shared" si="18"/>
        <v>1</v>
      </c>
      <c r="I283" s="6">
        <v>0.38263888888888886</v>
      </c>
      <c r="J283" s="6">
        <v>0.67361111111111116</v>
      </c>
      <c r="K283" s="7" t="s">
        <v>26</v>
      </c>
      <c r="L283" s="7" t="s">
        <v>14</v>
      </c>
      <c r="M283" s="7" t="s">
        <v>15</v>
      </c>
      <c r="N283" s="7">
        <f>COUNTIFS(A:A,A283,D:D,D283,E:E,I283)</f>
        <v>0</v>
      </c>
    </row>
    <row r="284" spans="1:14" x14ac:dyDescent="0.3">
      <c r="A284" s="7" t="s">
        <v>194</v>
      </c>
      <c r="B284" s="7" t="s">
        <v>195</v>
      </c>
      <c r="C284" s="7" t="s">
        <v>426</v>
      </c>
      <c r="D284" s="8">
        <v>45305</v>
      </c>
      <c r="E284" s="8" t="str">
        <f t="shared" si="15"/>
        <v>January</v>
      </c>
      <c r="F284">
        <f t="shared" si="16"/>
        <v>2024</v>
      </c>
      <c r="G284">
        <f t="shared" si="17"/>
        <v>0</v>
      </c>
      <c r="H284">
        <f t="shared" si="18"/>
        <v>0</v>
      </c>
      <c r="I284" s="6"/>
      <c r="J284" s="6"/>
      <c r="K284" s="7" t="s">
        <v>44</v>
      </c>
      <c r="L284" s="7" t="s">
        <v>27</v>
      </c>
      <c r="M284" s="7" t="s">
        <v>15</v>
      </c>
      <c r="N284" s="7">
        <f>COUNTIFS(A:A,A284,D:D,D284,E:E,I284)</f>
        <v>0</v>
      </c>
    </row>
    <row r="285" spans="1:14" x14ac:dyDescent="0.3">
      <c r="A285" s="7" t="s">
        <v>224</v>
      </c>
      <c r="B285" s="7" t="s">
        <v>225</v>
      </c>
      <c r="C285" s="7" t="s">
        <v>60</v>
      </c>
      <c r="D285" s="8">
        <v>45325</v>
      </c>
      <c r="E285" s="8" t="str">
        <f t="shared" si="15"/>
        <v>February</v>
      </c>
      <c r="F285">
        <f t="shared" si="16"/>
        <v>2024</v>
      </c>
      <c r="G285">
        <f t="shared" si="17"/>
        <v>1</v>
      </c>
      <c r="H285">
        <f t="shared" si="18"/>
        <v>0</v>
      </c>
      <c r="I285" s="6">
        <v>0.47152777777777777</v>
      </c>
      <c r="J285" s="6">
        <v>0.80625000000000002</v>
      </c>
      <c r="K285" s="7" t="s">
        <v>20</v>
      </c>
      <c r="L285" s="7" t="s">
        <v>27</v>
      </c>
      <c r="M285" s="7" t="s">
        <v>21</v>
      </c>
      <c r="N285" s="7">
        <f>COUNTIFS(A:A,A285,D:D,D285,E:E,I285)</f>
        <v>0</v>
      </c>
    </row>
    <row r="286" spans="1:14" x14ac:dyDescent="0.3">
      <c r="A286" s="7" t="s">
        <v>187</v>
      </c>
      <c r="B286" s="7" t="s">
        <v>188</v>
      </c>
      <c r="C286" s="7" t="s">
        <v>42</v>
      </c>
      <c r="D286" s="8">
        <v>45326</v>
      </c>
      <c r="E286" s="8" t="str">
        <f t="shared" si="15"/>
        <v>February</v>
      </c>
      <c r="F286">
        <f t="shared" si="16"/>
        <v>2024</v>
      </c>
      <c r="G286">
        <f t="shared" si="17"/>
        <v>0</v>
      </c>
      <c r="H286">
        <f t="shared" si="18"/>
        <v>0</v>
      </c>
      <c r="I286" s="6"/>
      <c r="J286" s="6"/>
      <c r="K286" s="7" t="s">
        <v>44</v>
      </c>
      <c r="L286" s="7" t="s">
        <v>27</v>
      </c>
      <c r="M286" s="7" t="s">
        <v>21</v>
      </c>
      <c r="N286" s="7">
        <f>COUNTIFS(A:A,A286,D:D,D286,E:E,I286)</f>
        <v>0</v>
      </c>
    </row>
    <row r="287" spans="1:14" x14ac:dyDescent="0.3">
      <c r="A287" s="7" t="s">
        <v>78</v>
      </c>
      <c r="B287" s="7" t="s">
        <v>79</v>
      </c>
      <c r="C287" s="7" t="s">
        <v>64</v>
      </c>
      <c r="D287" s="8">
        <v>45381</v>
      </c>
      <c r="E287" s="8" t="str">
        <f t="shared" si="15"/>
        <v>March</v>
      </c>
      <c r="F287">
        <f t="shared" si="16"/>
        <v>2024</v>
      </c>
      <c r="G287">
        <f t="shared" si="17"/>
        <v>1</v>
      </c>
      <c r="H287">
        <f t="shared" si="18"/>
        <v>1</v>
      </c>
      <c r="I287" s="6">
        <v>0.39861111111111114</v>
      </c>
      <c r="J287" s="6">
        <v>0.85833333333333328</v>
      </c>
      <c r="K287" s="7" t="s">
        <v>26</v>
      </c>
      <c r="L287" s="7" t="s">
        <v>14</v>
      </c>
      <c r="M287" s="7" t="s">
        <v>15</v>
      </c>
      <c r="N287" s="7">
        <f>COUNTIFS(A:A,A287,D:D,D287,E:E,I287)</f>
        <v>0</v>
      </c>
    </row>
    <row r="288" spans="1:14" x14ac:dyDescent="0.3">
      <c r="A288" s="7" t="s">
        <v>109</v>
      </c>
      <c r="B288" s="7" t="s">
        <v>110</v>
      </c>
      <c r="C288" s="7" t="s">
        <v>64</v>
      </c>
      <c r="D288" s="8">
        <v>45298</v>
      </c>
      <c r="E288" s="8" t="str">
        <f t="shared" si="15"/>
        <v>January</v>
      </c>
      <c r="F288">
        <f t="shared" si="16"/>
        <v>2024</v>
      </c>
      <c r="G288">
        <f t="shared" si="17"/>
        <v>1</v>
      </c>
      <c r="H288">
        <f t="shared" si="18"/>
        <v>0</v>
      </c>
      <c r="I288" s="6">
        <v>0.47569444444444442</v>
      </c>
      <c r="J288" s="6">
        <v>0.85347222222222219</v>
      </c>
      <c r="K288" s="7" t="s">
        <v>13</v>
      </c>
      <c r="L288" s="7" t="s">
        <v>27</v>
      </c>
      <c r="M288" s="7" t="s">
        <v>21</v>
      </c>
      <c r="N288" s="7">
        <f>COUNTIFS(A:A,A288,D:D,D288,E:E,I288)</f>
        <v>0</v>
      </c>
    </row>
    <row r="289" spans="1:14" x14ac:dyDescent="0.3">
      <c r="A289" s="7" t="s">
        <v>122</v>
      </c>
      <c r="B289" s="7" t="s">
        <v>123</v>
      </c>
      <c r="C289" s="7" t="s">
        <v>42</v>
      </c>
      <c r="D289" s="8">
        <v>45314</v>
      </c>
      <c r="E289" s="8" t="str">
        <f t="shared" si="15"/>
        <v>January</v>
      </c>
      <c r="F289">
        <f t="shared" si="16"/>
        <v>2024</v>
      </c>
      <c r="G289">
        <f t="shared" si="17"/>
        <v>1</v>
      </c>
      <c r="H289">
        <f t="shared" si="18"/>
        <v>0</v>
      </c>
      <c r="I289" s="6">
        <v>0.48402777777777778</v>
      </c>
      <c r="J289" s="6">
        <v>0.82777777777777772</v>
      </c>
      <c r="K289" s="7" t="s">
        <v>20</v>
      </c>
      <c r="L289" s="7" t="s">
        <v>27</v>
      </c>
      <c r="M289" s="7" t="s">
        <v>15</v>
      </c>
      <c r="N289" s="7">
        <f>COUNTIFS(A:A,A289,D:D,D289,E:E,I289)</f>
        <v>0</v>
      </c>
    </row>
    <row r="290" spans="1:14" x14ac:dyDescent="0.3">
      <c r="A290" s="7" t="s">
        <v>72</v>
      </c>
      <c r="B290" s="7" t="s">
        <v>73</v>
      </c>
      <c r="C290" s="7" t="s">
        <v>60</v>
      </c>
      <c r="D290" s="8">
        <v>45360</v>
      </c>
      <c r="E290" s="8" t="str">
        <f t="shared" si="15"/>
        <v>March</v>
      </c>
      <c r="F290">
        <f t="shared" si="16"/>
        <v>2024</v>
      </c>
      <c r="G290">
        <f t="shared" si="17"/>
        <v>0</v>
      </c>
      <c r="H290">
        <f t="shared" si="18"/>
        <v>0</v>
      </c>
      <c r="I290" s="6"/>
      <c r="J290" s="6"/>
      <c r="K290" s="7" t="s">
        <v>44</v>
      </c>
      <c r="L290" s="7" t="s">
        <v>27</v>
      </c>
      <c r="M290" s="7" t="s">
        <v>15</v>
      </c>
      <c r="N290" s="7">
        <f>COUNTIFS(A:A,A290,D:D,D290,E:E,I290)</f>
        <v>0</v>
      </c>
    </row>
    <row r="291" spans="1:14" x14ac:dyDescent="0.3">
      <c r="A291" s="7" t="s">
        <v>216</v>
      </c>
      <c r="B291" s="7" t="s">
        <v>217</v>
      </c>
      <c r="C291" s="7" t="s">
        <v>64</v>
      </c>
      <c r="D291" s="8">
        <v>45294</v>
      </c>
      <c r="E291" s="8" t="str">
        <f t="shared" si="15"/>
        <v>January</v>
      </c>
      <c r="F291">
        <f t="shared" si="16"/>
        <v>2024</v>
      </c>
      <c r="G291">
        <f t="shared" si="17"/>
        <v>1</v>
      </c>
      <c r="H291">
        <f t="shared" si="18"/>
        <v>0</v>
      </c>
      <c r="I291" s="6">
        <v>0.35069444444444442</v>
      </c>
      <c r="J291" s="6">
        <v>0.85902777777777772</v>
      </c>
      <c r="K291" s="7" t="s">
        <v>13</v>
      </c>
      <c r="L291" s="7" t="s">
        <v>27</v>
      </c>
      <c r="M291" s="7" t="s">
        <v>15</v>
      </c>
      <c r="N291" s="7">
        <f>COUNTIFS(A:A,A291,D:D,D291,E:E,I291)</f>
        <v>0</v>
      </c>
    </row>
    <row r="292" spans="1:14" x14ac:dyDescent="0.3">
      <c r="A292" s="7" t="s">
        <v>146</v>
      </c>
      <c r="B292" s="7" t="s">
        <v>147</v>
      </c>
      <c r="C292" s="7" t="s">
        <v>42</v>
      </c>
      <c r="D292" s="8">
        <v>45308</v>
      </c>
      <c r="E292" s="8" t="str">
        <f t="shared" si="15"/>
        <v>January</v>
      </c>
      <c r="F292">
        <f t="shared" si="16"/>
        <v>2024</v>
      </c>
      <c r="G292">
        <f t="shared" si="17"/>
        <v>1</v>
      </c>
      <c r="H292">
        <f t="shared" si="18"/>
        <v>0</v>
      </c>
      <c r="I292" s="6">
        <v>0.49027777777777776</v>
      </c>
      <c r="J292" s="6">
        <v>0.82986111111111116</v>
      </c>
      <c r="K292" s="7" t="s">
        <v>13</v>
      </c>
      <c r="L292" s="7" t="s">
        <v>27</v>
      </c>
      <c r="M292" s="7" t="s">
        <v>21</v>
      </c>
      <c r="N292" s="7">
        <f>COUNTIFS(A:A,A292,D:D,D292,E:E,I292)</f>
        <v>0</v>
      </c>
    </row>
    <row r="293" spans="1:14" x14ac:dyDescent="0.3">
      <c r="A293" s="7" t="s">
        <v>45</v>
      </c>
      <c r="B293" s="7" t="s">
        <v>46</v>
      </c>
      <c r="C293" s="7" t="s">
        <v>42</v>
      </c>
      <c r="D293" s="8">
        <v>45340</v>
      </c>
      <c r="E293" s="8" t="str">
        <f t="shared" si="15"/>
        <v>February</v>
      </c>
      <c r="F293">
        <f t="shared" si="16"/>
        <v>2024</v>
      </c>
      <c r="G293">
        <f t="shared" si="17"/>
        <v>1</v>
      </c>
      <c r="H293">
        <f t="shared" si="18"/>
        <v>0</v>
      </c>
      <c r="I293" s="6">
        <v>0.42777777777777776</v>
      </c>
      <c r="J293" s="6">
        <v>0.71875</v>
      </c>
      <c r="K293" s="7" t="s">
        <v>13</v>
      </c>
      <c r="L293" s="7" t="s">
        <v>14</v>
      </c>
      <c r="M293" s="7" t="s">
        <v>21</v>
      </c>
      <c r="N293" s="7">
        <f>COUNTIFS(A:A,A293,D:D,D293,E:E,I293)</f>
        <v>0</v>
      </c>
    </row>
    <row r="294" spans="1:14" x14ac:dyDescent="0.3">
      <c r="A294" s="7" t="s">
        <v>99</v>
      </c>
      <c r="B294" s="7" t="s">
        <v>100</v>
      </c>
      <c r="C294" s="7" t="s">
        <v>60</v>
      </c>
      <c r="D294" s="8">
        <v>45537</v>
      </c>
      <c r="E294" s="8" t="str">
        <f t="shared" si="15"/>
        <v>September</v>
      </c>
      <c r="F294">
        <f t="shared" si="16"/>
        <v>2024</v>
      </c>
      <c r="G294">
        <f t="shared" si="17"/>
        <v>1</v>
      </c>
      <c r="H294">
        <f t="shared" si="18"/>
        <v>1</v>
      </c>
      <c r="I294" s="6">
        <v>0.40555555555555556</v>
      </c>
      <c r="J294" s="6">
        <v>0.87013888888888891</v>
      </c>
      <c r="K294" s="7" t="s">
        <v>26</v>
      </c>
      <c r="L294" s="7" t="s">
        <v>14</v>
      </c>
      <c r="M294" s="7" t="s">
        <v>21</v>
      </c>
      <c r="N294" s="7">
        <f>COUNTIFS(A:A,A294,D:D,D294,E:E,I294)</f>
        <v>0</v>
      </c>
    </row>
    <row r="295" spans="1:14" x14ac:dyDescent="0.3">
      <c r="A295" s="7" t="s">
        <v>115</v>
      </c>
      <c r="B295" s="7" t="s">
        <v>116</v>
      </c>
      <c r="C295" s="7" t="s">
        <v>64</v>
      </c>
      <c r="D295" s="8">
        <v>45336</v>
      </c>
      <c r="E295" s="8" t="str">
        <f t="shared" si="15"/>
        <v>February</v>
      </c>
      <c r="F295">
        <f t="shared" si="16"/>
        <v>2024</v>
      </c>
      <c r="G295">
        <f t="shared" si="17"/>
        <v>1</v>
      </c>
      <c r="H295">
        <f t="shared" si="18"/>
        <v>1</v>
      </c>
      <c r="I295" s="6">
        <v>0.41597222222222224</v>
      </c>
      <c r="J295" s="6">
        <v>0.73472222222222228</v>
      </c>
      <c r="K295" s="7" t="s">
        <v>26</v>
      </c>
      <c r="L295" s="7" t="s">
        <v>27</v>
      </c>
      <c r="M295" s="7" t="s">
        <v>15</v>
      </c>
      <c r="N295" s="7">
        <f>COUNTIFS(A:A,A295,D:D,D295,E:E,I295)</f>
        <v>0</v>
      </c>
    </row>
    <row r="296" spans="1:14" x14ac:dyDescent="0.3">
      <c r="A296" s="7" t="s">
        <v>90</v>
      </c>
      <c r="B296" s="7" t="s">
        <v>91</v>
      </c>
      <c r="C296" s="7" t="s">
        <v>60</v>
      </c>
      <c r="D296" s="8">
        <v>45332</v>
      </c>
      <c r="E296" s="8" t="str">
        <f t="shared" si="15"/>
        <v>February</v>
      </c>
      <c r="F296">
        <f t="shared" si="16"/>
        <v>2024</v>
      </c>
      <c r="G296">
        <f t="shared" si="17"/>
        <v>1</v>
      </c>
      <c r="H296">
        <f t="shared" si="18"/>
        <v>0</v>
      </c>
      <c r="I296" s="6">
        <v>0.43472222222222223</v>
      </c>
      <c r="J296" s="6">
        <v>0.74027777777777781</v>
      </c>
      <c r="K296" s="7" t="s">
        <v>20</v>
      </c>
      <c r="L296" s="7" t="s">
        <v>27</v>
      </c>
      <c r="M296" s="7" t="s">
        <v>15</v>
      </c>
      <c r="N296" s="7">
        <f>COUNTIFS(A:A,A296,D:D,D296,E:E,I296)</f>
        <v>0</v>
      </c>
    </row>
    <row r="297" spans="1:14" x14ac:dyDescent="0.3">
      <c r="A297" s="7" t="s">
        <v>175</v>
      </c>
      <c r="B297" s="7" t="s">
        <v>176</v>
      </c>
      <c r="C297" s="7" t="s">
        <v>426</v>
      </c>
      <c r="D297" s="8">
        <v>45297</v>
      </c>
      <c r="E297" s="8" t="str">
        <f t="shared" si="15"/>
        <v>January</v>
      </c>
      <c r="F297">
        <f t="shared" si="16"/>
        <v>2024</v>
      </c>
      <c r="G297">
        <f t="shared" si="17"/>
        <v>1</v>
      </c>
      <c r="H297">
        <f t="shared" si="18"/>
        <v>0</v>
      </c>
      <c r="I297" s="6">
        <v>0.41458333333333336</v>
      </c>
      <c r="J297" s="6">
        <v>0.7944444444444444</v>
      </c>
      <c r="K297" s="7" t="s">
        <v>13</v>
      </c>
      <c r="L297" s="7" t="s">
        <v>27</v>
      </c>
      <c r="M297" s="7" t="s">
        <v>15</v>
      </c>
      <c r="N297" s="7">
        <f>COUNTIFS(A:A,A297,D:D,D297,E:E,I297)</f>
        <v>0</v>
      </c>
    </row>
    <row r="298" spans="1:14" x14ac:dyDescent="0.3">
      <c r="A298" s="7" t="s">
        <v>115</v>
      </c>
      <c r="B298" s="7" t="s">
        <v>116</v>
      </c>
      <c r="C298" s="7" t="s">
        <v>426</v>
      </c>
      <c r="D298" s="8">
        <v>45303</v>
      </c>
      <c r="E298" s="8" t="str">
        <f t="shared" si="15"/>
        <v>January</v>
      </c>
      <c r="F298">
        <f t="shared" si="16"/>
        <v>2024</v>
      </c>
      <c r="G298">
        <f t="shared" si="17"/>
        <v>1</v>
      </c>
      <c r="H298">
        <f t="shared" si="18"/>
        <v>0</v>
      </c>
      <c r="I298" s="6">
        <v>0.42222222222222222</v>
      </c>
      <c r="J298" s="6">
        <v>0.67847222222222225</v>
      </c>
      <c r="K298" s="7" t="s">
        <v>20</v>
      </c>
      <c r="L298" s="7" t="s">
        <v>14</v>
      </c>
      <c r="M298" s="7" t="s">
        <v>15</v>
      </c>
      <c r="N298" s="7">
        <f>COUNTIFS(A:A,A298,D:D,D298,E:E,I298)</f>
        <v>0</v>
      </c>
    </row>
    <row r="299" spans="1:14" x14ac:dyDescent="0.3">
      <c r="A299" s="7" t="s">
        <v>130</v>
      </c>
      <c r="B299" s="7" t="s">
        <v>131</v>
      </c>
      <c r="C299" s="7" t="s">
        <v>64</v>
      </c>
      <c r="D299" s="8">
        <v>45300</v>
      </c>
      <c r="E299" s="8" t="str">
        <f t="shared" si="15"/>
        <v>January</v>
      </c>
      <c r="F299">
        <f t="shared" si="16"/>
        <v>2024</v>
      </c>
      <c r="G299">
        <f t="shared" si="17"/>
        <v>1</v>
      </c>
      <c r="H299">
        <f t="shared" si="18"/>
        <v>0</v>
      </c>
      <c r="I299" s="6">
        <v>0.4375</v>
      </c>
      <c r="J299" s="6">
        <v>0.71736111111111112</v>
      </c>
      <c r="K299" s="7" t="s">
        <v>20</v>
      </c>
      <c r="L299" s="7" t="s">
        <v>14</v>
      </c>
      <c r="M299" s="7" t="s">
        <v>15</v>
      </c>
      <c r="N299" s="7">
        <f>COUNTIFS(A:A,A299,D:D,D299,E:E,I299)</f>
        <v>0</v>
      </c>
    </row>
    <row r="300" spans="1:14" x14ac:dyDescent="0.3">
      <c r="A300" s="7" t="s">
        <v>93</v>
      </c>
      <c r="B300" s="7" t="s">
        <v>94</v>
      </c>
      <c r="C300" s="7" t="s">
        <v>64</v>
      </c>
      <c r="D300" s="8">
        <v>45352</v>
      </c>
      <c r="E300" s="8" t="str">
        <f t="shared" si="15"/>
        <v>March</v>
      </c>
      <c r="F300">
        <f t="shared" si="16"/>
        <v>2024</v>
      </c>
      <c r="G300">
        <f t="shared" si="17"/>
        <v>1</v>
      </c>
      <c r="H300">
        <f t="shared" si="18"/>
        <v>0</v>
      </c>
      <c r="I300" s="6">
        <v>0.47430555555555554</v>
      </c>
      <c r="J300" s="6">
        <v>0.70694444444444449</v>
      </c>
      <c r="K300" s="7" t="s">
        <v>13</v>
      </c>
      <c r="L300" s="7" t="s">
        <v>14</v>
      </c>
      <c r="M300" s="7" t="s">
        <v>21</v>
      </c>
      <c r="N300" s="7">
        <f>COUNTIFS(A:A,A300,D:D,D300,E:E,I300)</f>
        <v>0</v>
      </c>
    </row>
    <row r="301" spans="1:14" x14ac:dyDescent="0.3">
      <c r="A301" s="7" t="s">
        <v>138</v>
      </c>
      <c r="B301" s="7" t="s">
        <v>139</v>
      </c>
      <c r="C301" s="7" t="s">
        <v>64</v>
      </c>
      <c r="D301" s="8">
        <v>45315</v>
      </c>
      <c r="E301" s="8" t="str">
        <f t="shared" si="15"/>
        <v>January</v>
      </c>
      <c r="F301">
        <f t="shared" si="16"/>
        <v>2024</v>
      </c>
      <c r="G301">
        <f t="shared" si="17"/>
        <v>0</v>
      </c>
      <c r="H301">
        <f t="shared" si="18"/>
        <v>0</v>
      </c>
      <c r="I301" s="6"/>
      <c r="J301" s="6"/>
      <c r="K301" s="7" t="s">
        <v>44</v>
      </c>
      <c r="L301" s="7" t="s">
        <v>14</v>
      </c>
      <c r="M301" s="7" t="s">
        <v>21</v>
      </c>
      <c r="N301" s="7">
        <f>COUNTIFS(A:A,A301,D:D,D301,E:E,I301)</f>
        <v>0</v>
      </c>
    </row>
    <row r="302" spans="1:14" x14ac:dyDescent="0.3">
      <c r="A302" s="7" t="s">
        <v>236</v>
      </c>
      <c r="B302" s="7" t="s">
        <v>237</v>
      </c>
      <c r="C302" s="7" t="s">
        <v>60</v>
      </c>
      <c r="D302" s="8">
        <v>45369</v>
      </c>
      <c r="E302" s="8" t="str">
        <f t="shared" si="15"/>
        <v>March</v>
      </c>
      <c r="F302">
        <f t="shared" si="16"/>
        <v>2024</v>
      </c>
      <c r="G302">
        <f t="shared" si="17"/>
        <v>1</v>
      </c>
      <c r="H302">
        <f t="shared" si="18"/>
        <v>0</v>
      </c>
      <c r="I302" s="6">
        <v>0.38194444444444442</v>
      </c>
      <c r="J302" s="6">
        <v>0.82430555555555551</v>
      </c>
      <c r="K302" s="7" t="s">
        <v>13</v>
      </c>
      <c r="L302" s="7" t="s">
        <v>27</v>
      </c>
      <c r="M302" s="7" t="s">
        <v>21</v>
      </c>
      <c r="N302" s="7">
        <f>COUNTIFS(A:A,A302,D:D,D302,E:E,I302)</f>
        <v>0</v>
      </c>
    </row>
    <row r="303" spans="1:14" x14ac:dyDescent="0.3">
      <c r="A303" s="7" t="s">
        <v>204</v>
      </c>
      <c r="B303" s="7" t="s">
        <v>205</v>
      </c>
      <c r="C303" s="7" t="s">
        <v>60</v>
      </c>
      <c r="D303" s="8">
        <v>45312</v>
      </c>
      <c r="E303" s="8" t="str">
        <f t="shared" si="15"/>
        <v>January</v>
      </c>
      <c r="F303">
        <f t="shared" si="16"/>
        <v>2024</v>
      </c>
      <c r="G303">
        <f t="shared" si="17"/>
        <v>1</v>
      </c>
      <c r="H303">
        <f t="shared" si="18"/>
        <v>1</v>
      </c>
      <c r="I303" s="6">
        <v>0.37152777777777779</v>
      </c>
      <c r="J303" s="6">
        <v>0.80625000000000002</v>
      </c>
      <c r="K303" s="7" t="s">
        <v>26</v>
      </c>
      <c r="L303" s="7" t="s">
        <v>14</v>
      </c>
      <c r="M303" s="7" t="s">
        <v>21</v>
      </c>
      <c r="N303" s="7">
        <f>COUNTIFS(A:A,A303,D:D,D303,E:E,I303)</f>
        <v>0</v>
      </c>
    </row>
    <row r="304" spans="1:14" x14ac:dyDescent="0.3">
      <c r="A304" s="7" t="s">
        <v>90</v>
      </c>
      <c r="B304" s="7" t="s">
        <v>91</v>
      </c>
      <c r="C304" s="7" t="s">
        <v>42</v>
      </c>
      <c r="D304" s="8">
        <v>45599</v>
      </c>
      <c r="E304" s="8" t="str">
        <f t="shared" si="15"/>
        <v>November</v>
      </c>
      <c r="F304">
        <f t="shared" si="16"/>
        <v>2024</v>
      </c>
      <c r="G304">
        <f t="shared" si="17"/>
        <v>0</v>
      </c>
      <c r="H304">
        <f t="shared" si="18"/>
        <v>0</v>
      </c>
      <c r="I304" s="6"/>
      <c r="J304" s="6"/>
      <c r="K304" s="7" t="s">
        <v>44</v>
      </c>
      <c r="L304" s="7" t="s">
        <v>27</v>
      </c>
      <c r="M304" s="7" t="s">
        <v>15</v>
      </c>
      <c r="N304" s="7">
        <f>COUNTIFS(A:A,A304,D:D,D304,E:E,I304)</f>
        <v>0</v>
      </c>
    </row>
    <row r="305" spans="1:14" x14ac:dyDescent="0.3">
      <c r="A305" s="7" t="s">
        <v>109</v>
      </c>
      <c r="B305" s="7" t="s">
        <v>110</v>
      </c>
      <c r="C305" s="7" t="s">
        <v>64</v>
      </c>
      <c r="D305" s="8">
        <v>45446</v>
      </c>
      <c r="E305" s="8" t="str">
        <f t="shared" si="15"/>
        <v>June</v>
      </c>
      <c r="F305">
        <f t="shared" si="16"/>
        <v>2024</v>
      </c>
      <c r="G305">
        <f t="shared" si="17"/>
        <v>1</v>
      </c>
      <c r="H305">
        <f t="shared" si="18"/>
        <v>1</v>
      </c>
      <c r="I305" s="6">
        <v>0.41875000000000001</v>
      </c>
      <c r="J305" s="6">
        <v>0.8618055555555556</v>
      </c>
      <c r="K305" s="7" t="s">
        <v>26</v>
      </c>
      <c r="L305" s="7" t="s">
        <v>27</v>
      </c>
      <c r="M305" s="7" t="s">
        <v>21</v>
      </c>
      <c r="N305" s="7">
        <f>COUNTIFS(A:A,A305,D:D,D305,E:E,I305)</f>
        <v>0</v>
      </c>
    </row>
    <row r="306" spans="1:14" x14ac:dyDescent="0.3">
      <c r="A306" s="7" t="s">
        <v>66</v>
      </c>
      <c r="B306" s="7" t="s">
        <v>67</v>
      </c>
      <c r="C306" s="7" t="s">
        <v>42</v>
      </c>
      <c r="D306" s="8">
        <v>45347</v>
      </c>
      <c r="E306" s="8" t="str">
        <f t="shared" si="15"/>
        <v>February</v>
      </c>
      <c r="F306">
        <f t="shared" si="16"/>
        <v>2024</v>
      </c>
      <c r="G306">
        <f t="shared" si="17"/>
        <v>1</v>
      </c>
      <c r="H306">
        <f t="shared" si="18"/>
        <v>1</v>
      </c>
      <c r="I306" s="6">
        <v>0.49791666666666667</v>
      </c>
      <c r="J306" s="6">
        <v>0.75902777777777775</v>
      </c>
      <c r="K306" s="7" t="s">
        <v>26</v>
      </c>
      <c r="L306" s="7" t="s">
        <v>14</v>
      </c>
      <c r="M306" s="7" t="s">
        <v>21</v>
      </c>
      <c r="N306" s="7">
        <f>COUNTIFS(A:A,A306,D:D,D306,E:E,I306)</f>
        <v>0</v>
      </c>
    </row>
    <row r="307" spans="1:14" x14ac:dyDescent="0.3">
      <c r="A307" s="7" t="s">
        <v>109</v>
      </c>
      <c r="B307" s="7" t="s">
        <v>110</v>
      </c>
      <c r="C307" s="7" t="s">
        <v>425</v>
      </c>
      <c r="D307" s="8">
        <v>45369</v>
      </c>
      <c r="E307" s="8" t="str">
        <f t="shared" si="15"/>
        <v>March</v>
      </c>
      <c r="F307">
        <f t="shared" si="16"/>
        <v>2024</v>
      </c>
      <c r="G307">
        <f t="shared" si="17"/>
        <v>1</v>
      </c>
      <c r="H307">
        <f t="shared" si="18"/>
        <v>0</v>
      </c>
      <c r="I307" s="6">
        <v>0.3972222222222222</v>
      </c>
      <c r="J307" s="6">
        <v>0.85624999999999996</v>
      </c>
      <c r="K307" s="7" t="s">
        <v>13</v>
      </c>
      <c r="L307" s="7" t="s">
        <v>27</v>
      </c>
      <c r="M307" s="7" t="s">
        <v>21</v>
      </c>
      <c r="N307" s="7">
        <f>COUNTIFS(A:A,A307,D:D,D307,E:E,I307)</f>
        <v>0</v>
      </c>
    </row>
    <row r="308" spans="1:14" x14ac:dyDescent="0.3">
      <c r="A308" s="7" t="s">
        <v>146</v>
      </c>
      <c r="B308" s="7" t="s">
        <v>147</v>
      </c>
      <c r="C308" s="7" t="s">
        <v>42</v>
      </c>
      <c r="D308" s="8">
        <v>45346</v>
      </c>
      <c r="E308" s="8" t="str">
        <f t="shared" si="15"/>
        <v>February</v>
      </c>
      <c r="F308">
        <f t="shared" si="16"/>
        <v>2024</v>
      </c>
      <c r="G308">
        <f t="shared" si="17"/>
        <v>1</v>
      </c>
      <c r="H308">
        <f t="shared" si="18"/>
        <v>0</v>
      </c>
      <c r="I308" s="6">
        <v>0.47638888888888886</v>
      </c>
      <c r="J308" s="6">
        <v>0.82916666666666672</v>
      </c>
      <c r="K308" s="7" t="s">
        <v>13</v>
      </c>
      <c r="L308" s="7" t="s">
        <v>14</v>
      </c>
      <c r="M308" s="7" t="s">
        <v>21</v>
      </c>
      <c r="N308" s="7">
        <f>COUNTIFS(A:A,A308,D:D,D308,E:E,I308)</f>
        <v>0</v>
      </c>
    </row>
    <row r="309" spans="1:14" x14ac:dyDescent="0.3">
      <c r="A309" s="7" t="s">
        <v>55</v>
      </c>
      <c r="B309" s="7" t="s">
        <v>56</v>
      </c>
      <c r="C309" s="7" t="s">
        <v>60</v>
      </c>
      <c r="D309" s="8">
        <v>45627</v>
      </c>
      <c r="E309" s="8" t="str">
        <f t="shared" si="15"/>
        <v>December</v>
      </c>
      <c r="F309">
        <f t="shared" si="16"/>
        <v>2024</v>
      </c>
      <c r="G309">
        <f t="shared" si="17"/>
        <v>1</v>
      </c>
      <c r="H309">
        <f t="shared" si="18"/>
        <v>1</v>
      </c>
      <c r="I309" s="6">
        <v>0.43055555555555558</v>
      </c>
      <c r="J309" s="6">
        <v>0.75763888888888886</v>
      </c>
      <c r="K309" s="7" t="s">
        <v>26</v>
      </c>
      <c r="L309" s="7" t="s">
        <v>14</v>
      </c>
      <c r="M309" s="7" t="s">
        <v>15</v>
      </c>
      <c r="N309" s="7">
        <f>COUNTIFS(A:A,A309,D:D,D309,E:E,I309)</f>
        <v>0</v>
      </c>
    </row>
    <row r="310" spans="1:14" x14ac:dyDescent="0.3">
      <c r="A310" s="7" t="s">
        <v>75</v>
      </c>
      <c r="B310" s="7" t="s">
        <v>76</v>
      </c>
      <c r="C310" s="7" t="s">
        <v>60</v>
      </c>
      <c r="D310" s="8">
        <v>45537</v>
      </c>
      <c r="E310" s="8" t="str">
        <f t="shared" si="15"/>
        <v>September</v>
      </c>
      <c r="F310">
        <f t="shared" si="16"/>
        <v>2024</v>
      </c>
      <c r="G310">
        <f t="shared" si="17"/>
        <v>1</v>
      </c>
      <c r="H310">
        <f t="shared" si="18"/>
        <v>0</v>
      </c>
      <c r="I310" s="6">
        <v>0.41111111111111109</v>
      </c>
      <c r="J310" s="6">
        <v>0.85833333333333328</v>
      </c>
      <c r="K310" s="7" t="s">
        <v>20</v>
      </c>
      <c r="L310" s="7" t="s">
        <v>27</v>
      </c>
      <c r="M310" s="7" t="s">
        <v>15</v>
      </c>
      <c r="N310" s="7">
        <f>COUNTIFS(A:A,A310,D:D,D310,E:E,I310)</f>
        <v>0</v>
      </c>
    </row>
    <row r="311" spans="1:14" x14ac:dyDescent="0.3">
      <c r="A311" s="7" t="s">
        <v>246</v>
      </c>
      <c r="B311" s="7" t="s">
        <v>247</v>
      </c>
      <c r="C311" s="7" t="s">
        <v>425</v>
      </c>
      <c r="D311" s="8">
        <v>45310</v>
      </c>
      <c r="E311" s="8" t="str">
        <f t="shared" si="15"/>
        <v>January</v>
      </c>
      <c r="F311">
        <f t="shared" si="16"/>
        <v>2024</v>
      </c>
      <c r="G311">
        <f t="shared" si="17"/>
        <v>1</v>
      </c>
      <c r="H311">
        <f t="shared" si="18"/>
        <v>1</v>
      </c>
      <c r="I311" s="6">
        <v>0.35</v>
      </c>
      <c r="J311" s="6">
        <v>0.76180555555555551</v>
      </c>
      <c r="K311" s="7" t="s">
        <v>26</v>
      </c>
      <c r="L311" s="7" t="s">
        <v>14</v>
      </c>
      <c r="M311" s="7" t="s">
        <v>15</v>
      </c>
      <c r="N311" s="7">
        <f>COUNTIFS(A:A,A311,D:D,D311,E:E,I311)</f>
        <v>0</v>
      </c>
    </row>
    <row r="312" spans="1:14" x14ac:dyDescent="0.3">
      <c r="A312" s="7" t="s">
        <v>157</v>
      </c>
      <c r="B312" s="7" t="s">
        <v>158</v>
      </c>
      <c r="C312" s="7" t="s">
        <v>426</v>
      </c>
      <c r="D312" s="8">
        <v>45305</v>
      </c>
      <c r="E312" s="8" t="str">
        <f t="shared" si="15"/>
        <v>January</v>
      </c>
      <c r="F312">
        <f t="shared" si="16"/>
        <v>2024</v>
      </c>
      <c r="G312">
        <f t="shared" si="17"/>
        <v>1</v>
      </c>
      <c r="H312">
        <f t="shared" si="18"/>
        <v>1</v>
      </c>
      <c r="I312" s="6">
        <v>0.40208333333333335</v>
      </c>
      <c r="J312" s="6">
        <v>0.71736111111111112</v>
      </c>
      <c r="K312" s="7" t="s">
        <v>26</v>
      </c>
      <c r="L312" s="7" t="s">
        <v>14</v>
      </c>
      <c r="M312" s="7" t="s">
        <v>21</v>
      </c>
      <c r="N312" s="7">
        <f>COUNTIFS(A:A,A312,D:D,D312,E:E,I312)</f>
        <v>0</v>
      </c>
    </row>
    <row r="313" spans="1:14" x14ac:dyDescent="0.3">
      <c r="A313" s="7" t="s">
        <v>58</v>
      </c>
      <c r="B313" s="7" t="s">
        <v>59</v>
      </c>
      <c r="C313" s="7" t="s">
        <v>60</v>
      </c>
      <c r="D313" s="8">
        <v>45369</v>
      </c>
      <c r="E313" s="8" t="str">
        <f t="shared" si="15"/>
        <v>March</v>
      </c>
      <c r="F313">
        <f t="shared" si="16"/>
        <v>2024</v>
      </c>
      <c r="G313">
        <f t="shared" si="17"/>
        <v>1</v>
      </c>
      <c r="H313">
        <f t="shared" si="18"/>
        <v>1</v>
      </c>
      <c r="I313" s="6">
        <v>0.37569444444444444</v>
      </c>
      <c r="J313" s="6">
        <v>0.78680555555555554</v>
      </c>
      <c r="K313" s="7" t="s">
        <v>26</v>
      </c>
      <c r="L313" s="7" t="s">
        <v>14</v>
      </c>
      <c r="M313" s="7" t="s">
        <v>21</v>
      </c>
      <c r="N313" s="7">
        <f>COUNTIFS(A:A,A313,D:D,D313,E:E,I313)</f>
        <v>0</v>
      </c>
    </row>
    <row r="314" spans="1:14" x14ac:dyDescent="0.3">
      <c r="A314" s="7" t="s">
        <v>150</v>
      </c>
      <c r="B314" s="7" t="s">
        <v>151</v>
      </c>
      <c r="C314" s="7" t="s">
        <v>425</v>
      </c>
      <c r="D314" s="8">
        <v>45377</v>
      </c>
      <c r="E314" s="8" t="str">
        <f t="shared" si="15"/>
        <v>March</v>
      </c>
      <c r="F314">
        <f t="shared" si="16"/>
        <v>2024</v>
      </c>
      <c r="G314">
        <f t="shared" si="17"/>
        <v>1</v>
      </c>
      <c r="H314">
        <f t="shared" si="18"/>
        <v>0</v>
      </c>
      <c r="I314" s="6">
        <v>0.39027777777777778</v>
      </c>
      <c r="J314" s="6">
        <v>0.72499999999999998</v>
      </c>
      <c r="K314" s="7" t="s">
        <v>13</v>
      </c>
      <c r="L314" s="7" t="s">
        <v>14</v>
      </c>
      <c r="M314" s="7" t="s">
        <v>15</v>
      </c>
      <c r="N314" s="7">
        <f>COUNTIFS(A:A,A314,D:D,D314,E:E,I314)</f>
        <v>0</v>
      </c>
    </row>
    <row r="315" spans="1:14" x14ac:dyDescent="0.3">
      <c r="A315" s="7" t="s">
        <v>194</v>
      </c>
      <c r="B315" s="7" t="s">
        <v>195</v>
      </c>
      <c r="C315" s="7" t="s">
        <v>60</v>
      </c>
      <c r="D315" s="8">
        <v>45370</v>
      </c>
      <c r="E315" s="8" t="str">
        <f t="shared" si="15"/>
        <v>March</v>
      </c>
      <c r="F315">
        <f t="shared" si="16"/>
        <v>2024</v>
      </c>
      <c r="G315">
        <f t="shared" si="17"/>
        <v>0</v>
      </c>
      <c r="H315">
        <f t="shared" si="18"/>
        <v>0</v>
      </c>
      <c r="I315" s="6"/>
      <c r="J315" s="6"/>
      <c r="K315" s="7" t="s">
        <v>44</v>
      </c>
      <c r="L315" s="7" t="s">
        <v>27</v>
      </c>
      <c r="M315" s="7" t="s">
        <v>15</v>
      </c>
      <c r="N315" s="7">
        <f>COUNTIFS(A:A,A315,D:D,D315,E:E,I315)</f>
        <v>0</v>
      </c>
    </row>
    <row r="316" spans="1:14" x14ac:dyDescent="0.3">
      <c r="A316" s="7" t="s">
        <v>45</v>
      </c>
      <c r="B316" s="7" t="s">
        <v>46</v>
      </c>
      <c r="C316" s="7" t="s">
        <v>425</v>
      </c>
      <c r="D316" s="8">
        <v>45294</v>
      </c>
      <c r="E316" s="8" t="str">
        <f t="shared" si="15"/>
        <v>January</v>
      </c>
      <c r="F316">
        <f t="shared" si="16"/>
        <v>2024</v>
      </c>
      <c r="G316">
        <f t="shared" si="17"/>
        <v>1</v>
      </c>
      <c r="H316">
        <f t="shared" si="18"/>
        <v>1</v>
      </c>
      <c r="I316" s="6">
        <v>0.47361111111111109</v>
      </c>
      <c r="J316" s="6">
        <v>0.84791666666666665</v>
      </c>
      <c r="K316" s="7" t="s">
        <v>26</v>
      </c>
      <c r="L316" s="7" t="s">
        <v>14</v>
      </c>
      <c r="M316" s="7" t="s">
        <v>21</v>
      </c>
      <c r="N316" s="7">
        <f>COUNTIFS(A:A,A316,D:D,D316,E:E,I316)</f>
        <v>0</v>
      </c>
    </row>
    <row r="317" spans="1:14" x14ac:dyDescent="0.3">
      <c r="A317" s="7" t="s">
        <v>93</v>
      </c>
      <c r="B317" s="7" t="s">
        <v>94</v>
      </c>
      <c r="C317" s="7" t="s">
        <v>426</v>
      </c>
      <c r="D317" s="8">
        <v>45352</v>
      </c>
      <c r="E317" s="8" t="str">
        <f t="shared" si="15"/>
        <v>March</v>
      </c>
      <c r="F317">
        <f t="shared" si="16"/>
        <v>2024</v>
      </c>
      <c r="G317">
        <f t="shared" si="17"/>
        <v>0</v>
      </c>
      <c r="H317">
        <f t="shared" si="18"/>
        <v>0</v>
      </c>
      <c r="I317" s="6"/>
      <c r="J317" s="6"/>
      <c r="K317" s="7" t="s">
        <v>44</v>
      </c>
      <c r="L317" s="7" t="s">
        <v>14</v>
      </c>
      <c r="M317" s="7" t="s">
        <v>15</v>
      </c>
      <c r="N317" s="7">
        <f>COUNTIFS(A:A,A317,D:D,D317,E:E,I317)</f>
        <v>0</v>
      </c>
    </row>
    <row r="318" spans="1:14" x14ac:dyDescent="0.3">
      <c r="A318" s="7" t="s">
        <v>34</v>
      </c>
      <c r="B318" s="7" t="s">
        <v>35</v>
      </c>
      <c r="C318" s="7" t="s">
        <v>425</v>
      </c>
      <c r="D318" s="8">
        <v>45324</v>
      </c>
      <c r="E318" s="8" t="str">
        <f t="shared" si="15"/>
        <v>February</v>
      </c>
      <c r="F318">
        <f t="shared" si="16"/>
        <v>2024</v>
      </c>
      <c r="G318">
        <f t="shared" si="17"/>
        <v>1</v>
      </c>
      <c r="H318">
        <f t="shared" si="18"/>
        <v>0</v>
      </c>
      <c r="I318" s="6">
        <v>0.39444444444444443</v>
      </c>
      <c r="J318" s="6">
        <v>0.7104166666666667</v>
      </c>
      <c r="K318" s="7" t="s">
        <v>13</v>
      </c>
      <c r="L318" s="7" t="s">
        <v>14</v>
      </c>
      <c r="M318" s="7" t="s">
        <v>15</v>
      </c>
      <c r="N318" s="7">
        <f>COUNTIFS(A:A,A318,D:D,D318,E:E,I318)</f>
        <v>0</v>
      </c>
    </row>
    <row r="319" spans="1:14" x14ac:dyDescent="0.3">
      <c r="A319" s="7" t="s">
        <v>204</v>
      </c>
      <c r="B319" s="7" t="s">
        <v>205</v>
      </c>
      <c r="C319" s="7" t="s">
        <v>42</v>
      </c>
      <c r="D319" s="8">
        <v>45505</v>
      </c>
      <c r="E319" s="8" t="str">
        <f t="shared" si="15"/>
        <v>August</v>
      </c>
      <c r="F319">
        <f t="shared" si="16"/>
        <v>2024</v>
      </c>
      <c r="G319">
        <f t="shared" si="17"/>
        <v>1</v>
      </c>
      <c r="H319">
        <f t="shared" si="18"/>
        <v>0</v>
      </c>
      <c r="I319" s="6">
        <v>0.36319444444444443</v>
      </c>
      <c r="J319" s="6">
        <v>0.72499999999999998</v>
      </c>
      <c r="K319" s="7" t="s">
        <v>13</v>
      </c>
      <c r="L319" s="7" t="s">
        <v>14</v>
      </c>
      <c r="M319" s="7" t="s">
        <v>21</v>
      </c>
      <c r="N319" s="7">
        <f>COUNTIFS(A:A,A319,D:D,D319,E:E,I319)</f>
        <v>0</v>
      </c>
    </row>
    <row r="320" spans="1:14" x14ac:dyDescent="0.3">
      <c r="A320" s="7" t="s">
        <v>87</v>
      </c>
      <c r="B320" s="7" t="s">
        <v>88</v>
      </c>
      <c r="C320" s="7" t="s">
        <v>60</v>
      </c>
      <c r="D320" s="8">
        <v>45318</v>
      </c>
      <c r="E320" s="8" t="str">
        <f t="shared" si="15"/>
        <v>January</v>
      </c>
      <c r="F320">
        <f t="shared" si="16"/>
        <v>2024</v>
      </c>
      <c r="G320">
        <f t="shared" si="17"/>
        <v>1</v>
      </c>
      <c r="H320">
        <f t="shared" si="18"/>
        <v>1</v>
      </c>
      <c r="I320" s="6">
        <v>0.34652777777777777</v>
      </c>
      <c r="J320" s="6">
        <v>0.75694444444444442</v>
      </c>
      <c r="K320" s="7" t="s">
        <v>26</v>
      </c>
      <c r="L320" s="7" t="s">
        <v>27</v>
      </c>
      <c r="M320" s="7" t="s">
        <v>21</v>
      </c>
      <c r="N320" s="7">
        <f>COUNTIFS(A:A,A320,D:D,D320,E:E,I320)</f>
        <v>0</v>
      </c>
    </row>
    <row r="321" spans="1:14" x14ac:dyDescent="0.3">
      <c r="A321" s="7" t="s">
        <v>224</v>
      </c>
      <c r="B321" s="7" t="s">
        <v>225</v>
      </c>
      <c r="C321" s="7" t="s">
        <v>60</v>
      </c>
      <c r="D321" s="8">
        <v>45372</v>
      </c>
      <c r="E321" s="8" t="str">
        <f t="shared" si="15"/>
        <v>March</v>
      </c>
      <c r="F321">
        <f t="shared" si="16"/>
        <v>2024</v>
      </c>
      <c r="G321">
        <f t="shared" si="17"/>
        <v>1</v>
      </c>
      <c r="H321">
        <f t="shared" si="18"/>
        <v>0</v>
      </c>
      <c r="I321" s="6">
        <v>0.36458333333333331</v>
      </c>
      <c r="J321" s="6">
        <v>0.81388888888888888</v>
      </c>
      <c r="K321" s="7" t="s">
        <v>13</v>
      </c>
      <c r="L321" s="7" t="s">
        <v>14</v>
      </c>
      <c r="M321" s="7" t="s">
        <v>21</v>
      </c>
      <c r="N321" s="7">
        <f>COUNTIFS(A:A,A321,D:D,D321,E:E,I321)</f>
        <v>0</v>
      </c>
    </row>
    <row r="322" spans="1:14" x14ac:dyDescent="0.3">
      <c r="A322" s="7" t="s">
        <v>130</v>
      </c>
      <c r="B322" s="7" t="s">
        <v>131</v>
      </c>
      <c r="C322" s="7" t="s">
        <v>60</v>
      </c>
      <c r="D322" s="8">
        <v>45324</v>
      </c>
      <c r="E322" s="8" t="str">
        <f t="shared" ref="E322:E385" si="19">TEXT(D322,"mmmm")</f>
        <v>February</v>
      </c>
      <c r="F322">
        <f t="shared" ref="F322:F385" si="20">YEAR(D322)</f>
        <v>2024</v>
      </c>
      <c r="G322">
        <f t="shared" ref="G322:G385" si="21">IF(LOWER(K322)="absent",0,1)</f>
        <v>1</v>
      </c>
      <c r="H322">
        <f t="shared" ref="H322:H385" si="22">IF(K322="Late",1,0)</f>
        <v>1</v>
      </c>
      <c r="I322" s="6">
        <v>0.41388888888888886</v>
      </c>
      <c r="J322" s="6">
        <v>0.80277777777777781</v>
      </c>
      <c r="K322" s="7" t="s">
        <v>26</v>
      </c>
      <c r="L322" s="7" t="s">
        <v>27</v>
      </c>
      <c r="M322" s="7" t="s">
        <v>15</v>
      </c>
      <c r="N322" s="7">
        <f>COUNTIFS(A:A,A322,D:D,D322,E:E,I322)</f>
        <v>0</v>
      </c>
    </row>
    <row r="323" spans="1:14" x14ac:dyDescent="0.3">
      <c r="A323" s="7" t="s">
        <v>109</v>
      </c>
      <c r="B323" s="7" t="s">
        <v>110</v>
      </c>
      <c r="C323" s="7" t="s">
        <v>64</v>
      </c>
      <c r="D323" s="8">
        <v>45350</v>
      </c>
      <c r="E323" s="8" t="str">
        <f t="shared" si="19"/>
        <v>February</v>
      </c>
      <c r="F323">
        <f t="shared" si="20"/>
        <v>2024</v>
      </c>
      <c r="G323">
        <f t="shared" si="21"/>
        <v>1</v>
      </c>
      <c r="H323">
        <f t="shared" si="22"/>
        <v>0</v>
      </c>
      <c r="I323" s="6">
        <v>0.47986111111111113</v>
      </c>
      <c r="J323" s="6">
        <v>0.84861111111111109</v>
      </c>
      <c r="K323" s="7" t="s">
        <v>13</v>
      </c>
      <c r="L323" s="7" t="s">
        <v>14</v>
      </c>
      <c r="M323" s="7" t="s">
        <v>15</v>
      </c>
      <c r="N323" s="7">
        <f>COUNTIFS(A:A,A323,D:D,D323,E:E,I323)</f>
        <v>0</v>
      </c>
    </row>
    <row r="324" spans="1:14" x14ac:dyDescent="0.3">
      <c r="A324" s="7" t="s">
        <v>141</v>
      </c>
      <c r="B324" s="7" t="s">
        <v>142</v>
      </c>
      <c r="C324" s="7" t="s">
        <v>60</v>
      </c>
      <c r="D324" s="8">
        <v>45373</v>
      </c>
      <c r="E324" s="8" t="str">
        <f t="shared" si="19"/>
        <v>March</v>
      </c>
      <c r="F324">
        <f t="shared" si="20"/>
        <v>2024</v>
      </c>
      <c r="G324">
        <f t="shared" si="21"/>
        <v>1</v>
      </c>
      <c r="H324">
        <f t="shared" si="22"/>
        <v>0</v>
      </c>
      <c r="I324" s="6">
        <v>0.35694444444444445</v>
      </c>
      <c r="J324" s="6">
        <v>0.74236111111111114</v>
      </c>
      <c r="K324" s="7" t="s">
        <v>13</v>
      </c>
      <c r="L324" s="7" t="s">
        <v>14</v>
      </c>
      <c r="M324" s="7" t="s">
        <v>15</v>
      </c>
      <c r="N324" s="7">
        <f>COUNTIFS(A:A,A324,D:D,D324,E:E,I324)</f>
        <v>0</v>
      </c>
    </row>
    <row r="325" spans="1:14" x14ac:dyDescent="0.3">
      <c r="A325" s="7" t="s">
        <v>138</v>
      </c>
      <c r="B325" s="7" t="s">
        <v>139</v>
      </c>
      <c r="C325" s="7" t="s">
        <v>64</v>
      </c>
      <c r="D325" s="8">
        <v>45353</v>
      </c>
      <c r="E325" s="8" t="str">
        <f t="shared" si="19"/>
        <v>March</v>
      </c>
      <c r="F325">
        <f t="shared" si="20"/>
        <v>2024</v>
      </c>
      <c r="G325">
        <f t="shared" si="21"/>
        <v>1</v>
      </c>
      <c r="H325">
        <f t="shared" si="22"/>
        <v>0</v>
      </c>
      <c r="I325" s="6">
        <v>0.37430555555555556</v>
      </c>
      <c r="J325" s="6">
        <v>0.71666666666666667</v>
      </c>
      <c r="K325" s="7" t="s">
        <v>20</v>
      </c>
      <c r="L325" s="7" t="s">
        <v>27</v>
      </c>
      <c r="M325" s="7" t="s">
        <v>21</v>
      </c>
      <c r="N325" s="7">
        <f>COUNTIFS(A:A,A325,D:D,D325,E:E,I325)</f>
        <v>0</v>
      </c>
    </row>
    <row r="326" spans="1:14" x14ac:dyDescent="0.3">
      <c r="A326" s="7" t="s">
        <v>40</v>
      </c>
      <c r="B326" s="7" t="s">
        <v>41</v>
      </c>
      <c r="C326" s="7" t="s">
        <v>60</v>
      </c>
      <c r="D326" s="8">
        <v>45536</v>
      </c>
      <c r="E326" s="8" t="str">
        <f t="shared" si="19"/>
        <v>September</v>
      </c>
      <c r="F326">
        <f t="shared" si="20"/>
        <v>2024</v>
      </c>
      <c r="G326">
        <f t="shared" si="21"/>
        <v>0</v>
      </c>
      <c r="H326">
        <f t="shared" si="22"/>
        <v>0</v>
      </c>
      <c r="I326" s="6"/>
      <c r="J326" s="6"/>
      <c r="K326" s="7" t="s">
        <v>44</v>
      </c>
      <c r="L326" s="7" t="s">
        <v>27</v>
      </c>
      <c r="M326" s="7" t="s">
        <v>15</v>
      </c>
      <c r="N326" s="7">
        <f>COUNTIFS(A:A,A326,D:D,D326,E:E,I326)</f>
        <v>0</v>
      </c>
    </row>
    <row r="327" spans="1:14" x14ac:dyDescent="0.3">
      <c r="A327" s="7" t="s">
        <v>194</v>
      </c>
      <c r="B327" s="7" t="s">
        <v>195</v>
      </c>
      <c r="C327" s="7" t="s">
        <v>42</v>
      </c>
      <c r="D327" s="8">
        <v>45505</v>
      </c>
      <c r="E327" s="8" t="str">
        <f t="shared" si="19"/>
        <v>August</v>
      </c>
      <c r="F327">
        <f t="shared" si="20"/>
        <v>2024</v>
      </c>
      <c r="G327">
        <f t="shared" si="21"/>
        <v>0</v>
      </c>
      <c r="H327">
        <f t="shared" si="22"/>
        <v>0</v>
      </c>
      <c r="I327" s="6"/>
      <c r="J327" s="6"/>
      <c r="K327" s="7" t="s">
        <v>44</v>
      </c>
      <c r="L327" s="7" t="s">
        <v>14</v>
      </c>
      <c r="M327" s="7" t="s">
        <v>15</v>
      </c>
      <c r="N327" s="7">
        <f>COUNTIFS(A:A,A327,D:D,D327,E:E,I327)</f>
        <v>0</v>
      </c>
    </row>
    <row r="328" spans="1:14" x14ac:dyDescent="0.3">
      <c r="A328" s="7" t="s">
        <v>338</v>
      </c>
      <c r="B328" s="7" t="s">
        <v>339</v>
      </c>
      <c r="C328" s="7" t="s">
        <v>60</v>
      </c>
      <c r="D328" s="8">
        <v>45414</v>
      </c>
      <c r="E328" s="8" t="str">
        <f t="shared" si="19"/>
        <v>May</v>
      </c>
      <c r="F328">
        <f t="shared" si="20"/>
        <v>2024</v>
      </c>
      <c r="G328">
        <f t="shared" si="21"/>
        <v>1</v>
      </c>
      <c r="H328">
        <f t="shared" si="22"/>
        <v>0</v>
      </c>
      <c r="I328" s="6">
        <v>0.39097222222222222</v>
      </c>
      <c r="J328" s="6">
        <v>0.70138888888888884</v>
      </c>
      <c r="K328" s="7" t="s">
        <v>13</v>
      </c>
      <c r="L328" s="7" t="s">
        <v>27</v>
      </c>
      <c r="M328" s="7" t="s">
        <v>15</v>
      </c>
      <c r="N328" s="7">
        <f>COUNTIFS(A:A,A328,D:D,D328,E:E,I328)</f>
        <v>0</v>
      </c>
    </row>
    <row r="329" spans="1:14" x14ac:dyDescent="0.3">
      <c r="A329" s="7" t="s">
        <v>224</v>
      </c>
      <c r="B329" s="7" t="s">
        <v>225</v>
      </c>
      <c r="C329" s="7" t="s">
        <v>426</v>
      </c>
      <c r="D329" s="8">
        <v>45378</v>
      </c>
      <c r="E329" s="8" t="str">
        <f t="shared" si="19"/>
        <v>March</v>
      </c>
      <c r="F329">
        <f t="shared" si="20"/>
        <v>2024</v>
      </c>
      <c r="G329">
        <f t="shared" si="21"/>
        <v>0</v>
      </c>
      <c r="H329">
        <f t="shared" si="22"/>
        <v>0</v>
      </c>
      <c r="I329" s="6"/>
      <c r="J329" s="6"/>
      <c r="K329" s="7" t="s">
        <v>44</v>
      </c>
      <c r="L329" s="7" t="s">
        <v>14</v>
      </c>
      <c r="M329" s="7" t="s">
        <v>15</v>
      </c>
      <c r="N329" s="7">
        <f>COUNTIFS(A:A,A329,D:D,D329,E:E,I329)</f>
        <v>0</v>
      </c>
    </row>
    <row r="330" spans="1:14" x14ac:dyDescent="0.3">
      <c r="A330" s="7" t="s">
        <v>138</v>
      </c>
      <c r="B330" s="7" t="s">
        <v>139</v>
      </c>
      <c r="C330" s="7" t="s">
        <v>64</v>
      </c>
      <c r="D330" s="8">
        <v>45335</v>
      </c>
      <c r="E330" s="8" t="str">
        <f t="shared" si="19"/>
        <v>February</v>
      </c>
      <c r="F330">
        <f t="shared" si="20"/>
        <v>2024</v>
      </c>
      <c r="G330">
        <f t="shared" si="21"/>
        <v>1</v>
      </c>
      <c r="H330">
        <f t="shared" si="22"/>
        <v>0</v>
      </c>
      <c r="I330" s="6">
        <v>0.47222222222222221</v>
      </c>
      <c r="J330" s="6">
        <v>0.79652777777777772</v>
      </c>
      <c r="K330" s="7" t="s">
        <v>13</v>
      </c>
      <c r="L330" s="7" t="s">
        <v>14</v>
      </c>
      <c r="M330" s="7" t="s">
        <v>15</v>
      </c>
      <c r="N330" s="7">
        <f>COUNTIFS(A:A,A330,D:D,D330,E:E,I330)</f>
        <v>0</v>
      </c>
    </row>
    <row r="331" spans="1:14" x14ac:dyDescent="0.3">
      <c r="A331" s="7" t="s">
        <v>34</v>
      </c>
      <c r="B331" s="7" t="s">
        <v>35</v>
      </c>
      <c r="C331" s="7" t="s">
        <v>426</v>
      </c>
      <c r="D331" s="8">
        <v>45343</v>
      </c>
      <c r="E331" s="8" t="str">
        <f t="shared" si="19"/>
        <v>February</v>
      </c>
      <c r="F331">
        <f t="shared" si="20"/>
        <v>2024</v>
      </c>
      <c r="G331">
        <f t="shared" si="21"/>
        <v>0</v>
      </c>
      <c r="H331">
        <f t="shared" si="22"/>
        <v>0</v>
      </c>
      <c r="I331" s="6"/>
      <c r="J331" s="6"/>
      <c r="K331" s="7" t="s">
        <v>44</v>
      </c>
      <c r="L331" s="7" t="s">
        <v>14</v>
      </c>
      <c r="M331" s="7" t="s">
        <v>15</v>
      </c>
      <c r="N331" s="7">
        <f>COUNTIFS(A:A,A331,D:D,D331,E:E,I331)</f>
        <v>0</v>
      </c>
    </row>
    <row r="332" spans="1:14" x14ac:dyDescent="0.3">
      <c r="A332" s="7" t="s">
        <v>72</v>
      </c>
      <c r="B332" s="7" t="s">
        <v>73</v>
      </c>
      <c r="C332" s="7" t="s">
        <v>425</v>
      </c>
      <c r="D332" s="8">
        <v>45352</v>
      </c>
      <c r="E332" s="8" t="str">
        <f t="shared" si="19"/>
        <v>March</v>
      </c>
      <c r="F332">
        <f t="shared" si="20"/>
        <v>2024</v>
      </c>
      <c r="G332">
        <f t="shared" si="21"/>
        <v>0</v>
      </c>
      <c r="H332">
        <f t="shared" si="22"/>
        <v>0</v>
      </c>
      <c r="I332" s="6"/>
      <c r="J332" s="6"/>
      <c r="K332" s="7" t="s">
        <v>44</v>
      </c>
      <c r="L332" s="7" t="s">
        <v>14</v>
      </c>
      <c r="M332" s="7" t="s">
        <v>15</v>
      </c>
      <c r="N332" s="7">
        <f>COUNTIFS(A:A,A332,D:D,D332,E:E,I332)</f>
        <v>0</v>
      </c>
    </row>
    <row r="333" spans="1:14" x14ac:dyDescent="0.3">
      <c r="A333" s="7" t="s">
        <v>291</v>
      </c>
      <c r="B333" s="7" t="s">
        <v>292</v>
      </c>
      <c r="C333" s="7" t="s">
        <v>64</v>
      </c>
      <c r="D333" s="8">
        <v>45332</v>
      </c>
      <c r="E333" s="8" t="str">
        <f t="shared" si="19"/>
        <v>February</v>
      </c>
      <c r="F333">
        <f t="shared" si="20"/>
        <v>2024</v>
      </c>
      <c r="G333">
        <f t="shared" si="21"/>
        <v>0</v>
      </c>
      <c r="H333">
        <f t="shared" si="22"/>
        <v>0</v>
      </c>
      <c r="I333" s="6"/>
      <c r="J333" s="6"/>
      <c r="K333" s="7" t="s">
        <v>44</v>
      </c>
      <c r="L333" s="7" t="s">
        <v>14</v>
      </c>
      <c r="M333" s="7" t="s">
        <v>15</v>
      </c>
      <c r="N333" s="7">
        <f>COUNTIFS(A:A,A333,D:D,D333,E:E,I333)</f>
        <v>0</v>
      </c>
    </row>
    <row r="334" spans="1:14" x14ac:dyDescent="0.3">
      <c r="A334" s="7" t="s">
        <v>22</v>
      </c>
      <c r="B334" s="7" t="s">
        <v>23</v>
      </c>
      <c r="C334" s="7" t="s">
        <v>64</v>
      </c>
      <c r="D334" s="8">
        <v>45315</v>
      </c>
      <c r="E334" s="8" t="str">
        <f t="shared" si="19"/>
        <v>January</v>
      </c>
      <c r="F334">
        <f t="shared" si="20"/>
        <v>2024</v>
      </c>
      <c r="G334">
        <f t="shared" si="21"/>
        <v>1</v>
      </c>
      <c r="H334">
        <f t="shared" si="22"/>
        <v>0</v>
      </c>
      <c r="I334" s="6">
        <v>0.36041666666666666</v>
      </c>
      <c r="J334" s="6">
        <v>0.71180555555555558</v>
      </c>
      <c r="K334" s="7" t="s">
        <v>13</v>
      </c>
      <c r="L334" s="7" t="s">
        <v>27</v>
      </c>
      <c r="M334" s="7" t="s">
        <v>15</v>
      </c>
      <c r="N334" s="7">
        <f>COUNTIFS(A:A,A334,D:D,D334,E:E,I334)</f>
        <v>0</v>
      </c>
    </row>
    <row r="335" spans="1:14" x14ac:dyDescent="0.3">
      <c r="A335" s="7" t="s">
        <v>213</v>
      </c>
      <c r="B335" s="7" t="s">
        <v>214</v>
      </c>
      <c r="C335" s="7" t="s">
        <v>60</v>
      </c>
      <c r="D335" s="8">
        <v>45445</v>
      </c>
      <c r="E335" s="8" t="str">
        <f t="shared" si="19"/>
        <v>June</v>
      </c>
      <c r="F335">
        <f t="shared" si="20"/>
        <v>2024</v>
      </c>
      <c r="G335">
        <f t="shared" si="21"/>
        <v>1</v>
      </c>
      <c r="H335">
        <f t="shared" si="22"/>
        <v>0</v>
      </c>
      <c r="I335" s="6">
        <v>0.40208333333333335</v>
      </c>
      <c r="J335" s="6">
        <v>0.69791666666666663</v>
      </c>
      <c r="K335" s="7" t="s">
        <v>13</v>
      </c>
      <c r="L335" s="7" t="s">
        <v>14</v>
      </c>
      <c r="M335" s="7" t="s">
        <v>21</v>
      </c>
      <c r="N335" s="7">
        <f>COUNTIFS(A:A,A335,D:D,D335,E:E,I335)</f>
        <v>0</v>
      </c>
    </row>
    <row r="336" spans="1:14" x14ac:dyDescent="0.3">
      <c r="A336" s="7" t="s">
        <v>115</v>
      </c>
      <c r="B336" s="7" t="s">
        <v>116</v>
      </c>
      <c r="C336" s="7" t="s">
        <v>425</v>
      </c>
      <c r="D336" s="8">
        <v>45311</v>
      </c>
      <c r="E336" s="8" t="str">
        <f t="shared" si="19"/>
        <v>January</v>
      </c>
      <c r="F336">
        <f t="shared" si="20"/>
        <v>2024</v>
      </c>
      <c r="G336">
        <f t="shared" si="21"/>
        <v>1</v>
      </c>
      <c r="H336">
        <f t="shared" si="22"/>
        <v>0</v>
      </c>
      <c r="I336" s="6">
        <v>0.35486111111111113</v>
      </c>
      <c r="J336" s="6">
        <v>0.70833333333333337</v>
      </c>
      <c r="K336" s="7" t="s">
        <v>20</v>
      </c>
      <c r="L336" s="7" t="s">
        <v>27</v>
      </c>
      <c r="M336" s="7" t="s">
        <v>15</v>
      </c>
      <c r="N336" s="7">
        <f>COUNTIFS(A:A,A336,D:D,D336,E:E,I336)</f>
        <v>0</v>
      </c>
    </row>
    <row r="337" spans="1:14" x14ac:dyDescent="0.3">
      <c r="A337" s="7" t="s">
        <v>194</v>
      </c>
      <c r="B337" s="7" t="s">
        <v>195</v>
      </c>
      <c r="C337" s="7" t="s">
        <v>60</v>
      </c>
      <c r="D337" s="8">
        <v>45445</v>
      </c>
      <c r="E337" s="8" t="str">
        <f t="shared" si="19"/>
        <v>June</v>
      </c>
      <c r="F337">
        <f t="shared" si="20"/>
        <v>2024</v>
      </c>
      <c r="G337">
        <f t="shared" si="21"/>
        <v>1</v>
      </c>
      <c r="H337">
        <f t="shared" si="22"/>
        <v>1</v>
      </c>
      <c r="I337" s="6">
        <v>0.37986111111111109</v>
      </c>
      <c r="J337" s="6">
        <v>0.69305555555555554</v>
      </c>
      <c r="K337" s="7" t="s">
        <v>26</v>
      </c>
      <c r="L337" s="7" t="s">
        <v>14</v>
      </c>
      <c r="M337" s="7" t="s">
        <v>15</v>
      </c>
      <c r="N337" s="7">
        <f>COUNTIFS(A:A,A337,D:D,D337,E:E,I337)</f>
        <v>0</v>
      </c>
    </row>
    <row r="338" spans="1:14" x14ac:dyDescent="0.3">
      <c r="A338" s="7" t="s">
        <v>122</v>
      </c>
      <c r="B338" s="7" t="s">
        <v>123</v>
      </c>
      <c r="C338" s="7" t="s">
        <v>426</v>
      </c>
      <c r="D338" s="8">
        <v>45446</v>
      </c>
      <c r="E338" s="8" t="str">
        <f t="shared" si="19"/>
        <v>June</v>
      </c>
      <c r="F338">
        <f t="shared" si="20"/>
        <v>2024</v>
      </c>
      <c r="G338">
        <f t="shared" si="21"/>
        <v>1</v>
      </c>
      <c r="H338">
        <f t="shared" si="22"/>
        <v>0</v>
      </c>
      <c r="I338" s="6">
        <v>0.48402777777777778</v>
      </c>
      <c r="J338" s="6">
        <v>0.67500000000000004</v>
      </c>
      <c r="K338" s="7" t="s">
        <v>20</v>
      </c>
      <c r="L338" s="7" t="s">
        <v>14</v>
      </c>
      <c r="M338" s="7" t="s">
        <v>15</v>
      </c>
      <c r="N338" s="7">
        <f>COUNTIFS(A:A,A338,D:D,D338,E:E,I338)</f>
        <v>0</v>
      </c>
    </row>
    <row r="339" spans="1:14" x14ac:dyDescent="0.3">
      <c r="A339" s="7" t="s">
        <v>93</v>
      </c>
      <c r="B339" s="7" t="s">
        <v>94</v>
      </c>
      <c r="C339" s="7" t="s">
        <v>60</v>
      </c>
      <c r="D339" s="8">
        <v>45380</v>
      </c>
      <c r="E339" s="8" t="str">
        <f t="shared" si="19"/>
        <v>March</v>
      </c>
      <c r="F339">
        <f t="shared" si="20"/>
        <v>2024</v>
      </c>
      <c r="G339">
        <f t="shared" si="21"/>
        <v>1</v>
      </c>
      <c r="H339">
        <f t="shared" si="22"/>
        <v>0</v>
      </c>
      <c r="I339" s="6">
        <v>0.3923611111111111</v>
      </c>
      <c r="J339" s="6">
        <v>0.81458333333333333</v>
      </c>
      <c r="K339" s="7" t="s">
        <v>13</v>
      </c>
      <c r="L339" s="7" t="s">
        <v>27</v>
      </c>
      <c r="M339" s="7" t="s">
        <v>21</v>
      </c>
      <c r="N339" s="7">
        <f>COUNTIFS(A:A,A339,D:D,D339,E:E,I339)</f>
        <v>0</v>
      </c>
    </row>
    <row r="340" spans="1:14" x14ac:dyDescent="0.3">
      <c r="A340" s="7" t="s">
        <v>134</v>
      </c>
      <c r="B340" s="7" t="s">
        <v>135</v>
      </c>
      <c r="C340" s="7" t="s">
        <v>60</v>
      </c>
      <c r="D340" s="8">
        <v>45351</v>
      </c>
      <c r="E340" s="8" t="str">
        <f t="shared" si="19"/>
        <v>February</v>
      </c>
      <c r="F340">
        <f t="shared" si="20"/>
        <v>2024</v>
      </c>
      <c r="G340">
        <f t="shared" si="21"/>
        <v>1</v>
      </c>
      <c r="H340">
        <f t="shared" si="22"/>
        <v>0</v>
      </c>
      <c r="I340" s="6">
        <v>0.34930555555555554</v>
      </c>
      <c r="J340" s="6">
        <v>0.81319444444444444</v>
      </c>
      <c r="K340" s="7" t="s">
        <v>13</v>
      </c>
      <c r="L340" s="7" t="s">
        <v>14</v>
      </c>
      <c r="M340" s="7" t="s">
        <v>15</v>
      </c>
      <c r="N340" s="7">
        <f>COUNTIFS(A:A,A340,D:D,D340,E:E,I340)</f>
        <v>0</v>
      </c>
    </row>
    <row r="341" spans="1:14" x14ac:dyDescent="0.3">
      <c r="A341" s="7" t="s">
        <v>90</v>
      </c>
      <c r="B341" s="7" t="s">
        <v>91</v>
      </c>
      <c r="C341" s="7" t="s">
        <v>64</v>
      </c>
      <c r="D341" s="8">
        <v>45347</v>
      </c>
      <c r="E341" s="8" t="str">
        <f t="shared" si="19"/>
        <v>February</v>
      </c>
      <c r="F341">
        <f t="shared" si="20"/>
        <v>2024</v>
      </c>
      <c r="G341">
        <f t="shared" si="21"/>
        <v>1</v>
      </c>
      <c r="H341">
        <f t="shared" si="22"/>
        <v>0</v>
      </c>
      <c r="I341" s="6">
        <v>0.37638888888888888</v>
      </c>
      <c r="J341" s="6">
        <v>0.82777777777777772</v>
      </c>
      <c r="K341" s="7" t="s">
        <v>20</v>
      </c>
      <c r="L341" s="7" t="s">
        <v>14</v>
      </c>
      <c r="M341" s="7" t="s">
        <v>15</v>
      </c>
      <c r="N341" s="7">
        <f>COUNTIFS(A:A,A341,D:D,D341,E:E,I341)</f>
        <v>0</v>
      </c>
    </row>
    <row r="342" spans="1:14" x14ac:dyDescent="0.3">
      <c r="A342" s="7" t="s">
        <v>75</v>
      </c>
      <c r="B342" s="7" t="s">
        <v>76</v>
      </c>
      <c r="C342" s="7" t="s">
        <v>60</v>
      </c>
      <c r="D342" s="8">
        <v>45318</v>
      </c>
      <c r="E342" s="8" t="str">
        <f t="shared" si="19"/>
        <v>January</v>
      </c>
      <c r="F342">
        <f t="shared" si="20"/>
        <v>2024</v>
      </c>
      <c r="G342">
        <f t="shared" si="21"/>
        <v>1</v>
      </c>
      <c r="H342">
        <f t="shared" si="22"/>
        <v>0</v>
      </c>
      <c r="I342" s="6">
        <v>0.40069444444444446</v>
      </c>
      <c r="J342" s="6">
        <v>0.73611111111111116</v>
      </c>
      <c r="K342" s="7" t="s">
        <v>20</v>
      </c>
      <c r="L342" s="7" t="s">
        <v>14</v>
      </c>
      <c r="M342" s="7" t="s">
        <v>15</v>
      </c>
      <c r="N342" s="7">
        <f>COUNTIFS(A:A,A342,D:D,D342,E:E,I342)</f>
        <v>0</v>
      </c>
    </row>
    <row r="343" spans="1:14" x14ac:dyDescent="0.3">
      <c r="A343" s="7" t="s">
        <v>171</v>
      </c>
      <c r="B343" s="7" t="s">
        <v>172</v>
      </c>
      <c r="C343" s="7" t="s">
        <v>64</v>
      </c>
      <c r="D343" s="8">
        <v>45373</v>
      </c>
      <c r="E343" s="8" t="str">
        <f t="shared" si="19"/>
        <v>March</v>
      </c>
      <c r="F343">
        <f t="shared" si="20"/>
        <v>2024</v>
      </c>
      <c r="G343">
        <f t="shared" si="21"/>
        <v>0</v>
      </c>
      <c r="H343">
        <f t="shared" si="22"/>
        <v>0</v>
      </c>
      <c r="I343" s="6"/>
      <c r="J343" s="6"/>
      <c r="K343" s="7" t="s">
        <v>44</v>
      </c>
      <c r="L343" s="7" t="s">
        <v>14</v>
      </c>
      <c r="M343" s="7" t="s">
        <v>21</v>
      </c>
      <c r="N343" s="7">
        <f>COUNTIFS(A:A,A343,D:D,D343,E:E,I343)</f>
        <v>0</v>
      </c>
    </row>
    <row r="344" spans="1:14" x14ac:dyDescent="0.3">
      <c r="A344" s="7" t="s">
        <v>16</v>
      </c>
      <c r="B344" s="7" t="s">
        <v>17</v>
      </c>
      <c r="C344" s="7" t="s">
        <v>42</v>
      </c>
      <c r="D344" s="8">
        <v>45414</v>
      </c>
      <c r="E344" s="8" t="str">
        <f t="shared" si="19"/>
        <v>May</v>
      </c>
      <c r="F344">
        <f t="shared" si="20"/>
        <v>2024</v>
      </c>
      <c r="G344">
        <f t="shared" si="21"/>
        <v>1</v>
      </c>
      <c r="H344">
        <f t="shared" si="22"/>
        <v>0</v>
      </c>
      <c r="I344" s="6">
        <v>0.47152777777777777</v>
      </c>
      <c r="J344" s="6">
        <v>0.68333333333333335</v>
      </c>
      <c r="K344" s="7" t="s">
        <v>20</v>
      </c>
      <c r="L344" s="7" t="s">
        <v>14</v>
      </c>
      <c r="M344" s="7" t="s">
        <v>21</v>
      </c>
      <c r="N344" s="7">
        <f>COUNTIFS(A:A,A344,D:D,D344,E:E,I344)</f>
        <v>0</v>
      </c>
    </row>
    <row r="345" spans="1:14" x14ac:dyDescent="0.3">
      <c r="A345" s="7" t="s">
        <v>48</v>
      </c>
      <c r="B345" s="7" t="s">
        <v>49</v>
      </c>
      <c r="C345" s="7" t="s">
        <v>425</v>
      </c>
      <c r="D345" s="8">
        <v>45313</v>
      </c>
      <c r="E345" s="8" t="str">
        <f t="shared" si="19"/>
        <v>January</v>
      </c>
      <c r="F345">
        <f t="shared" si="20"/>
        <v>2024</v>
      </c>
      <c r="G345">
        <f t="shared" si="21"/>
        <v>1</v>
      </c>
      <c r="H345">
        <f t="shared" si="22"/>
        <v>1</v>
      </c>
      <c r="I345" s="6">
        <v>0.43263888888888891</v>
      </c>
      <c r="J345" s="6">
        <v>0.86736111111111114</v>
      </c>
      <c r="K345" s="7" t="s">
        <v>26</v>
      </c>
      <c r="L345" s="7" t="s">
        <v>27</v>
      </c>
      <c r="M345" s="7" t="s">
        <v>21</v>
      </c>
      <c r="N345" s="7">
        <f>COUNTIFS(A:A,A345,D:D,D345,E:E,I345)</f>
        <v>0</v>
      </c>
    </row>
    <row r="346" spans="1:14" x14ac:dyDescent="0.3">
      <c r="A346" s="7" t="s">
        <v>28</v>
      </c>
      <c r="B346" s="7" t="s">
        <v>29</v>
      </c>
      <c r="C346" s="7" t="s">
        <v>64</v>
      </c>
      <c r="D346" s="8">
        <v>45305</v>
      </c>
      <c r="E346" s="8" t="str">
        <f t="shared" si="19"/>
        <v>January</v>
      </c>
      <c r="F346">
        <f t="shared" si="20"/>
        <v>2024</v>
      </c>
      <c r="G346">
        <f t="shared" si="21"/>
        <v>0</v>
      </c>
      <c r="H346">
        <f t="shared" si="22"/>
        <v>0</v>
      </c>
      <c r="I346" s="6"/>
      <c r="J346" s="6"/>
      <c r="K346" s="7" t="s">
        <v>44</v>
      </c>
      <c r="L346" s="7" t="s">
        <v>14</v>
      </c>
      <c r="M346" s="7" t="s">
        <v>21</v>
      </c>
      <c r="N346" s="7">
        <f>COUNTIFS(A:A,A346,D:D,D346,E:E,I346)</f>
        <v>0</v>
      </c>
    </row>
    <row r="347" spans="1:14" x14ac:dyDescent="0.3">
      <c r="A347" s="7" t="s">
        <v>99</v>
      </c>
      <c r="B347" s="7" t="s">
        <v>100</v>
      </c>
      <c r="C347" s="7" t="s">
        <v>60</v>
      </c>
      <c r="D347" s="8">
        <v>45368</v>
      </c>
      <c r="E347" s="8" t="str">
        <f t="shared" si="19"/>
        <v>March</v>
      </c>
      <c r="F347">
        <f t="shared" si="20"/>
        <v>2024</v>
      </c>
      <c r="G347">
        <f t="shared" si="21"/>
        <v>0</v>
      </c>
      <c r="H347">
        <f t="shared" si="22"/>
        <v>0</v>
      </c>
      <c r="I347" s="6"/>
      <c r="J347" s="6"/>
      <c r="K347" s="7" t="s">
        <v>44</v>
      </c>
      <c r="L347" s="7" t="s">
        <v>14</v>
      </c>
      <c r="M347" s="7" t="s">
        <v>21</v>
      </c>
      <c r="N347" s="7">
        <f>COUNTIFS(A:A,A347,D:D,D347,E:E,I347)</f>
        <v>0</v>
      </c>
    </row>
    <row r="348" spans="1:14" x14ac:dyDescent="0.3">
      <c r="A348" s="7" t="s">
        <v>78</v>
      </c>
      <c r="B348" s="7" t="s">
        <v>79</v>
      </c>
      <c r="C348" s="7" t="s">
        <v>42</v>
      </c>
      <c r="D348" s="8">
        <v>45566</v>
      </c>
      <c r="E348" s="8" t="str">
        <f t="shared" si="19"/>
        <v>October</v>
      </c>
      <c r="F348">
        <f t="shared" si="20"/>
        <v>2024</v>
      </c>
      <c r="G348">
        <f t="shared" si="21"/>
        <v>1</v>
      </c>
      <c r="H348">
        <f t="shared" si="22"/>
        <v>1</v>
      </c>
      <c r="I348" s="6">
        <v>0.48194444444444445</v>
      </c>
      <c r="J348" s="6">
        <v>0.74444444444444446</v>
      </c>
      <c r="K348" s="7" t="s">
        <v>26</v>
      </c>
      <c r="L348" s="7" t="s">
        <v>14</v>
      </c>
      <c r="M348" s="7" t="s">
        <v>21</v>
      </c>
      <c r="N348" s="7">
        <f>COUNTIFS(A:A,A348,D:D,D348,E:E,I348)</f>
        <v>0</v>
      </c>
    </row>
    <row r="349" spans="1:14" x14ac:dyDescent="0.3">
      <c r="A349" s="7" t="s">
        <v>99</v>
      </c>
      <c r="B349" s="7" t="s">
        <v>100</v>
      </c>
      <c r="C349" s="7" t="s">
        <v>60</v>
      </c>
      <c r="D349" s="8">
        <v>45304</v>
      </c>
      <c r="E349" s="8" t="str">
        <f t="shared" si="19"/>
        <v>January</v>
      </c>
      <c r="F349">
        <f t="shared" si="20"/>
        <v>2024</v>
      </c>
      <c r="G349">
        <f t="shared" si="21"/>
        <v>1</v>
      </c>
      <c r="H349">
        <f t="shared" si="22"/>
        <v>1</v>
      </c>
      <c r="I349" s="6">
        <v>0.42083333333333334</v>
      </c>
      <c r="J349" s="6">
        <v>0.81180555555555556</v>
      </c>
      <c r="K349" s="7" t="s">
        <v>26</v>
      </c>
      <c r="L349" s="7" t="s">
        <v>27</v>
      </c>
      <c r="M349" s="7" t="s">
        <v>21</v>
      </c>
      <c r="N349" s="7">
        <f>COUNTIFS(A:A,A349,D:D,D349,E:E,I349)</f>
        <v>0</v>
      </c>
    </row>
    <row r="350" spans="1:14" x14ac:dyDescent="0.3">
      <c r="A350" s="7" t="s">
        <v>134</v>
      </c>
      <c r="B350" s="7" t="s">
        <v>135</v>
      </c>
      <c r="C350" s="7" t="s">
        <v>425</v>
      </c>
      <c r="D350" s="8">
        <v>45366</v>
      </c>
      <c r="E350" s="8" t="str">
        <f t="shared" si="19"/>
        <v>March</v>
      </c>
      <c r="F350">
        <f t="shared" si="20"/>
        <v>2024</v>
      </c>
      <c r="G350">
        <f t="shared" si="21"/>
        <v>0</v>
      </c>
      <c r="H350">
        <f t="shared" si="22"/>
        <v>0</v>
      </c>
      <c r="I350" s="6"/>
      <c r="J350" s="6"/>
      <c r="K350" s="7" t="s">
        <v>44</v>
      </c>
      <c r="L350" s="7" t="s">
        <v>27</v>
      </c>
      <c r="M350" s="7" t="s">
        <v>21</v>
      </c>
      <c r="N350" s="7">
        <f>COUNTIFS(A:A,A350,D:D,D350,E:E,I350)</f>
        <v>0</v>
      </c>
    </row>
    <row r="351" spans="1:14" x14ac:dyDescent="0.3">
      <c r="A351" s="7" t="s">
        <v>109</v>
      </c>
      <c r="B351" s="7" t="s">
        <v>110</v>
      </c>
      <c r="C351" s="7" t="s">
        <v>426</v>
      </c>
      <c r="D351" s="8">
        <v>45344</v>
      </c>
      <c r="E351" s="8" t="str">
        <f t="shared" si="19"/>
        <v>February</v>
      </c>
      <c r="F351">
        <f t="shared" si="20"/>
        <v>2024</v>
      </c>
      <c r="G351">
        <f t="shared" si="21"/>
        <v>1</v>
      </c>
      <c r="H351">
        <f t="shared" si="22"/>
        <v>0</v>
      </c>
      <c r="I351" s="6">
        <v>0.42986111111111114</v>
      </c>
      <c r="J351" s="6">
        <v>0.81388888888888888</v>
      </c>
      <c r="K351" s="7" t="s">
        <v>13</v>
      </c>
      <c r="L351" s="7" t="s">
        <v>14</v>
      </c>
      <c r="M351" s="7" t="s">
        <v>21</v>
      </c>
      <c r="N351" s="7">
        <f>COUNTIFS(A:A,A351,D:D,D351,E:E,I351)</f>
        <v>0</v>
      </c>
    </row>
    <row r="352" spans="1:14" x14ac:dyDescent="0.3">
      <c r="A352" s="7" t="s">
        <v>171</v>
      </c>
      <c r="B352" s="7" t="s">
        <v>172</v>
      </c>
      <c r="C352" s="7" t="s">
        <v>426</v>
      </c>
      <c r="D352" s="8">
        <v>45346</v>
      </c>
      <c r="E352" s="8" t="str">
        <f t="shared" si="19"/>
        <v>February</v>
      </c>
      <c r="F352">
        <f t="shared" si="20"/>
        <v>2024</v>
      </c>
      <c r="G352">
        <f t="shared" si="21"/>
        <v>0</v>
      </c>
      <c r="H352">
        <f t="shared" si="22"/>
        <v>0</v>
      </c>
      <c r="I352" s="6"/>
      <c r="J352" s="6"/>
      <c r="K352" s="7" t="s">
        <v>44</v>
      </c>
      <c r="L352" s="7" t="s">
        <v>14</v>
      </c>
      <c r="M352" s="7" t="s">
        <v>21</v>
      </c>
      <c r="N352" s="7">
        <f>COUNTIFS(A:A,A352,D:D,D352,E:E,I352)</f>
        <v>0</v>
      </c>
    </row>
    <row r="353" spans="1:14" x14ac:dyDescent="0.3">
      <c r="A353" s="7" t="s">
        <v>338</v>
      </c>
      <c r="B353" s="7" t="s">
        <v>339</v>
      </c>
      <c r="C353" s="7" t="s">
        <v>425</v>
      </c>
      <c r="D353" s="8">
        <v>45369</v>
      </c>
      <c r="E353" s="8" t="str">
        <f t="shared" si="19"/>
        <v>March</v>
      </c>
      <c r="F353">
        <f t="shared" si="20"/>
        <v>2024</v>
      </c>
      <c r="G353">
        <f t="shared" si="21"/>
        <v>1</v>
      </c>
      <c r="H353">
        <f t="shared" si="22"/>
        <v>1</v>
      </c>
      <c r="I353" s="6">
        <v>0.3347222222222222</v>
      </c>
      <c r="J353" s="6">
        <v>0.75347222222222221</v>
      </c>
      <c r="K353" s="7" t="s">
        <v>26</v>
      </c>
      <c r="L353" s="7" t="s">
        <v>14</v>
      </c>
      <c r="M353" s="7" t="s">
        <v>15</v>
      </c>
      <c r="N353" s="7">
        <f>COUNTIFS(A:A,A353,D:D,D353,E:E,I353)</f>
        <v>0</v>
      </c>
    </row>
    <row r="354" spans="1:14" x14ac:dyDescent="0.3">
      <c r="A354" s="7" t="s">
        <v>146</v>
      </c>
      <c r="B354" s="7" t="s">
        <v>147</v>
      </c>
      <c r="C354" s="7" t="s">
        <v>42</v>
      </c>
      <c r="D354" s="8">
        <v>45345</v>
      </c>
      <c r="E354" s="8" t="str">
        <f t="shared" si="19"/>
        <v>February</v>
      </c>
      <c r="F354">
        <f t="shared" si="20"/>
        <v>2024</v>
      </c>
      <c r="G354">
        <f t="shared" si="21"/>
        <v>1</v>
      </c>
      <c r="H354">
        <f t="shared" si="22"/>
        <v>1</v>
      </c>
      <c r="I354" s="6">
        <v>0.44236111111111109</v>
      </c>
      <c r="J354" s="6">
        <v>0.80208333333333337</v>
      </c>
      <c r="K354" s="7" t="s">
        <v>26</v>
      </c>
      <c r="L354" s="7" t="s">
        <v>14</v>
      </c>
      <c r="M354" s="7" t="s">
        <v>15</v>
      </c>
      <c r="N354" s="7">
        <f>COUNTIFS(A:A,A354,D:D,D354,E:E,I354)</f>
        <v>0</v>
      </c>
    </row>
    <row r="355" spans="1:14" x14ac:dyDescent="0.3">
      <c r="A355" s="7" t="s">
        <v>130</v>
      </c>
      <c r="B355" s="7" t="s">
        <v>131</v>
      </c>
      <c r="C355" s="7" t="s">
        <v>64</v>
      </c>
      <c r="D355" s="8">
        <v>45381</v>
      </c>
      <c r="E355" s="8" t="str">
        <f t="shared" si="19"/>
        <v>March</v>
      </c>
      <c r="F355">
        <f t="shared" si="20"/>
        <v>2024</v>
      </c>
      <c r="G355">
        <f t="shared" si="21"/>
        <v>1</v>
      </c>
      <c r="H355">
        <f t="shared" si="22"/>
        <v>0</v>
      </c>
      <c r="I355" s="6">
        <v>0.4236111111111111</v>
      </c>
      <c r="J355" s="6">
        <v>0.78680555555555554</v>
      </c>
      <c r="K355" s="7" t="s">
        <v>13</v>
      </c>
      <c r="L355" s="7" t="s">
        <v>27</v>
      </c>
      <c r="M355" s="7" t="s">
        <v>15</v>
      </c>
      <c r="N355" s="7">
        <f>COUNTIFS(A:A,A355,D:D,D355,E:E,I355)</f>
        <v>0</v>
      </c>
    </row>
    <row r="356" spans="1:14" x14ac:dyDescent="0.3">
      <c r="A356" s="7" t="s">
        <v>16</v>
      </c>
      <c r="B356" s="7" t="s">
        <v>17</v>
      </c>
      <c r="C356" s="7" t="s">
        <v>60</v>
      </c>
      <c r="D356" s="8">
        <v>45354</v>
      </c>
      <c r="E356" s="8" t="str">
        <f t="shared" si="19"/>
        <v>March</v>
      </c>
      <c r="F356">
        <f t="shared" si="20"/>
        <v>2024</v>
      </c>
      <c r="G356">
        <f t="shared" si="21"/>
        <v>1</v>
      </c>
      <c r="H356">
        <f t="shared" si="22"/>
        <v>0</v>
      </c>
      <c r="I356" s="6">
        <v>0.41666666666666669</v>
      </c>
      <c r="J356" s="6">
        <v>0.79722222222222228</v>
      </c>
      <c r="K356" s="7" t="s">
        <v>20</v>
      </c>
      <c r="L356" s="7" t="s">
        <v>27</v>
      </c>
      <c r="M356" s="7" t="s">
        <v>15</v>
      </c>
      <c r="N356" s="7">
        <f>COUNTIFS(A:A,A356,D:D,D356,E:E,I356)</f>
        <v>0</v>
      </c>
    </row>
    <row r="357" spans="1:14" x14ac:dyDescent="0.3">
      <c r="A357" s="7" t="s">
        <v>34</v>
      </c>
      <c r="B357" s="7" t="s">
        <v>35</v>
      </c>
      <c r="C357" s="7" t="s">
        <v>425</v>
      </c>
      <c r="D357" s="8">
        <v>45301</v>
      </c>
      <c r="E357" s="8" t="str">
        <f t="shared" si="19"/>
        <v>January</v>
      </c>
      <c r="F357">
        <f t="shared" si="20"/>
        <v>2024</v>
      </c>
      <c r="G357">
        <f t="shared" si="21"/>
        <v>1</v>
      </c>
      <c r="H357">
        <f t="shared" si="22"/>
        <v>0</v>
      </c>
      <c r="I357" s="6">
        <v>0.41666666666666669</v>
      </c>
      <c r="J357" s="6">
        <v>0.8569444444444444</v>
      </c>
      <c r="K357" s="7" t="s">
        <v>13</v>
      </c>
      <c r="L357" s="7" t="s">
        <v>14</v>
      </c>
      <c r="M357" s="7" t="s">
        <v>15</v>
      </c>
      <c r="N357" s="7">
        <f>COUNTIFS(A:A,A357,D:D,D357,E:E,I357)</f>
        <v>0</v>
      </c>
    </row>
    <row r="358" spans="1:14" x14ac:dyDescent="0.3">
      <c r="A358" s="7" t="s">
        <v>224</v>
      </c>
      <c r="B358" s="7" t="s">
        <v>225</v>
      </c>
      <c r="C358" s="7" t="s">
        <v>64</v>
      </c>
      <c r="D358" s="8">
        <v>45507</v>
      </c>
      <c r="E358" s="8" t="str">
        <f t="shared" si="19"/>
        <v>August</v>
      </c>
      <c r="F358">
        <f t="shared" si="20"/>
        <v>2024</v>
      </c>
      <c r="G358">
        <f t="shared" si="21"/>
        <v>0</v>
      </c>
      <c r="H358">
        <f t="shared" si="22"/>
        <v>0</v>
      </c>
      <c r="I358" s="6"/>
      <c r="J358" s="6"/>
      <c r="K358" s="7" t="s">
        <v>44</v>
      </c>
      <c r="L358" s="7" t="s">
        <v>27</v>
      </c>
      <c r="M358" s="7" t="s">
        <v>21</v>
      </c>
      <c r="N358" s="7">
        <f>COUNTIFS(A:A,A358,D:D,D358,E:E,I358)</f>
        <v>0</v>
      </c>
    </row>
    <row r="359" spans="1:14" x14ac:dyDescent="0.3">
      <c r="A359" s="7" t="s">
        <v>197</v>
      </c>
      <c r="B359" s="7" t="s">
        <v>198</v>
      </c>
      <c r="C359" s="7" t="s">
        <v>42</v>
      </c>
      <c r="D359" s="8">
        <v>45313</v>
      </c>
      <c r="E359" s="8" t="str">
        <f t="shared" si="19"/>
        <v>January</v>
      </c>
      <c r="F359">
        <f t="shared" si="20"/>
        <v>2024</v>
      </c>
      <c r="G359">
        <f t="shared" si="21"/>
        <v>0</v>
      </c>
      <c r="H359">
        <f t="shared" si="22"/>
        <v>0</v>
      </c>
      <c r="I359" s="6"/>
      <c r="J359" s="6"/>
      <c r="K359" s="7" t="s">
        <v>44</v>
      </c>
      <c r="L359" s="7" t="s">
        <v>14</v>
      </c>
      <c r="M359" s="7" t="s">
        <v>21</v>
      </c>
      <c r="N359" s="7">
        <f>COUNTIFS(A:A,A359,D:D,D359,E:E,I359)</f>
        <v>0</v>
      </c>
    </row>
    <row r="360" spans="1:14" x14ac:dyDescent="0.3">
      <c r="A360" s="7" t="s">
        <v>66</v>
      </c>
      <c r="B360" s="7" t="s">
        <v>67</v>
      </c>
      <c r="C360" s="7" t="s">
        <v>425</v>
      </c>
      <c r="D360" s="8">
        <v>45314</v>
      </c>
      <c r="E360" s="8" t="str">
        <f t="shared" si="19"/>
        <v>January</v>
      </c>
      <c r="F360">
        <f t="shared" si="20"/>
        <v>2024</v>
      </c>
      <c r="G360">
        <f t="shared" si="21"/>
        <v>1</v>
      </c>
      <c r="H360">
        <f t="shared" si="22"/>
        <v>1</v>
      </c>
      <c r="I360" s="6">
        <v>0.46736111111111112</v>
      </c>
      <c r="J360" s="6">
        <v>0.72222222222222221</v>
      </c>
      <c r="K360" s="7" t="s">
        <v>26</v>
      </c>
      <c r="L360" s="7" t="s">
        <v>27</v>
      </c>
      <c r="M360" s="7" t="s">
        <v>21</v>
      </c>
      <c r="N360" s="7">
        <f>COUNTIFS(A:A,A360,D:D,D360,E:E,I360)</f>
        <v>0</v>
      </c>
    </row>
    <row r="361" spans="1:14" x14ac:dyDescent="0.3">
      <c r="A361" s="7" t="s">
        <v>269</v>
      </c>
      <c r="B361" s="7" t="s">
        <v>270</v>
      </c>
      <c r="C361" s="7" t="s">
        <v>42</v>
      </c>
      <c r="D361" s="8">
        <v>45321</v>
      </c>
      <c r="E361" s="8" t="str">
        <f t="shared" si="19"/>
        <v>January</v>
      </c>
      <c r="F361">
        <f t="shared" si="20"/>
        <v>2024</v>
      </c>
      <c r="G361">
        <f t="shared" si="21"/>
        <v>1</v>
      </c>
      <c r="H361">
        <f t="shared" si="22"/>
        <v>1</v>
      </c>
      <c r="I361" s="6">
        <v>0.49513888888888891</v>
      </c>
      <c r="J361" s="6">
        <v>0.85763888888888884</v>
      </c>
      <c r="K361" s="7" t="s">
        <v>26</v>
      </c>
      <c r="L361" s="7" t="s">
        <v>14</v>
      </c>
      <c r="M361" s="7" t="s">
        <v>15</v>
      </c>
      <c r="N361" s="7">
        <f>COUNTIFS(A:A,A361,D:D,D361,E:E,I361)</f>
        <v>0</v>
      </c>
    </row>
    <row r="362" spans="1:14" x14ac:dyDescent="0.3">
      <c r="A362" s="7" t="s">
        <v>58</v>
      </c>
      <c r="B362" s="7" t="s">
        <v>59</v>
      </c>
      <c r="C362" s="7" t="s">
        <v>60</v>
      </c>
      <c r="D362" s="8">
        <v>45368</v>
      </c>
      <c r="E362" s="8" t="str">
        <f t="shared" si="19"/>
        <v>March</v>
      </c>
      <c r="F362">
        <f t="shared" si="20"/>
        <v>2024</v>
      </c>
      <c r="G362">
        <f t="shared" si="21"/>
        <v>1</v>
      </c>
      <c r="H362">
        <f t="shared" si="22"/>
        <v>1</v>
      </c>
      <c r="I362" s="6">
        <v>0.46388888888888891</v>
      </c>
      <c r="J362" s="6">
        <v>0.74791666666666667</v>
      </c>
      <c r="K362" s="7" t="s">
        <v>26</v>
      </c>
      <c r="L362" s="7" t="s">
        <v>27</v>
      </c>
      <c r="M362" s="7" t="s">
        <v>21</v>
      </c>
      <c r="N362" s="7">
        <f>COUNTIFS(A:A,A362,D:D,D362,E:E,I362)</f>
        <v>0</v>
      </c>
    </row>
    <row r="363" spans="1:14" x14ac:dyDescent="0.3">
      <c r="A363" s="7" t="s">
        <v>16</v>
      </c>
      <c r="B363" s="7" t="s">
        <v>17</v>
      </c>
      <c r="C363" s="7" t="s">
        <v>60</v>
      </c>
      <c r="D363" s="8">
        <v>45366</v>
      </c>
      <c r="E363" s="8" t="str">
        <f t="shared" si="19"/>
        <v>March</v>
      </c>
      <c r="F363">
        <f t="shared" si="20"/>
        <v>2024</v>
      </c>
      <c r="G363">
        <f t="shared" si="21"/>
        <v>1</v>
      </c>
      <c r="H363">
        <f t="shared" si="22"/>
        <v>1</v>
      </c>
      <c r="I363" s="6">
        <v>0.44791666666666669</v>
      </c>
      <c r="J363" s="6">
        <v>0.72152777777777777</v>
      </c>
      <c r="K363" s="7" t="s">
        <v>26</v>
      </c>
      <c r="L363" s="7" t="s">
        <v>14</v>
      </c>
      <c r="M363" s="7" t="s">
        <v>15</v>
      </c>
      <c r="N363" s="7">
        <f>COUNTIFS(A:A,A363,D:D,D363,E:E,I363)</f>
        <v>0</v>
      </c>
    </row>
    <row r="364" spans="1:14" x14ac:dyDescent="0.3">
      <c r="A364" s="7" t="s">
        <v>115</v>
      </c>
      <c r="B364" s="7" t="s">
        <v>116</v>
      </c>
      <c r="C364" s="7" t="s">
        <v>60</v>
      </c>
      <c r="D364" s="8">
        <v>45312</v>
      </c>
      <c r="E364" s="8" t="str">
        <f t="shared" si="19"/>
        <v>January</v>
      </c>
      <c r="F364">
        <f t="shared" si="20"/>
        <v>2024</v>
      </c>
      <c r="G364">
        <f t="shared" si="21"/>
        <v>0</v>
      </c>
      <c r="H364">
        <f t="shared" si="22"/>
        <v>0</v>
      </c>
      <c r="I364" s="6"/>
      <c r="J364" s="6"/>
      <c r="K364" s="7" t="s">
        <v>44</v>
      </c>
      <c r="L364" s="7" t="s">
        <v>14</v>
      </c>
      <c r="M364" s="7" t="s">
        <v>15</v>
      </c>
      <c r="N364" s="7">
        <f>COUNTIFS(A:A,A364,D:D,D364,E:E,I364)</f>
        <v>0</v>
      </c>
    </row>
    <row r="365" spans="1:14" x14ac:dyDescent="0.3">
      <c r="A365" s="7" t="s">
        <v>165</v>
      </c>
      <c r="B365" s="7" t="s">
        <v>166</v>
      </c>
      <c r="C365" s="7" t="s">
        <v>64</v>
      </c>
      <c r="D365" s="8">
        <v>45371</v>
      </c>
      <c r="E365" s="8" t="str">
        <f t="shared" si="19"/>
        <v>March</v>
      </c>
      <c r="F365">
        <f t="shared" si="20"/>
        <v>2024</v>
      </c>
      <c r="G365">
        <f t="shared" si="21"/>
        <v>0</v>
      </c>
      <c r="H365">
        <f t="shared" si="22"/>
        <v>0</v>
      </c>
      <c r="I365" s="6"/>
      <c r="J365" s="6"/>
      <c r="K365" s="7" t="s">
        <v>44</v>
      </c>
      <c r="L365" s="7" t="s">
        <v>14</v>
      </c>
      <c r="M365" s="7" t="s">
        <v>21</v>
      </c>
      <c r="N365" s="7">
        <f>COUNTIFS(A:A,A365,D:D,D365,E:E,I365)</f>
        <v>0</v>
      </c>
    </row>
    <row r="366" spans="1:14" x14ac:dyDescent="0.3">
      <c r="A366" s="7" t="s">
        <v>87</v>
      </c>
      <c r="B366" s="7" t="s">
        <v>88</v>
      </c>
      <c r="C366" s="7" t="s">
        <v>64</v>
      </c>
      <c r="D366" s="8">
        <v>45345</v>
      </c>
      <c r="E366" s="8" t="str">
        <f t="shared" si="19"/>
        <v>February</v>
      </c>
      <c r="F366">
        <f t="shared" si="20"/>
        <v>2024</v>
      </c>
      <c r="G366">
        <f t="shared" si="21"/>
        <v>1</v>
      </c>
      <c r="H366">
        <f t="shared" si="22"/>
        <v>0</v>
      </c>
      <c r="I366" s="6">
        <v>0.40277777777777779</v>
      </c>
      <c r="J366" s="6">
        <v>0.82638888888888884</v>
      </c>
      <c r="K366" s="7" t="s">
        <v>20</v>
      </c>
      <c r="L366" s="7" t="s">
        <v>27</v>
      </c>
      <c r="M366" s="7" t="s">
        <v>15</v>
      </c>
      <c r="N366" s="7">
        <f>COUNTIFS(A:A,A366,D:D,D366,E:E,I366)</f>
        <v>0</v>
      </c>
    </row>
    <row r="367" spans="1:14" x14ac:dyDescent="0.3">
      <c r="A367" s="7" t="s">
        <v>109</v>
      </c>
      <c r="B367" s="7" t="s">
        <v>110</v>
      </c>
      <c r="C367" s="7" t="s">
        <v>425</v>
      </c>
      <c r="D367" s="8">
        <v>45383</v>
      </c>
      <c r="E367" s="8" t="str">
        <f t="shared" si="19"/>
        <v>April</v>
      </c>
      <c r="F367">
        <f t="shared" si="20"/>
        <v>2024</v>
      </c>
      <c r="G367">
        <f t="shared" si="21"/>
        <v>0</v>
      </c>
      <c r="H367">
        <f t="shared" si="22"/>
        <v>0</v>
      </c>
      <c r="I367" s="6"/>
      <c r="J367" s="6"/>
      <c r="K367" s="7" t="s">
        <v>44</v>
      </c>
      <c r="L367" s="7" t="s">
        <v>27</v>
      </c>
      <c r="M367" s="7" t="s">
        <v>21</v>
      </c>
      <c r="N367" s="7">
        <f>COUNTIFS(A:A,A367,D:D,D367,E:E,I367)</f>
        <v>0</v>
      </c>
    </row>
    <row r="368" spans="1:14" x14ac:dyDescent="0.3">
      <c r="A368" s="7" t="s">
        <v>75</v>
      </c>
      <c r="B368" s="7" t="s">
        <v>76</v>
      </c>
      <c r="C368" s="7" t="s">
        <v>60</v>
      </c>
      <c r="D368" s="8">
        <v>45379</v>
      </c>
      <c r="E368" s="8" t="str">
        <f t="shared" si="19"/>
        <v>March</v>
      </c>
      <c r="F368">
        <f t="shared" si="20"/>
        <v>2024</v>
      </c>
      <c r="G368">
        <f t="shared" si="21"/>
        <v>1</v>
      </c>
      <c r="H368">
        <f t="shared" si="22"/>
        <v>1</v>
      </c>
      <c r="I368" s="6">
        <v>0.42430555555555555</v>
      </c>
      <c r="J368" s="6">
        <v>0.75972222222222219</v>
      </c>
      <c r="K368" s="7" t="s">
        <v>26</v>
      </c>
      <c r="L368" s="7" t="s">
        <v>14</v>
      </c>
      <c r="M368" s="7" t="s">
        <v>21</v>
      </c>
      <c r="N368" s="7">
        <f>COUNTIFS(A:A,A368,D:D,D368,E:E,I368)</f>
        <v>0</v>
      </c>
    </row>
    <row r="369" spans="1:14" x14ac:dyDescent="0.3">
      <c r="A369" s="7" t="s">
        <v>138</v>
      </c>
      <c r="B369" s="7" t="s">
        <v>139</v>
      </c>
      <c r="C369" s="7" t="s">
        <v>42</v>
      </c>
      <c r="D369" s="8">
        <v>45308</v>
      </c>
      <c r="E369" s="8" t="str">
        <f t="shared" si="19"/>
        <v>January</v>
      </c>
      <c r="F369">
        <f t="shared" si="20"/>
        <v>2024</v>
      </c>
      <c r="G369">
        <f t="shared" si="21"/>
        <v>0</v>
      </c>
      <c r="H369">
        <f t="shared" si="22"/>
        <v>0</v>
      </c>
      <c r="I369" s="6"/>
      <c r="J369" s="6"/>
      <c r="K369" s="7" t="s">
        <v>44</v>
      </c>
      <c r="L369" s="7" t="s">
        <v>14</v>
      </c>
      <c r="M369" s="7" t="s">
        <v>21</v>
      </c>
      <c r="N369" s="7">
        <f>COUNTIFS(A:A,A369,D:D,D369,E:E,I369)</f>
        <v>0</v>
      </c>
    </row>
    <row r="370" spans="1:14" x14ac:dyDescent="0.3">
      <c r="A370" s="7" t="s">
        <v>9</v>
      </c>
      <c r="B370" s="7" t="s">
        <v>10</v>
      </c>
      <c r="C370" s="7" t="s">
        <v>60</v>
      </c>
      <c r="D370" s="8">
        <v>45536</v>
      </c>
      <c r="E370" s="8" t="str">
        <f t="shared" si="19"/>
        <v>September</v>
      </c>
      <c r="F370">
        <f t="shared" si="20"/>
        <v>2024</v>
      </c>
      <c r="G370">
        <f t="shared" si="21"/>
        <v>1</v>
      </c>
      <c r="H370">
        <f t="shared" si="22"/>
        <v>1</v>
      </c>
      <c r="I370" s="6">
        <v>0.46111111111111114</v>
      </c>
      <c r="J370" s="6">
        <v>0.76111111111111107</v>
      </c>
      <c r="K370" s="7" t="s">
        <v>26</v>
      </c>
      <c r="L370" s="7" t="s">
        <v>27</v>
      </c>
      <c r="M370" s="7" t="s">
        <v>21</v>
      </c>
      <c r="N370" s="7">
        <f>COUNTIFS(A:A,A370,D:D,D370,E:E,I370)</f>
        <v>0</v>
      </c>
    </row>
    <row r="371" spans="1:14" x14ac:dyDescent="0.3">
      <c r="A371" s="7" t="s">
        <v>72</v>
      </c>
      <c r="B371" s="7" t="s">
        <v>73</v>
      </c>
      <c r="C371" s="7" t="s">
        <v>425</v>
      </c>
      <c r="D371" s="8">
        <v>45294</v>
      </c>
      <c r="E371" s="8" t="str">
        <f t="shared" si="19"/>
        <v>January</v>
      </c>
      <c r="F371">
        <f t="shared" si="20"/>
        <v>2024</v>
      </c>
      <c r="G371">
        <f t="shared" si="21"/>
        <v>0</v>
      </c>
      <c r="H371">
        <f t="shared" si="22"/>
        <v>0</v>
      </c>
      <c r="I371" s="6"/>
      <c r="J371" s="6"/>
      <c r="K371" s="7" t="s">
        <v>44</v>
      </c>
      <c r="L371" s="7" t="s">
        <v>27</v>
      </c>
      <c r="M371" s="7" t="s">
        <v>21</v>
      </c>
      <c r="N371" s="7">
        <f>COUNTIFS(A:A,A371,D:D,D371,E:E,I371)</f>
        <v>0</v>
      </c>
    </row>
    <row r="372" spans="1:14" x14ac:dyDescent="0.3">
      <c r="A372" s="7" t="s">
        <v>187</v>
      </c>
      <c r="B372" s="7" t="s">
        <v>188</v>
      </c>
      <c r="C372" s="7" t="s">
        <v>64</v>
      </c>
      <c r="D372" s="8">
        <v>45566</v>
      </c>
      <c r="E372" s="8" t="str">
        <f t="shared" si="19"/>
        <v>October</v>
      </c>
      <c r="F372">
        <f t="shared" si="20"/>
        <v>2024</v>
      </c>
      <c r="G372">
        <f t="shared" si="21"/>
        <v>0</v>
      </c>
      <c r="H372">
        <f t="shared" si="22"/>
        <v>0</v>
      </c>
      <c r="I372" s="6"/>
      <c r="J372" s="6"/>
      <c r="K372" s="7" t="s">
        <v>44</v>
      </c>
      <c r="L372" s="7" t="s">
        <v>14</v>
      </c>
      <c r="M372" s="7" t="s">
        <v>21</v>
      </c>
      <c r="N372" s="7">
        <f>COUNTIFS(A:A,A372,D:D,D372,E:E,I372)</f>
        <v>0</v>
      </c>
    </row>
    <row r="373" spans="1:14" x14ac:dyDescent="0.3">
      <c r="A373" s="7" t="s">
        <v>213</v>
      </c>
      <c r="B373" s="7" t="s">
        <v>214</v>
      </c>
      <c r="C373" s="7" t="s">
        <v>64</v>
      </c>
      <c r="D373" s="8">
        <v>45340</v>
      </c>
      <c r="E373" s="8" t="str">
        <f t="shared" si="19"/>
        <v>February</v>
      </c>
      <c r="F373">
        <f t="shared" si="20"/>
        <v>2024</v>
      </c>
      <c r="G373">
        <f t="shared" si="21"/>
        <v>1</v>
      </c>
      <c r="H373">
        <f t="shared" si="22"/>
        <v>0</v>
      </c>
      <c r="I373" s="6">
        <v>0.36041666666666666</v>
      </c>
      <c r="J373" s="6">
        <v>0.75555555555555554</v>
      </c>
      <c r="K373" s="7" t="s">
        <v>20</v>
      </c>
      <c r="L373" s="7" t="s">
        <v>14</v>
      </c>
      <c r="M373" s="7" t="s">
        <v>21</v>
      </c>
      <c r="N373" s="7">
        <f>COUNTIFS(A:A,A373,D:D,D373,E:E,I373)</f>
        <v>0</v>
      </c>
    </row>
    <row r="374" spans="1:14" x14ac:dyDescent="0.3">
      <c r="A374" s="7" t="s">
        <v>236</v>
      </c>
      <c r="B374" s="7" t="s">
        <v>237</v>
      </c>
      <c r="C374" s="7" t="s">
        <v>425</v>
      </c>
      <c r="D374" s="8">
        <v>45332</v>
      </c>
      <c r="E374" s="8" t="str">
        <f t="shared" si="19"/>
        <v>February</v>
      </c>
      <c r="F374">
        <f t="shared" si="20"/>
        <v>2024</v>
      </c>
      <c r="G374">
        <f t="shared" si="21"/>
        <v>1</v>
      </c>
      <c r="H374">
        <f t="shared" si="22"/>
        <v>1</v>
      </c>
      <c r="I374" s="6">
        <v>0.36527777777777776</v>
      </c>
      <c r="J374" s="6">
        <v>0.87361111111111112</v>
      </c>
      <c r="K374" s="7" t="s">
        <v>26</v>
      </c>
      <c r="L374" s="7" t="s">
        <v>14</v>
      </c>
      <c r="M374" s="7" t="s">
        <v>15</v>
      </c>
      <c r="N374" s="7">
        <f>COUNTIFS(A:A,A374,D:D,D374,E:E,I374)</f>
        <v>0</v>
      </c>
    </row>
    <row r="375" spans="1:14" x14ac:dyDescent="0.3">
      <c r="A375" s="7" t="s">
        <v>96</v>
      </c>
      <c r="B375" s="7" t="s">
        <v>97</v>
      </c>
      <c r="C375" s="7" t="s">
        <v>64</v>
      </c>
      <c r="D375" s="8">
        <v>45627</v>
      </c>
      <c r="E375" s="8" t="str">
        <f t="shared" si="19"/>
        <v>December</v>
      </c>
      <c r="F375">
        <f t="shared" si="20"/>
        <v>2024</v>
      </c>
      <c r="G375">
        <f t="shared" si="21"/>
        <v>1</v>
      </c>
      <c r="H375">
        <f t="shared" si="22"/>
        <v>1</v>
      </c>
      <c r="I375" s="6">
        <v>0.36944444444444446</v>
      </c>
      <c r="J375" s="6">
        <v>0.73611111111111116</v>
      </c>
      <c r="K375" s="7" t="s">
        <v>26</v>
      </c>
      <c r="L375" s="7" t="s">
        <v>14</v>
      </c>
      <c r="M375" s="7" t="s">
        <v>15</v>
      </c>
      <c r="N375" s="7">
        <f>COUNTIFS(A:A,A375,D:D,D375,E:E,I375)</f>
        <v>0</v>
      </c>
    </row>
    <row r="376" spans="1:14" x14ac:dyDescent="0.3">
      <c r="A376" s="7" t="s">
        <v>236</v>
      </c>
      <c r="B376" s="7" t="s">
        <v>237</v>
      </c>
      <c r="C376" s="7" t="s">
        <v>60</v>
      </c>
      <c r="D376" s="8">
        <v>45352</v>
      </c>
      <c r="E376" s="8" t="str">
        <f t="shared" si="19"/>
        <v>March</v>
      </c>
      <c r="F376">
        <f t="shared" si="20"/>
        <v>2024</v>
      </c>
      <c r="G376">
        <f t="shared" si="21"/>
        <v>1</v>
      </c>
      <c r="H376">
        <f t="shared" si="22"/>
        <v>0</v>
      </c>
      <c r="I376" s="6">
        <v>0.45277777777777778</v>
      </c>
      <c r="J376" s="6">
        <v>0.83611111111111114</v>
      </c>
      <c r="K376" s="7" t="s">
        <v>13</v>
      </c>
      <c r="L376" s="7" t="s">
        <v>14</v>
      </c>
      <c r="M376" s="7" t="s">
        <v>15</v>
      </c>
      <c r="N376" s="7">
        <f>COUNTIFS(A:A,A376,D:D,D376,E:E,I376)</f>
        <v>0</v>
      </c>
    </row>
    <row r="377" spans="1:14" x14ac:dyDescent="0.3">
      <c r="A377" s="7" t="s">
        <v>45</v>
      </c>
      <c r="B377" s="7" t="s">
        <v>46</v>
      </c>
      <c r="C377" s="7" t="s">
        <v>64</v>
      </c>
      <c r="D377" s="8">
        <v>45343</v>
      </c>
      <c r="E377" s="8" t="str">
        <f t="shared" si="19"/>
        <v>February</v>
      </c>
      <c r="F377">
        <f t="shared" si="20"/>
        <v>2024</v>
      </c>
      <c r="G377">
        <f t="shared" si="21"/>
        <v>1</v>
      </c>
      <c r="H377">
        <f t="shared" si="22"/>
        <v>0</v>
      </c>
      <c r="I377" s="6">
        <v>0.42083333333333334</v>
      </c>
      <c r="J377" s="6">
        <v>0.68472222222222223</v>
      </c>
      <c r="K377" s="7" t="s">
        <v>13</v>
      </c>
      <c r="L377" s="7" t="s">
        <v>27</v>
      </c>
      <c r="M377" s="7" t="s">
        <v>15</v>
      </c>
      <c r="N377" s="7">
        <f>COUNTIFS(A:A,A377,D:D,D377,E:E,I377)</f>
        <v>0</v>
      </c>
    </row>
    <row r="378" spans="1:14" x14ac:dyDescent="0.3">
      <c r="A378" s="7" t="s">
        <v>246</v>
      </c>
      <c r="B378" s="7" t="s">
        <v>247</v>
      </c>
      <c r="C378" s="7" t="s">
        <v>426</v>
      </c>
      <c r="D378" s="8">
        <v>45316</v>
      </c>
      <c r="E378" s="8" t="str">
        <f t="shared" si="19"/>
        <v>January</v>
      </c>
      <c r="F378">
        <f t="shared" si="20"/>
        <v>2024</v>
      </c>
      <c r="G378">
        <f t="shared" si="21"/>
        <v>1</v>
      </c>
      <c r="H378">
        <f t="shared" si="22"/>
        <v>1</v>
      </c>
      <c r="I378" s="6">
        <v>0.38680555555555557</v>
      </c>
      <c r="J378" s="6">
        <v>0.74097222222222225</v>
      </c>
      <c r="K378" s="7" t="s">
        <v>26</v>
      </c>
      <c r="L378" s="7" t="s">
        <v>27</v>
      </c>
      <c r="M378" s="7" t="s">
        <v>21</v>
      </c>
      <c r="N378" s="7">
        <f>COUNTIFS(A:A,A378,D:D,D378,E:E,I378)</f>
        <v>0</v>
      </c>
    </row>
    <row r="379" spans="1:14" x14ac:dyDescent="0.3">
      <c r="A379" s="7" t="s">
        <v>175</v>
      </c>
      <c r="B379" s="7" t="s">
        <v>176</v>
      </c>
      <c r="C379" s="7" t="s">
        <v>426</v>
      </c>
      <c r="D379" s="8">
        <v>45367</v>
      </c>
      <c r="E379" s="8" t="str">
        <f t="shared" si="19"/>
        <v>March</v>
      </c>
      <c r="F379">
        <f t="shared" si="20"/>
        <v>2024</v>
      </c>
      <c r="G379">
        <f t="shared" si="21"/>
        <v>1</v>
      </c>
      <c r="H379">
        <f t="shared" si="22"/>
        <v>1</v>
      </c>
      <c r="I379" s="6">
        <v>0.37291666666666667</v>
      </c>
      <c r="J379" s="6">
        <v>0.67708333333333337</v>
      </c>
      <c r="K379" s="7" t="s">
        <v>26</v>
      </c>
      <c r="L379" s="7" t="s">
        <v>27</v>
      </c>
      <c r="M379" s="7" t="s">
        <v>21</v>
      </c>
      <c r="N379" s="7">
        <f>COUNTIFS(A:A,A379,D:D,D379,E:E,I379)</f>
        <v>0</v>
      </c>
    </row>
    <row r="380" spans="1:14" x14ac:dyDescent="0.3">
      <c r="A380" s="7" t="s">
        <v>9</v>
      </c>
      <c r="B380" s="7" t="s">
        <v>10</v>
      </c>
      <c r="C380" s="7" t="s">
        <v>60</v>
      </c>
      <c r="D380" s="8">
        <v>45340</v>
      </c>
      <c r="E380" s="8" t="str">
        <f t="shared" si="19"/>
        <v>February</v>
      </c>
      <c r="F380">
        <f t="shared" si="20"/>
        <v>2024</v>
      </c>
      <c r="G380">
        <f t="shared" si="21"/>
        <v>1</v>
      </c>
      <c r="H380">
        <f t="shared" si="22"/>
        <v>0</v>
      </c>
      <c r="I380" s="6">
        <v>0.41666666666666669</v>
      </c>
      <c r="J380" s="6">
        <v>0.7319444444444444</v>
      </c>
      <c r="K380" s="7" t="s">
        <v>20</v>
      </c>
      <c r="L380" s="7" t="s">
        <v>14</v>
      </c>
      <c r="M380" s="7" t="s">
        <v>21</v>
      </c>
      <c r="N380" s="7">
        <f>COUNTIFS(A:A,A380,D:D,D380,E:E,I380)</f>
        <v>0</v>
      </c>
    </row>
    <row r="381" spans="1:14" x14ac:dyDescent="0.3">
      <c r="A381" s="7" t="s">
        <v>157</v>
      </c>
      <c r="B381" s="7" t="s">
        <v>158</v>
      </c>
      <c r="C381" s="7" t="s">
        <v>425</v>
      </c>
      <c r="D381" s="8">
        <v>45446</v>
      </c>
      <c r="E381" s="8" t="str">
        <f t="shared" si="19"/>
        <v>June</v>
      </c>
      <c r="F381">
        <f t="shared" si="20"/>
        <v>2024</v>
      </c>
      <c r="G381">
        <f t="shared" si="21"/>
        <v>1</v>
      </c>
      <c r="H381">
        <f t="shared" si="22"/>
        <v>0</v>
      </c>
      <c r="I381" s="6">
        <v>0.35069444444444442</v>
      </c>
      <c r="J381" s="6">
        <v>0.77152777777777781</v>
      </c>
      <c r="K381" s="7" t="s">
        <v>13</v>
      </c>
      <c r="L381" s="7" t="s">
        <v>14</v>
      </c>
      <c r="M381" s="7" t="s">
        <v>15</v>
      </c>
      <c r="N381" s="7">
        <f>COUNTIFS(A:A,A381,D:D,D381,E:E,I381)</f>
        <v>0</v>
      </c>
    </row>
    <row r="382" spans="1:14" x14ac:dyDescent="0.3">
      <c r="A382" s="7" t="s">
        <v>112</v>
      </c>
      <c r="B382" s="7" t="s">
        <v>113</v>
      </c>
      <c r="C382" s="7" t="s">
        <v>425</v>
      </c>
      <c r="D382" s="8">
        <v>45325</v>
      </c>
      <c r="E382" s="8" t="str">
        <f t="shared" si="19"/>
        <v>February</v>
      </c>
      <c r="F382">
        <f t="shared" si="20"/>
        <v>2024</v>
      </c>
      <c r="G382">
        <f t="shared" si="21"/>
        <v>1</v>
      </c>
      <c r="H382">
        <f t="shared" si="22"/>
        <v>0</v>
      </c>
      <c r="I382" s="6">
        <v>0.49722222222222223</v>
      </c>
      <c r="J382" s="6">
        <v>0.84027777777777779</v>
      </c>
      <c r="K382" s="7" t="s">
        <v>13</v>
      </c>
      <c r="L382" s="7" t="s">
        <v>14</v>
      </c>
      <c r="M382" s="7" t="s">
        <v>21</v>
      </c>
      <c r="N382" s="7">
        <f>COUNTIFS(A:A,A382,D:D,D382,E:E,I382)</f>
        <v>0</v>
      </c>
    </row>
    <row r="383" spans="1:14" x14ac:dyDescent="0.3">
      <c r="A383" s="7" t="s">
        <v>291</v>
      </c>
      <c r="B383" s="7" t="s">
        <v>292</v>
      </c>
      <c r="C383" s="7" t="s">
        <v>42</v>
      </c>
      <c r="D383" s="8">
        <v>45314</v>
      </c>
      <c r="E383" s="8" t="str">
        <f t="shared" si="19"/>
        <v>January</v>
      </c>
      <c r="F383">
        <f t="shared" si="20"/>
        <v>2024</v>
      </c>
      <c r="G383">
        <f t="shared" si="21"/>
        <v>1</v>
      </c>
      <c r="H383">
        <f t="shared" si="22"/>
        <v>0</v>
      </c>
      <c r="I383" s="6">
        <v>0.34930555555555554</v>
      </c>
      <c r="J383" s="6">
        <v>0.79722222222222228</v>
      </c>
      <c r="K383" s="7" t="s">
        <v>20</v>
      </c>
      <c r="L383" s="7" t="s">
        <v>27</v>
      </c>
      <c r="M383" s="7" t="s">
        <v>15</v>
      </c>
      <c r="N383" s="7">
        <f>COUNTIFS(A:A,A383,D:D,D383,E:E,I383)</f>
        <v>0</v>
      </c>
    </row>
    <row r="384" spans="1:14" x14ac:dyDescent="0.3">
      <c r="A384" s="7" t="s">
        <v>99</v>
      </c>
      <c r="B384" s="7" t="s">
        <v>100</v>
      </c>
      <c r="C384" s="7" t="s">
        <v>42</v>
      </c>
      <c r="D384" s="8">
        <v>45306</v>
      </c>
      <c r="E384" s="8" t="str">
        <f t="shared" si="19"/>
        <v>January</v>
      </c>
      <c r="F384">
        <f t="shared" si="20"/>
        <v>2024</v>
      </c>
      <c r="G384">
        <f t="shared" si="21"/>
        <v>1</v>
      </c>
      <c r="H384">
        <f t="shared" si="22"/>
        <v>0</v>
      </c>
      <c r="I384" s="6">
        <v>0.34930555555555554</v>
      </c>
      <c r="J384" s="6">
        <v>0.77638888888888891</v>
      </c>
      <c r="K384" s="7" t="s">
        <v>13</v>
      </c>
      <c r="L384" s="7" t="s">
        <v>27</v>
      </c>
      <c r="M384" s="7" t="s">
        <v>15</v>
      </c>
      <c r="N384" s="7">
        <f>COUNTIFS(A:A,A384,D:D,D384,E:E,I384)</f>
        <v>0</v>
      </c>
    </row>
    <row r="385" spans="1:14" x14ac:dyDescent="0.3">
      <c r="A385" s="7" t="s">
        <v>93</v>
      </c>
      <c r="B385" s="7" t="s">
        <v>94</v>
      </c>
      <c r="C385" s="7" t="s">
        <v>42</v>
      </c>
      <c r="D385" s="8">
        <v>45344</v>
      </c>
      <c r="E385" s="8" t="str">
        <f t="shared" si="19"/>
        <v>February</v>
      </c>
      <c r="F385">
        <f t="shared" si="20"/>
        <v>2024</v>
      </c>
      <c r="G385">
        <f t="shared" si="21"/>
        <v>0</v>
      </c>
      <c r="H385">
        <f t="shared" si="22"/>
        <v>0</v>
      </c>
      <c r="I385" s="6"/>
      <c r="J385" s="6"/>
      <c r="K385" s="7" t="s">
        <v>44</v>
      </c>
      <c r="L385" s="7" t="s">
        <v>27</v>
      </c>
      <c r="M385" s="7" t="s">
        <v>15</v>
      </c>
      <c r="N385" s="7">
        <f>COUNTIFS(A:A,A385,D:D,D385,E:E,I385)</f>
        <v>0</v>
      </c>
    </row>
    <row r="386" spans="1:14" x14ac:dyDescent="0.3">
      <c r="A386" s="7" t="s">
        <v>99</v>
      </c>
      <c r="B386" s="7" t="s">
        <v>100</v>
      </c>
      <c r="C386" s="7" t="s">
        <v>64</v>
      </c>
      <c r="D386" s="8">
        <v>45353</v>
      </c>
      <c r="E386" s="8" t="str">
        <f t="shared" ref="E386:E449" si="23">TEXT(D386,"mmmm")</f>
        <v>March</v>
      </c>
      <c r="F386">
        <f t="shared" ref="F386:F449" si="24">YEAR(D386)</f>
        <v>2024</v>
      </c>
      <c r="G386">
        <f t="shared" ref="G386:G449" si="25">IF(LOWER(K386)="absent",0,1)</f>
        <v>1</v>
      </c>
      <c r="H386">
        <f t="shared" ref="H386:H449" si="26">IF(K386="Late",1,0)</f>
        <v>0</v>
      </c>
      <c r="I386" s="6">
        <v>0.47986111111111113</v>
      </c>
      <c r="J386" s="6">
        <v>0.77916666666666667</v>
      </c>
      <c r="K386" s="7" t="s">
        <v>13</v>
      </c>
      <c r="L386" s="7" t="s">
        <v>14</v>
      </c>
      <c r="M386" s="7" t="s">
        <v>15</v>
      </c>
      <c r="N386" s="7">
        <f>COUNTIFS(A:A,A386,D:D,D386,E:E,I386)</f>
        <v>0</v>
      </c>
    </row>
    <row r="387" spans="1:14" x14ac:dyDescent="0.3">
      <c r="A387" s="7" t="s">
        <v>81</v>
      </c>
      <c r="B387" s="7" t="s">
        <v>82</v>
      </c>
      <c r="C387" s="7" t="s">
        <v>60</v>
      </c>
      <c r="D387" s="8">
        <v>45303</v>
      </c>
      <c r="E387" s="8" t="str">
        <f t="shared" si="23"/>
        <v>January</v>
      </c>
      <c r="F387">
        <f t="shared" si="24"/>
        <v>2024</v>
      </c>
      <c r="G387">
        <f t="shared" si="25"/>
        <v>1</v>
      </c>
      <c r="H387">
        <f t="shared" si="26"/>
        <v>0</v>
      </c>
      <c r="I387" s="6">
        <v>0.3611111111111111</v>
      </c>
      <c r="J387" s="6">
        <v>0.84652777777777777</v>
      </c>
      <c r="K387" s="7" t="s">
        <v>13</v>
      </c>
      <c r="L387" s="7" t="s">
        <v>27</v>
      </c>
      <c r="M387" s="7" t="s">
        <v>21</v>
      </c>
      <c r="N387" s="7">
        <f>COUNTIFS(A:A,A387,D:D,D387,E:E,I387)</f>
        <v>0</v>
      </c>
    </row>
    <row r="388" spans="1:14" x14ac:dyDescent="0.3">
      <c r="A388" s="7" t="s">
        <v>134</v>
      </c>
      <c r="B388" s="7" t="s">
        <v>135</v>
      </c>
      <c r="C388" s="7" t="s">
        <v>64</v>
      </c>
      <c r="D388" s="8">
        <v>45374</v>
      </c>
      <c r="E388" s="8" t="str">
        <f t="shared" si="23"/>
        <v>March</v>
      </c>
      <c r="F388">
        <f t="shared" si="24"/>
        <v>2024</v>
      </c>
      <c r="G388">
        <f t="shared" si="25"/>
        <v>1</v>
      </c>
      <c r="H388">
        <f t="shared" si="26"/>
        <v>0</v>
      </c>
      <c r="I388" s="6">
        <v>0.40833333333333333</v>
      </c>
      <c r="J388" s="6">
        <v>0.69305555555555554</v>
      </c>
      <c r="K388" s="7" t="s">
        <v>13</v>
      </c>
      <c r="L388" s="7" t="s">
        <v>14</v>
      </c>
      <c r="M388" s="7" t="s">
        <v>21</v>
      </c>
      <c r="N388" s="7">
        <f>COUNTIFS(A:A,A388,D:D,D388,E:E,I388)</f>
        <v>0</v>
      </c>
    </row>
    <row r="389" spans="1:14" x14ac:dyDescent="0.3">
      <c r="A389" s="7" t="s">
        <v>187</v>
      </c>
      <c r="B389" s="7" t="s">
        <v>188</v>
      </c>
      <c r="C389" s="7" t="s">
        <v>42</v>
      </c>
      <c r="D389" s="8">
        <v>45507</v>
      </c>
      <c r="E389" s="8" t="str">
        <f t="shared" si="23"/>
        <v>August</v>
      </c>
      <c r="F389">
        <f t="shared" si="24"/>
        <v>2024</v>
      </c>
      <c r="G389">
        <f t="shared" si="25"/>
        <v>1</v>
      </c>
      <c r="H389">
        <f t="shared" si="26"/>
        <v>1</v>
      </c>
      <c r="I389" s="6">
        <v>0.41736111111111113</v>
      </c>
      <c r="J389" s="6">
        <v>0.80694444444444446</v>
      </c>
      <c r="K389" s="7" t="s">
        <v>26</v>
      </c>
      <c r="L389" s="7" t="s">
        <v>14</v>
      </c>
      <c r="M389" s="7" t="s">
        <v>21</v>
      </c>
      <c r="N389" s="7">
        <f>COUNTIFS(A:A,A389,D:D,D389,E:E,I389)</f>
        <v>0</v>
      </c>
    </row>
    <row r="390" spans="1:14" x14ac:dyDescent="0.3">
      <c r="A390" s="7" t="s">
        <v>171</v>
      </c>
      <c r="B390" s="7" t="s">
        <v>172</v>
      </c>
      <c r="C390" s="7" t="s">
        <v>60</v>
      </c>
      <c r="D390" s="8">
        <v>45312</v>
      </c>
      <c r="E390" s="8" t="str">
        <f t="shared" si="23"/>
        <v>January</v>
      </c>
      <c r="F390">
        <f t="shared" si="24"/>
        <v>2024</v>
      </c>
      <c r="G390">
        <f t="shared" si="25"/>
        <v>1</v>
      </c>
      <c r="H390">
        <f t="shared" si="26"/>
        <v>1</v>
      </c>
      <c r="I390" s="6">
        <v>0.34861111111111109</v>
      </c>
      <c r="J390" s="6">
        <v>0.74444444444444446</v>
      </c>
      <c r="K390" s="7" t="s">
        <v>26</v>
      </c>
      <c r="L390" s="7" t="s">
        <v>27</v>
      </c>
      <c r="M390" s="7" t="s">
        <v>15</v>
      </c>
      <c r="N390" s="7">
        <f>COUNTIFS(A:A,A390,D:D,D390,E:E,I390)</f>
        <v>0</v>
      </c>
    </row>
    <row r="391" spans="1:14" x14ac:dyDescent="0.3">
      <c r="A391" s="7" t="s">
        <v>250</v>
      </c>
      <c r="B391" s="7" t="s">
        <v>251</v>
      </c>
      <c r="C391" s="7" t="s">
        <v>425</v>
      </c>
      <c r="D391" s="8">
        <v>45334</v>
      </c>
      <c r="E391" s="8" t="str">
        <f t="shared" si="23"/>
        <v>February</v>
      </c>
      <c r="F391">
        <f t="shared" si="24"/>
        <v>2024</v>
      </c>
      <c r="G391">
        <f t="shared" si="25"/>
        <v>1</v>
      </c>
      <c r="H391">
        <f t="shared" si="26"/>
        <v>0</v>
      </c>
      <c r="I391" s="6">
        <v>0.36041666666666666</v>
      </c>
      <c r="J391" s="6">
        <v>0.73402777777777772</v>
      </c>
      <c r="K391" s="7" t="s">
        <v>13</v>
      </c>
      <c r="L391" s="7" t="s">
        <v>27</v>
      </c>
      <c r="M391" s="7" t="s">
        <v>21</v>
      </c>
      <c r="N391" s="7">
        <f>COUNTIFS(A:A,A391,D:D,D391,E:E,I391)</f>
        <v>0</v>
      </c>
    </row>
    <row r="392" spans="1:14" x14ac:dyDescent="0.3">
      <c r="A392" s="7" t="s">
        <v>269</v>
      </c>
      <c r="B392" s="7" t="s">
        <v>270</v>
      </c>
      <c r="C392" s="7" t="s">
        <v>64</v>
      </c>
      <c r="D392" s="8">
        <v>45374</v>
      </c>
      <c r="E392" s="8" t="str">
        <f t="shared" si="23"/>
        <v>March</v>
      </c>
      <c r="F392">
        <f t="shared" si="24"/>
        <v>2024</v>
      </c>
      <c r="G392">
        <f t="shared" si="25"/>
        <v>1</v>
      </c>
      <c r="H392">
        <f t="shared" si="26"/>
        <v>0</v>
      </c>
      <c r="I392" s="6">
        <v>0.41944444444444445</v>
      </c>
      <c r="J392" s="6">
        <v>0.67083333333333328</v>
      </c>
      <c r="K392" s="7" t="s">
        <v>20</v>
      </c>
      <c r="L392" s="7" t="s">
        <v>27</v>
      </c>
      <c r="M392" s="7" t="s">
        <v>21</v>
      </c>
      <c r="N392" s="7">
        <f>COUNTIFS(A:A,A392,D:D,D392,E:E,I392)</f>
        <v>0</v>
      </c>
    </row>
    <row r="393" spans="1:14" x14ac:dyDescent="0.3">
      <c r="A393" s="7" t="s">
        <v>146</v>
      </c>
      <c r="B393" s="7" t="s">
        <v>147</v>
      </c>
      <c r="C393" s="7" t="s">
        <v>60</v>
      </c>
      <c r="D393" s="8">
        <v>45342</v>
      </c>
      <c r="E393" s="8" t="str">
        <f t="shared" si="23"/>
        <v>February</v>
      </c>
      <c r="F393">
        <f t="shared" si="24"/>
        <v>2024</v>
      </c>
      <c r="G393">
        <f t="shared" si="25"/>
        <v>1</v>
      </c>
      <c r="H393">
        <f t="shared" si="26"/>
        <v>0</v>
      </c>
      <c r="I393" s="6">
        <v>0.42777777777777776</v>
      </c>
      <c r="J393" s="6">
        <v>0.77152777777777781</v>
      </c>
      <c r="K393" s="7" t="s">
        <v>20</v>
      </c>
      <c r="L393" s="7" t="s">
        <v>14</v>
      </c>
      <c r="M393" s="7" t="s">
        <v>21</v>
      </c>
      <c r="N393" s="7">
        <f>COUNTIFS(A:A,A393,D:D,D393,E:E,I393)</f>
        <v>0</v>
      </c>
    </row>
    <row r="394" spans="1:14" x14ac:dyDescent="0.3">
      <c r="A394" s="7" t="s">
        <v>115</v>
      </c>
      <c r="B394" s="7" t="s">
        <v>116</v>
      </c>
      <c r="C394" s="7" t="s">
        <v>42</v>
      </c>
      <c r="D394" s="8">
        <v>45316</v>
      </c>
      <c r="E394" s="8" t="str">
        <f t="shared" si="23"/>
        <v>January</v>
      </c>
      <c r="F394">
        <f t="shared" si="24"/>
        <v>2024</v>
      </c>
      <c r="G394">
        <f t="shared" si="25"/>
        <v>1</v>
      </c>
      <c r="H394">
        <f t="shared" si="26"/>
        <v>0</v>
      </c>
      <c r="I394" s="6">
        <v>0.36319444444444443</v>
      </c>
      <c r="J394" s="6">
        <v>0.81041666666666667</v>
      </c>
      <c r="K394" s="7" t="s">
        <v>20</v>
      </c>
      <c r="L394" s="7" t="s">
        <v>27</v>
      </c>
      <c r="M394" s="7" t="s">
        <v>21</v>
      </c>
      <c r="N394" s="7">
        <f>COUNTIFS(A:A,A394,D:D,D394,E:E,I394)</f>
        <v>0</v>
      </c>
    </row>
    <row r="395" spans="1:14" x14ac:dyDescent="0.3">
      <c r="A395" s="7" t="s">
        <v>115</v>
      </c>
      <c r="B395" s="7" t="s">
        <v>116</v>
      </c>
      <c r="C395" s="7" t="s">
        <v>425</v>
      </c>
      <c r="D395" s="8">
        <v>45340</v>
      </c>
      <c r="E395" s="8" t="str">
        <f t="shared" si="23"/>
        <v>February</v>
      </c>
      <c r="F395">
        <f t="shared" si="24"/>
        <v>2024</v>
      </c>
      <c r="G395">
        <f t="shared" si="25"/>
        <v>1</v>
      </c>
      <c r="H395">
        <f t="shared" si="26"/>
        <v>1</v>
      </c>
      <c r="I395" s="6">
        <v>0.35486111111111113</v>
      </c>
      <c r="J395" s="6">
        <v>0.67638888888888893</v>
      </c>
      <c r="K395" s="7" t="s">
        <v>26</v>
      </c>
      <c r="L395" s="7" t="s">
        <v>14</v>
      </c>
      <c r="M395" s="7" t="s">
        <v>15</v>
      </c>
      <c r="N395" s="7">
        <f>COUNTIFS(A:A,A395,D:D,D395,E:E,I395)</f>
        <v>0</v>
      </c>
    </row>
    <row r="396" spans="1:14" x14ac:dyDescent="0.3">
      <c r="A396" s="7" t="s">
        <v>338</v>
      </c>
      <c r="B396" s="7" t="s">
        <v>339</v>
      </c>
      <c r="C396" s="7" t="s">
        <v>42</v>
      </c>
      <c r="D396" s="8">
        <v>45384</v>
      </c>
      <c r="E396" s="8" t="str">
        <f t="shared" si="23"/>
        <v>April</v>
      </c>
      <c r="F396">
        <f t="shared" si="24"/>
        <v>2024</v>
      </c>
      <c r="G396">
        <f t="shared" si="25"/>
        <v>1</v>
      </c>
      <c r="H396">
        <f t="shared" si="26"/>
        <v>0</v>
      </c>
      <c r="I396" s="6">
        <v>0.44583333333333336</v>
      </c>
      <c r="J396" s="6">
        <v>0.7</v>
      </c>
      <c r="K396" s="7" t="s">
        <v>20</v>
      </c>
      <c r="L396" s="7" t="s">
        <v>14</v>
      </c>
      <c r="M396" s="7" t="s">
        <v>21</v>
      </c>
      <c r="N396" s="7">
        <f>COUNTIFS(A:A,A396,D:D,D396,E:E,I396)</f>
        <v>0</v>
      </c>
    </row>
    <row r="397" spans="1:14" x14ac:dyDescent="0.3">
      <c r="A397" s="7" t="s">
        <v>141</v>
      </c>
      <c r="B397" s="7" t="s">
        <v>142</v>
      </c>
      <c r="C397" s="7" t="s">
        <v>60</v>
      </c>
      <c r="D397" s="8">
        <v>45327</v>
      </c>
      <c r="E397" s="8" t="str">
        <f t="shared" si="23"/>
        <v>February</v>
      </c>
      <c r="F397">
        <f t="shared" si="24"/>
        <v>2024</v>
      </c>
      <c r="G397">
        <f t="shared" si="25"/>
        <v>1</v>
      </c>
      <c r="H397">
        <f t="shared" si="26"/>
        <v>1</v>
      </c>
      <c r="I397" s="6">
        <v>0.4</v>
      </c>
      <c r="J397" s="6">
        <v>0.77152777777777781</v>
      </c>
      <c r="K397" s="7" t="s">
        <v>26</v>
      </c>
      <c r="L397" s="7" t="s">
        <v>14</v>
      </c>
      <c r="M397" s="7" t="s">
        <v>21</v>
      </c>
      <c r="N397" s="7">
        <f>COUNTIFS(A:A,A397,D:D,D397,E:E,I397)</f>
        <v>0</v>
      </c>
    </row>
    <row r="398" spans="1:14" x14ac:dyDescent="0.3">
      <c r="A398" s="7" t="s">
        <v>37</v>
      </c>
      <c r="B398" s="7" t="s">
        <v>38</v>
      </c>
      <c r="C398" s="7" t="s">
        <v>60</v>
      </c>
      <c r="D398" s="8">
        <v>45293</v>
      </c>
      <c r="E398" s="8" t="str">
        <f t="shared" si="23"/>
        <v>January</v>
      </c>
      <c r="F398">
        <f t="shared" si="24"/>
        <v>2024</v>
      </c>
      <c r="G398">
        <f t="shared" si="25"/>
        <v>0</v>
      </c>
      <c r="H398">
        <f t="shared" si="26"/>
        <v>0</v>
      </c>
      <c r="I398" s="6"/>
      <c r="J398" s="6"/>
      <c r="K398" s="7" t="s">
        <v>44</v>
      </c>
      <c r="L398" s="7" t="s">
        <v>27</v>
      </c>
      <c r="M398" s="7" t="s">
        <v>21</v>
      </c>
      <c r="N398" s="7">
        <f>COUNTIFS(A:A,A398,D:D,D398,E:E,I398)</f>
        <v>0</v>
      </c>
    </row>
    <row r="399" spans="1:14" x14ac:dyDescent="0.3">
      <c r="A399" s="7" t="s">
        <v>78</v>
      </c>
      <c r="B399" s="7" t="s">
        <v>79</v>
      </c>
      <c r="C399" s="7" t="s">
        <v>42</v>
      </c>
      <c r="D399" s="8">
        <v>45338</v>
      </c>
      <c r="E399" s="8" t="str">
        <f t="shared" si="23"/>
        <v>February</v>
      </c>
      <c r="F399">
        <f t="shared" si="24"/>
        <v>2024</v>
      </c>
      <c r="G399">
        <f t="shared" si="25"/>
        <v>1</v>
      </c>
      <c r="H399">
        <f t="shared" si="26"/>
        <v>0</v>
      </c>
      <c r="I399" s="6">
        <v>0.35</v>
      </c>
      <c r="J399" s="6">
        <v>0.67500000000000004</v>
      </c>
      <c r="K399" s="7" t="s">
        <v>20</v>
      </c>
      <c r="L399" s="7" t="s">
        <v>27</v>
      </c>
      <c r="M399" s="7" t="s">
        <v>15</v>
      </c>
      <c r="N399" s="7">
        <f>COUNTIFS(A:A,A399,D:D,D399,E:E,I399)</f>
        <v>0</v>
      </c>
    </row>
    <row r="400" spans="1:14" x14ac:dyDescent="0.3">
      <c r="A400" s="7" t="s">
        <v>119</v>
      </c>
      <c r="B400" s="7" t="s">
        <v>120</v>
      </c>
      <c r="C400" s="7" t="s">
        <v>60</v>
      </c>
      <c r="D400" s="8">
        <v>45413</v>
      </c>
      <c r="E400" s="8" t="str">
        <f t="shared" si="23"/>
        <v>May</v>
      </c>
      <c r="F400">
        <f t="shared" si="24"/>
        <v>2024</v>
      </c>
      <c r="G400">
        <f t="shared" si="25"/>
        <v>1</v>
      </c>
      <c r="H400">
        <f t="shared" si="26"/>
        <v>0</v>
      </c>
      <c r="I400" s="6">
        <v>0.34722222222222221</v>
      </c>
      <c r="J400" s="6">
        <v>0.84513888888888888</v>
      </c>
      <c r="K400" s="7" t="s">
        <v>13</v>
      </c>
      <c r="L400" s="7" t="s">
        <v>27</v>
      </c>
      <c r="M400" s="7" t="s">
        <v>21</v>
      </c>
      <c r="N400" s="7">
        <f>COUNTIFS(A:A,A400,D:D,D400,E:E,I400)</f>
        <v>0</v>
      </c>
    </row>
    <row r="401" spans="1:14" x14ac:dyDescent="0.3">
      <c r="A401" s="7" t="s">
        <v>194</v>
      </c>
      <c r="B401" s="7" t="s">
        <v>195</v>
      </c>
      <c r="C401" s="7" t="s">
        <v>42</v>
      </c>
      <c r="D401" s="8">
        <v>45344</v>
      </c>
      <c r="E401" s="8" t="str">
        <f t="shared" si="23"/>
        <v>February</v>
      </c>
      <c r="F401">
        <f t="shared" si="24"/>
        <v>2024</v>
      </c>
      <c r="G401">
        <f t="shared" si="25"/>
        <v>0</v>
      </c>
      <c r="H401">
        <f t="shared" si="26"/>
        <v>0</v>
      </c>
      <c r="I401" s="6"/>
      <c r="J401" s="6"/>
      <c r="K401" s="7" t="s">
        <v>44</v>
      </c>
      <c r="L401" s="7" t="s">
        <v>14</v>
      </c>
      <c r="M401" s="7" t="s">
        <v>21</v>
      </c>
      <c r="N401" s="7">
        <f>COUNTIFS(A:A,A401,D:D,D401,E:E,I401)</f>
        <v>0</v>
      </c>
    </row>
    <row r="402" spans="1:14" x14ac:dyDescent="0.3">
      <c r="A402" s="7" t="s">
        <v>216</v>
      </c>
      <c r="B402" s="7" t="s">
        <v>217</v>
      </c>
      <c r="C402" s="7" t="s">
        <v>64</v>
      </c>
      <c r="D402" s="8">
        <v>45372</v>
      </c>
      <c r="E402" s="8" t="str">
        <f t="shared" si="23"/>
        <v>March</v>
      </c>
      <c r="F402">
        <f t="shared" si="24"/>
        <v>2024</v>
      </c>
      <c r="G402">
        <f t="shared" si="25"/>
        <v>1</v>
      </c>
      <c r="H402">
        <f t="shared" si="26"/>
        <v>1</v>
      </c>
      <c r="I402" s="6">
        <v>0.38263888888888886</v>
      </c>
      <c r="J402" s="6">
        <v>0.75486111111111109</v>
      </c>
      <c r="K402" s="7" t="s">
        <v>26</v>
      </c>
      <c r="L402" s="7" t="s">
        <v>27</v>
      </c>
      <c r="M402" s="7" t="s">
        <v>21</v>
      </c>
      <c r="N402" s="7">
        <f>COUNTIFS(A:A,A402,D:D,D402,E:E,I402)</f>
        <v>0</v>
      </c>
    </row>
    <row r="403" spans="1:14" x14ac:dyDescent="0.3">
      <c r="A403" s="7" t="s">
        <v>191</v>
      </c>
      <c r="B403" s="7" t="s">
        <v>192</v>
      </c>
      <c r="C403" s="7" t="s">
        <v>64</v>
      </c>
      <c r="D403" s="8">
        <v>45324</v>
      </c>
      <c r="E403" s="8" t="str">
        <f t="shared" si="23"/>
        <v>February</v>
      </c>
      <c r="F403">
        <f t="shared" si="24"/>
        <v>2024</v>
      </c>
      <c r="G403">
        <f t="shared" si="25"/>
        <v>1</v>
      </c>
      <c r="H403">
        <f t="shared" si="26"/>
        <v>0</v>
      </c>
      <c r="I403" s="6">
        <v>0.40208333333333335</v>
      </c>
      <c r="J403" s="6">
        <v>0.83680555555555558</v>
      </c>
      <c r="K403" s="7" t="s">
        <v>20</v>
      </c>
      <c r="L403" s="7" t="s">
        <v>14</v>
      </c>
      <c r="M403" s="7" t="s">
        <v>15</v>
      </c>
      <c r="N403" s="7">
        <f>COUNTIFS(A:A,A403,D:D,D403,E:E,I403)</f>
        <v>0</v>
      </c>
    </row>
    <row r="404" spans="1:14" x14ac:dyDescent="0.3">
      <c r="A404" s="7" t="s">
        <v>197</v>
      </c>
      <c r="B404" s="7" t="s">
        <v>198</v>
      </c>
      <c r="C404" s="7" t="s">
        <v>425</v>
      </c>
      <c r="D404" s="8">
        <v>45313</v>
      </c>
      <c r="E404" s="8" t="str">
        <f t="shared" si="23"/>
        <v>January</v>
      </c>
      <c r="F404">
        <f t="shared" si="24"/>
        <v>2024</v>
      </c>
      <c r="G404">
        <f t="shared" si="25"/>
        <v>0</v>
      </c>
      <c r="H404">
        <f t="shared" si="26"/>
        <v>0</v>
      </c>
      <c r="I404" s="6"/>
      <c r="J404" s="6"/>
      <c r="K404" s="7" t="s">
        <v>44</v>
      </c>
      <c r="L404" s="7" t="s">
        <v>14</v>
      </c>
      <c r="M404" s="7" t="s">
        <v>15</v>
      </c>
      <c r="N404" s="7">
        <f>COUNTIFS(A:A,A404,D:D,D404,E:E,I404)</f>
        <v>0</v>
      </c>
    </row>
    <row r="405" spans="1:14" x14ac:dyDescent="0.3">
      <c r="A405" s="7" t="s">
        <v>141</v>
      </c>
      <c r="B405" s="7" t="s">
        <v>142</v>
      </c>
      <c r="C405" s="7" t="s">
        <v>425</v>
      </c>
      <c r="D405" s="8">
        <v>45336</v>
      </c>
      <c r="E405" s="8" t="str">
        <f t="shared" si="23"/>
        <v>February</v>
      </c>
      <c r="F405">
        <f t="shared" si="24"/>
        <v>2024</v>
      </c>
      <c r="G405">
        <f t="shared" si="25"/>
        <v>1</v>
      </c>
      <c r="H405">
        <f t="shared" si="26"/>
        <v>0</v>
      </c>
      <c r="I405" s="6">
        <v>0.40625</v>
      </c>
      <c r="J405" s="6">
        <v>0.87222222222222223</v>
      </c>
      <c r="K405" s="7" t="s">
        <v>13</v>
      </c>
      <c r="L405" s="7" t="s">
        <v>27</v>
      </c>
      <c r="M405" s="7" t="s">
        <v>15</v>
      </c>
      <c r="N405" s="7">
        <f>COUNTIFS(A:A,A405,D:D,D405,E:E,I405)</f>
        <v>0</v>
      </c>
    </row>
    <row r="406" spans="1:14" x14ac:dyDescent="0.3">
      <c r="A406" s="7" t="s">
        <v>16</v>
      </c>
      <c r="B406" s="7" t="s">
        <v>17</v>
      </c>
      <c r="C406" s="7" t="s">
        <v>425</v>
      </c>
      <c r="D406" s="8">
        <v>45346</v>
      </c>
      <c r="E406" s="8" t="str">
        <f t="shared" si="23"/>
        <v>February</v>
      </c>
      <c r="F406">
        <f t="shared" si="24"/>
        <v>2024</v>
      </c>
      <c r="G406">
        <f t="shared" si="25"/>
        <v>1</v>
      </c>
      <c r="H406">
        <f t="shared" si="26"/>
        <v>0</v>
      </c>
      <c r="I406" s="6">
        <v>0.37083333333333335</v>
      </c>
      <c r="J406" s="6">
        <v>0.86527777777777781</v>
      </c>
      <c r="K406" s="7" t="s">
        <v>13</v>
      </c>
      <c r="L406" s="7" t="s">
        <v>14</v>
      </c>
      <c r="M406" s="7" t="s">
        <v>15</v>
      </c>
      <c r="N406" s="7">
        <f>COUNTIFS(A:A,A406,D:D,D406,E:E,I406)</f>
        <v>0</v>
      </c>
    </row>
    <row r="407" spans="1:14" x14ac:dyDescent="0.3">
      <c r="A407" s="7" t="s">
        <v>37</v>
      </c>
      <c r="B407" s="7" t="s">
        <v>38</v>
      </c>
      <c r="C407" s="7" t="s">
        <v>425</v>
      </c>
      <c r="D407" s="8">
        <v>45341</v>
      </c>
      <c r="E407" s="8" t="str">
        <f t="shared" si="23"/>
        <v>February</v>
      </c>
      <c r="F407">
        <f t="shared" si="24"/>
        <v>2024</v>
      </c>
      <c r="G407">
        <f t="shared" si="25"/>
        <v>1</v>
      </c>
      <c r="H407">
        <f t="shared" si="26"/>
        <v>0</v>
      </c>
      <c r="I407" s="6">
        <v>0.44305555555555554</v>
      </c>
      <c r="J407" s="6">
        <v>0.85624999999999996</v>
      </c>
      <c r="K407" s="7" t="s">
        <v>20</v>
      </c>
      <c r="L407" s="7" t="s">
        <v>27</v>
      </c>
      <c r="M407" s="7" t="s">
        <v>21</v>
      </c>
      <c r="N407" s="7">
        <f>COUNTIFS(A:A,A407,D:D,D407,E:E,I407)</f>
        <v>0</v>
      </c>
    </row>
    <row r="408" spans="1:14" x14ac:dyDescent="0.3">
      <c r="A408" s="7" t="s">
        <v>52</v>
      </c>
      <c r="B408" s="7" t="s">
        <v>53</v>
      </c>
      <c r="C408" s="7" t="s">
        <v>42</v>
      </c>
      <c r="D408" s="8">
        <v>45331</v>
      </c>
      <c r="E408" s="8" t="str">
        <f t="shared" si="23"/>
        <v>February</v>
      </c>
      <c r="F408">
        <f t="shared" si="24"/>
        <v>2024</v>
      </c>
      <c r="G408">
        <f t="shared" si="25"/>
        <v>1</v>
      </c>
      <c r="H408">
        <f t="shared" si="26"/>
        <v>0</v>
      </c>
      <c r="I408" s="6">
        <v>0.41388888888888886</v>
      </c>
      <c r="J408" s="6">
        <v>0.78472222222222221</v>
      </c>
      <c r="K408" s="7" t="s">
        <v>13</v>
      </c>
      <c r="L408" s="7" t="s">
        <v>27</v>
      </c>
      <c r="M408" s="7" t="s">
        <v>15</v>
      </c>
      <c r="N408" s="7">
        <f>COUNTIFS(A:A,A408,D:D,D408,E:E,I408)</f>
        <v>0</v>
      </c>
    </row>
    <row r="409" spans="1:14" x14ac:dyDescent="0.3">
      <c r="A409" s="7" t="s">
        <v>187</v>
      </c>
      <c r="B409" s="7" t="s">
        <v>188</v>
      </c>
      <c r="C409" s="7" t="s">
        <v>426</v>
      </c>
      <c r="D409" s="8">
        <v>45371</v>
      </c>
      <c r="E409" s="8" t="str">
        <f t="shared" si="23"/>
        <v>March</v>
      </c>
      <c r="F409">
        <f t="shared" si="24"/>
        <v>2024</v>
      </c>
      <c r="G409">
        <f t="shared" si="25"/>
        <v>1</v>
      </c>
      <c r="H409">
        <f t="shared" si="26"/>
        <v>0</v>
      </c>
      <c r="I409" s="6">
        <v>0.43333333333333335</v>
      </c>
      <c r="J409" s="6">
        <v>0.82291666666666663</v>
      </c>
      <c r="K409" s="7" t="s">
        <v>13</v>
      </c>
      <c r="L409" s="7" t="s">
        <v>27</v>
      </c>
      <c r="M409" s="7" t="s">
        <v>15</v>
      </c>
      <c r="N409" s="7">
        <f>COUNTIFS(A:A,A409,D:D,D409,E:E,I409)</f>
        <v>0</v>
      </c>
    </row>
    <row r="410" spans="1:14" x14ac:dyDescent="0.3">
      <c r="A410" s="7" t="s">
        <v>55</v>
      </c>
      <c r="B410" s="7" t="s">
        <v>56</v>
      </c>
      <c r="C410" s="7" t="s">
        <v>426</v>
      </c>
      <c r="D410" s="8">
        <v>45311</v>
      </c>
      <c r="E410" s="8" t="str">
        <f t="shared" si="23"/>
        <v>January</v>
      </c>
      <c r="F410">
        <f t="shared" si="24"/>
        <v>2024</v>
      </c>
      <c r="G410">
        <f t="shared" si="25"/>
        <v>1</v>
      </c>
      <c r="H410">
        <f t="shared" si="26"/>
        <v>0</v>
      </c>
      <c r="I410" s="6">
        <v>0.48194444444444445</v>
      </c>
      <c r="J410" s="6">
        <v>0.7729166666666667</v>
      </c>
      <c r="K410" s="7" t="s">
        <v>13</v>
      </c>
      <c r="L410" s="7" t="s">
        <v>27</v>
      </c>
      <c r="M410" s="7" t="s">
        <v>21</v>
      </c>
      <c r="N410" s="7">
        <f>COUNTIFS(A:A,A410,D:D,D410,E:E,I410)</f>
        <v>0</v>
      </c>
    </row>
    <row r="411" spans="1:14" x14ac:dyDescent="0.3">
      <c r="A411" s="7" t="s">
        <v>115</v>
      </c>
      <c r="B411" s="7" t="s">
        <v>116</v>
      </c>
      <c r="C411" s="7" t="s">
        <v>60</v>
      </c>
      <c r="D411" s="8">
        <v>45294</v>
      </c>
      <c r="E411" s="8" t="str">
        <f t="shared" si="23"/>
        <v>January</v>
      </c>
      <c r="F411">
        <f t="shared" si="24"/>
        <v>2024</v>
      </c>
      <c r="G411">
        <f t="shared" si="25"/>
        <v>0</v>
      </c>
      <c r="H411">
        <f t="shared" si="26"/>
        <v>0</v>
      </c>
      <c r="I411" s="6"/>
      <c r="J411" s="6"/>
      <c r="K411" s="7" t="s">
        <v>44</v>
      </c>
      <c r="L411" s="7" t="s">
        <v>14</v>
      </c>
      <c r="M411" s="7" t="s">
        <v>15</v>
      </c>
      <c r="N411" s="7">
        <f>COUNTIFS(A:A,A411,D:D,D411,E:E,I411)</f>
        <v>0</v>
      </c>
    </row>
    <row r="412" spans="1:14" x14ac:dyDescent="0.3">
      <c r="A412" s="7" t="s">
        <v>84</v>
      </c>
      <c r="B412" s="7" t="s">
        <v>85</v>
      </c>
      <c r="C412" s="7" t="s">
        <v>64</v>
      </c>
      <c r="D412" s="8">
        <v>45362</v>
      </c>
      <c r="E412" s="8" t="str">
        <f t="shared" si="23"/>
        <v>March</v>
      </c>
      <c r="F412">
        <f t="shared" si="24"/>
        <v>2024</v>
      </c>
      <c r="G412">
        <f t="shared" si="25"/>
        <v>1</v>
      </c>
      <c r="H412">
        <f t="shared" si="26"/>
        <v>0</v>
      </c>
      <c r="I412" s="6">
        <v>0.43958333333333333</v>
      </c>
      <c r="J412" s="6">
        <v>0.84930555555555554</v>
      </c>
      <c r="K412" s="7" t="s">
        <v>20</v>
      </c>
      <c r="L412" s="7" t="s">
        <v>14</v>
      </c>
      <c r="M412" s="7" t="s">
        <v>15</v>
      </c>
      <c r="N412" s="7">
        <f>COUNTIFS(A:A,A412,D:D,D412,E:E,I412)</f>
        <v>0</v>
      </c>
    </row>
    <row r="413" spans="1:14" x14ac:dyDescent="0.3">
      <c r="A413" s="7" t="s">
        <v>141</v>
      </c>
      <c r="B413" s="7" t="s">
        <v>142</v>
      </c>
      <c r="C413" s="7" t="s">
        <v>42</v>
      </c>
      <c r="D413" s="8">
        <v>45345</v>
      </c>
      <c r="E413" s="8" t="str">
        <f t="shared" si="23"/>
        <v>February</v>
      </c>
      <c r="F413">
        <f t="shared" si="24"/>
        <v>2024</v>
      </c>
      <c r="G413">
        <f t="shared" si="25"/>
        <v>1</v>
      </c>
      <c r="H413">
        <f t="shared" si="26"/>
        <v>0</v>
      </c>
      <c r="I413" s="6">
        <v>0.33333333333333331</v>
      </c>
      <c r="J413" s="6">
        <v>0.87361111111111112</v>
      </c>
      <c r="K413" s="7" t="s">
        <v>20</v>
      </c>
      <c r="L413" s="7" t="s">
        <v>27</v>
      </c>
      <c r="M413" s="7" t="s">
        <v>21</v>
      </c>
      <c r="N413" s="7">
        <f>COUNTIFS(A:A,A413,D:D,D413,E:E,I413)</f>
        <v>0</v>
      </c>
    </row>
    <row r="414" spans="1:14" x14ac:dyDescent="0.3">
      <c r="A414" s="7" t="s">
        <v>87</v>
      </c>
      <c r="B414" s="7" t="s">
        <v>88</v>
      </c>
      <c r="C414" s="7" t="s">
        <v>42</v>
      </c>
      <c r="D414" s="8">
        <v>45316</v>
      </c>
      <c r="E414" s="8" t="str">
        <f t="shared" si="23"/>
        <v>January</v>
      </c>
      <c r="F414">
        <f t="shared" si="24"/>
        <v>2024</v>
      </c>
      <c r="G414">
        <f t="shared" si="25"/>
        <v>1</v>
      </c>
      <c r="H414">
        <f t="shared" si="26"/>
        <v>1</v>
      </c>
      <c r="I414" s="6">
        <v>0.34583333333333333</v>
      </c>
      <c r="J414" s="6">
        <v>0.83611111111111114</v>
      </c>
      <c r="K414" s="7" t="s">
        <v>26</v>
      </c>
      <c r="L414" s="7" t="s">
        <v>14</v>
      </c>
      <c r="M414" s="7" t="s">
        <v>15</v>
      </c>
      <c r="N414" s="7">
        <f>COUNTIFS(A:A,A414,D:D,D414,E:E,I414)</f>
        <v>0</v>
      </c>
    </row>
    <row r="415" spans="1:14" x14ac:dyDescent="0.3">
      <c r="A415" s="7" t="s">
        <v>99</v>
      </c>
      <c r="B415" s="7" t="s">
        <v>100</v>
      </c>
      <c r="C415" s="7" t="s">
        <v>42</v>
      </c>
      <c r="D415" s="8">
        <v>45353</v>
      </c>
      <c r="E415" s="8" t="str">
        <f t="shared" si="23"/>
        <v>March</v>
      </c>
      <c r="F415">
        <f t="shared" si="24"/>
        <v>2024</v>
      </c>
      <c r="G415">
        <f t="shared" si="25"/>
        <v>1</v>
      </c>
      <c r="H415">
        <f t="shared" si="26"/>
        <v>1</v>
      </c>
      <c r="I415" s="6">
        <v>0.43263888888888891</v>
      </c>
      <c r="J415" s="6">
        <v>0.74513888888888891</v>
      </c>
      <c r="K415" s="7" t="s">
        <v>26</v>
      </c>
      <c r="L415" s="7" t="s">
        <v>27</v>
      </c>
      <c r="M415" s="7" t="s">
        <v>15</v>
      </c>
      <c r="N415" s="7">
        <f>COUNTIFS(A:A,A415,D:D,D415,E:E,I415)</f>
        <v>0</v>
      </c>
    </row>
    <row r="416" spans="1:14" x14ac:dyDescent="0.3">
      <c r="A416" s="7" t="s">
        <v>58</v>
      </c>
      <c r="B416" s="7" t="s">
        <v>59</v>
      </c>
      <c r="C416" s="7" t="s">
        <v>64</v>
      </c>
      <c r="D416" s="8">
        <v>45325</v>
      </c>
      <c r="E416" s="8" t="str">
        <f t="shared" si="23"/>
        <v>February</v>
      </c>
      <c r="F416">
        <f t="shared" si="24"/>
        <v>2024</v>
      </c>
      <c r="G416">
        <f t="shared" si="25"/>
        <v>0</v>
      </c>
      <c r="H416">
        <f t="shared" si="26"/>
        <v>0</v>
      </c>
      <c r="I416" s="6"/>
      <c r="J416" s="6"/>
      <c r="K416" s="7" t="s">
        <v>44</v>
      </c>
      <c r="L416" s="7" t="s">
        <v>27</v>
      </c>
      <c r="M416" s="7" t="s">
        <v>21</v>
      </c>
      <c r="N416" s="7">
        <f>COUNTIFS(A:A,A416,D:D,D416,E:E,I416)</f>
        <v>0</v>
      </c>
    </row>
    <row r="417" spans="1:14" x14ac:dyDescent="0.3">
      <c r="A417" s="7" t="s">
        <v>315</v>
      </c>
      <c r="B417" s="7" t="s">
        <v>316</v>
      </c>
      <c r="C417" s="7" t="s">
        <v>64</v>
      </c>
      <c r="D417" s="8">
        <v>45377</v>
      </c>
      <c r="E417" s="8" t="str">
        <f t="shared" si="23"/>
        <v>March</v>
      </c>
      <c r="F417">
        <f t="shared" si="24"/>
        <v>2024</v>
      </c>
      <c r="G417">
        <f t="shared" si="25"/>
        <v>1</v>
      </c>
      <c r="H417">
        <f t="shared" si="26"/>
        <v>0</v>
      </c>
      <c r="I417" s="6">
        <v>0.39930555555555558</v>
      </c>
      <c r="J417" s="6">
        <v>0.75972222222222219</v>
      </c>
      <c r="K417" s="7" t="s">
        <v>20</v>
      </c>
      <c r="L417" s="7" t="s">
        <v>27</v>
      </c>
      <c r="M417" s="7" t="s">
        <v>15</v>
      </c>
      <c r="N417" s="7">
        <f>COUNTIFS(A:A,A417,D:D,D417,E:E,I417)</f>
        <v>0</v>
      </c>
    </row>
    <row r="418" spans="1:14" x14ac:dyDescent="0.3">
      <c r="A418" s="7" t="s">
        <v>62</v>
      </c>
      <c r="B418" s="7" t="s">
        <v>63</v>
      </c>
      <c r="C418" s="7" t="s">
        <v>425</v>
      </c>
      <c r="D418" s="8">
        <v>45505</v>
      </c>
      <c r="E418" s="8" t="str">
        <f t="shared" si="23"/>
        <v>August</v>
      </c>
      <c r="F418">
        <f t="shared" si="24"/>
        <v>2024</v>
      </c>
      <c r="G418">
        <f t="shared" si="25"/>
        <v>1</v>
      </c>
      <c r="H418">
        <f t="shared" si="26"/>
        <v>1</v>
      </c>
      <c r="I418" s="6">
        <v>0.375</v>
      </c>
      <c r="J418" s="6">
        <v>0.71597222222222223</v>
      </c>
      <c r="K418" s="7" t="s">
        <v>26</v>
      </c>
      <c r="L418" s="7" t="s">
        <v>14</v>
      </c>
      <c r="M418" s="7" t="s">
        <v>15</v>
      </c>
      <c r="N418" s="7">
        <f>COUNTIFS(A:A,A418,D:D,D418,E:E,I418)</f>
        <v>0</v>
      </c>
    </row>
    <row r="419" spans="1:14" x14ac:dyDescent="0.3">
      <c r="A419" s="7" t="s">
        <v>165</v>
      </c>
      <c r="B419" s="7" t="s">
        <v>166</v>
      </c>
      <c r="C419" s="7" t="s">
        <v>60</v>
      </c>
      <c r="D419" s="8">
        <v>45319</v>
      </c>
      <c r="E419" s="8" t="str">
        <f t="shared" si="23"/>
        <v>January</v>
      </c>
      <c r="F419">
        <f t="shared" si="24"/>
        <v>2024</v>
      </c>
      <c r="G419">
        <f t="shared" si="25"/>
        <v>1</v>
      </c>
      <c r="H419">
        <f t="shared" si="26"/>
        <v>0</v>
      </c>
      <c r="I419" s="6">
        <v>0.4597222222222222</v>
      </c>
      <c r="J419" s="6">
        <v>0.81944444444444442</v>
      </c>
      <c r="K419" s="7" t="s">
        <v>20</v>
      </c>
      <c r="L419" s="7" t="s">
        <v>14</v>
      </c>
      <c r="M419" s="7" t="s">
        <v>21</v>
      </c>
      <c r="N419" s="7">
        <f>COUNTIFS(A:A,A419,D:D,D419,E:E,I419)</f>
        <v>0</v>
      </c>
    </row>
    <row r="420" spans="1:14" x14ac:dyDescent="0.3">
      <c r="A420" s="7" t="s">
        <v>130</v>
      </c>
      <c r="B420" s="7" t="s">
        <v>131</v>
      </c>
      <c r="C420" s="7" t="s">
        <v>64</v>
      </c>
      <c r="D420" s="8">
        <v>45325</v>
      </c>
      <c r="E420" s="8" t="str">
        <f t="shared" si="23"/>
        <v>February</v>
      </c>
      <c r="F420">
        <f t="shared" si="24"/>
        <v>2024</v>
      </c>
      <c r="G420">
        <f t="shared" si="25"/>
        <v>1</v>
      </c>
      <c r="H420">
        <f t="shared" si="26"/>
        <v>0</v>
      </c>
      <c r="I420" s="6">
        <v>0.36944444444444446</v>
      </c>
      <c r="J420" s="6">
        <v>0.80555555555555558</v>
      </c>
      <c r="K420" s="7" t="s">
        <v>13</v>
      </c>
      <c r="L420" s="7" t="s">
        <v>14</v>
      </c>
      <c r="M420" s="7" t="s">
        <v>15</v>
      </c>
      <c r="N420" s="7">
        <f>COUNTIFS(A:A,A420,D:D,D420,E:E,I420)</f>
        <v>0</v>
      </c>
    </row>
    <row r="421" spans="1:14" x14ac:dyDescent="0.3">
      <c r="A421" s="7" t="s">
        <v>81</v>
      </c>
      <c r="B421" s="7" t="s">
        <v>82</v>
      </c>
      <c r="C421" s="7" t="s">
        <v>42</v>
      </c>
      <c r="D421" s="8">
        <v>45369</v>
      </c>
      <c r="E421" s="8" t="str">
        <f t="shared" si="23"/>
        <v>March</v>
      </c>
      <c r="F421">
        <f t="shared" si="24"/>
        <v>2024</v>
      </c>
      <c r="G421">
        <f t="shared" si="25"/>
        <v>0</v>
      </c>
      <c r="H421">
        <f t="shared" si="26"/>
        <v>0</v>
      </c>
      <c r="I421" s="6"/>
      <c r="J421" s="6"/>
      <c r="K421" s="7" t="s">
        <v>44</v>
      </c>
      <c r="L421" s="7" t="s">
        <v>14</v>
      </c>
      <c r="M421" s="7" t="s">
        <v>15</v>
      </c>
      <c r="N421" s="7">
        <f>COUNTIFS(A:A,A421,D:D,D421,E:E,I421)</f>
        <v>0</v>
      </c>
    </row>
    <row r="422" spans="1:14" x14ac:dyDescent="0.3">
      <c r="A422" s="7" t="s">
        <v>66</v>
      </c>
      <c r="B422" s="7" t="s">
        <v>67</v>
      </c>
      <c r="C422" s="7" t="s">
        <v>64</v>
      </c>
      <c r="D422" s="8">
        <v>45414</v>
      </c>
      <c r="E422" s="8" t="str">
        <f t="shared" si="23"/>
        <v>May</v>
      </c>
      <c r="F422">
        <f t="shared" si="24"/>
        <v>2024</v>
      </c>
      <c r="G422">
        <f t="shared" si="25"/>
        <v>0</v>
      </c>
      <c r="H422">
        <f t="shared" si="26"/>
        <v>0</v>
      </c>
      <c r="I422" s="6"/>
      <c r="J422" s="6"/>
      <c r="K422" s="7" t="s">
        <v>44</v>
      </c>
      <c r="L422" s="7" t="s">
        <v>14</v>
      </c>
      <c r="M422" s="7" t="s">
        <v>15</v>
      </c>
      <c r="N422" s="7">
        <f>COUNTIFS(A:A,A422,D:D,D422,E:E,I422)</f>
        <v>0</v>
      </c>
    </row>
    <row r="423" spans="1:14" x14ac:dyDescent="0.3">
      <c r="A423" s="7" t="s">
        <v>122</v>
      </c>
      <c r="B423" s="7" t="s">
        <v>123</v>
      </c>
      <c r="C423" s="7" t="s">
        <v>426</v>
      </c>
      <c r="D423" s="8">
        <v>45356</v>
      </c>
      <c r="E423" s="8" t="str">
        <f t="shared" si="23"/>
        <v>March</v>
      </c>
      <c r="F423">
        <f t="shared" si="24"/>
        <v>2024</v>
      </c>
      <c r="G423">
        <f t="shared" si="25"/>
        <v>1</v>
      </c>
      <c r="H423">
        <f t="shared" si="26"/>
        <v>1</v>
      </c>
      <c r="I423" s="6">
        <v>0.36736111111111114</v>
      </c>
      <c r="J423" s="6">
        <v>0.67222222222222228</v>
      </c>
      <c r="K423" s="7" t="s">
        <v>26</v>
      </c>
      <c r="L423" s="7" t="s">
        <v>27</v>
      </c>
      <c r="M423" s="7" t="s">
        <v>15</v>
      </c>
      <c r="N423" s="7">
        <f>COUNTIFS(A:A,A423,D:D,D423,E:E,I423)</f>
        <v>0</v>
      </c>
    </row>
    <row r="424" spans="1:14" x14ac:dyDescent="0.3">
      <c r="A424" s="7" t="s">
        <v>78</v>
      </c>
      <c r="B424" s="7" t="s">
        <v>79</v>
      </c>
      <c r="C424" s="7" t="s">
        <v>60</v>
      </c>
      <c r="D424" s="8">
        <v>45374</v>
      </c>
      <c r="E424" s="8" t="str">
        <f t="shared" si="23"/>
        <v>March</v>
      </c>
      <c r="F424">
        <f t="shared" si="24"/>
        <v>2024</v>
      </c>
      <c r="G424">
        <f t="shared" si="25"/>
        <v>1</v>
      </c>
      <c r="H424">
        <f t="shared" si="26"/>
        <v>0</v>
      </c>
      <c r="I424" s="6">
        <v>0.38194444444444442</v>
      </c>
      <c r="J424" s="6">
        <v>0.74861111111111112</v>
      </c>
      <c r="K424" s="7" t="s">
        <v>13</v>
      </c>
      <c r="L424" s="7" t="s">
        <v>14</v>
      </c>
      <c r="M424" s="7" t="s">
        <v>15</v>
      </c>
      <c r="N424" s="7">
        <f>COUNTIFS(A:A,A424,D:D,D424,E:E,I424)</f>
        <v>0</v>
      </c>
    </row>
    <row r="425" spans="1:14" x14ac:dyDescent="0.3">
      <c r="A425" s="7" t="s">
        <v>197</v>
      </c>
      <c r="B425" s="7" t="s">
        <v>198</v>
      </c>
      <c r="C425" s="7" t="s">
        <v>42</v>
      </c>
      <c r="D425" s="8">
        <v>45370</v>
      </c>
      <c r="E425" s="8" t="str">
        <f t="shared" si="23"/>
        <v>March</v>
      </c>
      <c r="F425">
        <f t="shared" si="24"/>
        <v>2024</v>
      </c>
      <c r="G425">
        <f t="shared" si="25"/>
        <v>1</v>
      </c>
      <c r="H425">
        <f t="shared" si="26"/>
        <v>0</v>
      </c>
      <c r="I425" s="6">
        <v>0.42708333333333331</v>
      </c>
      <c r="J425" s="6">
        <v>0.79861111111111116</v>
      </c>
      <c r="K425" s="7" t="s">
        <v>13</v>
      </c>
      <c r="L425" s="7" t="s">
        <v>14</v>
      </c>
      <c r="M425" s="7" t="s">
        <v>21</v>
      </c>
      <c r="N425" s="7">
        <f>COUNTIFS(A:A,A425,D:D,D425,E:E,I425)</f>
        <v>0</v>
      </c>
    </row>
    <row r="426" spans="1:14" x14ac:dyDescent="0.3">
      <c r="A426" s="7" t="s">
        <v>22</v>
      </c>
      <c r="B426" s="7" t="s">
        <v>23</v>
      </c>
      <c r="C426" s="7" t="s">
        <v>64</v>
      </c>
      <c r="D426" s="8">
        <v>45376</v>
      </c>
      <c r="E426" s="8" t="str">
        <f t="shared" si="23"/>
        <v>March</v>
      </c>
      <c r="F426">
        <f t="shared" si="24"/>
        <v>2024</v>
      </c>
      <c r="G426">
        <f t="shared" si="25"/>
        <v>1</v>
      </c>
      <c r="H426">
        <f t="shared" si="26"/>
        <v>0</v>
      </c>
      <c r="I426" s="6">
        <v>0.37222222222222223</v>
      </c>
      <c r="J426" s="6">
        <v>0.70486111111111116</v>
      </c>
      <c r="K426" s="7" t="s">
        <v>13</v>
      </c>
      <c r="L426" s="7" t="s">
        <v>14</v>
      </c>
      <c r="M426" s="7" t="s">
        <v>21</v>
      </c>
      <c r="N426" s="7">
        <f>COUNTIFS(A:A,A426,D:D,D426,E:E,I426)</f>
        <v>0</v>
      </c>
    </row>
    <row r="427" spans="1:14" x14ac:dyDescent="0.3">
      <c r="A427" s="7" t="s">
        <v>66</v>
      </c>
      <c r="B427" s="7" t="s">
        <v>67</v>
      </c>
      <c r="C427" s="7" t="s">
        <v>60</v>
      </c>
      <c r="D427" s="8">
        <v>45340</v>
      </c>
      <c r="E427" s="8" t="str">
        <f t="shared" si="23"/>
        <v>February</v>
      </c>
      <c r="F427">
        <f t="shared" si="24"/>
        <v>2024</v>
      </c>
      <c r="G427">
        <f t="shared" si="25"/>
        <v>1</v>
      </c>
      <c r="H427">
        <f t="shared" si="26"/>
        <v>0</v>
      </c>
      <c r="I427" s="6">
        <v>0.45208333333333334</v>
      </c>
      <c r="J427" s="6">
        <v>0.7680555555555556</v>
      </c>
      <c r="K427" s="7" t="s">
        <v>13</v>
      </c>
      <c r="L427" s="7" t="s">
        <v>27</v>
      </c>
      <c r="M427" s="7" t="s">
        <v>21</v>
      </c>
      <c r="N427" s="7">
        <f>COUNTIFS(A:A,A427,D:D,D427,E:E,I427)</f>
        <v>0</v>
      </c>
    </row>
    <row r="428" spans="1:14" x14ac:dyDescent="0.3">
      <c r="A428" s="7" t="s">
        <v>362</v>
      </c>
      <c r="B428" s="7" t="s">
        <v>363</v>
      </c>
      <c r="C428" s="7" t="s">
        <v>60</v>
      </c>
      <c r="D428" s="8">
        <v>45371</v>
      </c>
      <c r="E428" s="8" t="str">
        <f t="shared" si="23"/>
        <v>March</v>
      </c>
      <c r="F428">
        <f t="shared" si="24"/>
        <v>2024</v>
      </c>
      <c r="G428">
        <f t="shared" si="25"/>
        <v>1</v>
      </c>
      <c r="H428">
        <f t="shared" si="26"/>
        <v>0</v>
      </c>
      <c r="I428" s="6">
        <v>0.36458333333333331</v>
      </c>
      <c r="J428" s="6">
        <v>0.78819444444444442</v>
      </c>
      <c r="K428" s="7" t="s">
        <v>13</v>
      </c>
      <c r="L428" s="7" t="s">
        <v>27</v>
      </c>
      <c r="M428" s="7" t="s">
        <v>15</v>
      </c>
      <c r="N428" s="7">
        <f>COUNTIFS(A:A,A428,D:D,D428,E:E,I428)</f>
        <v>0</v>
      </c>
    </row>
    <row r="429" spans="1:14" x14ac:dyDescent="0.3">
      <c r="A429" s="7" t="s">
        <v>16</v>
      </c>
      <c r="B429" s="7" t="s">
        <v>17</v>
      </c>
      <c r="C429" s="7" t="s">
        <v>426</v>
      </c>
      <c r="D429" s="8">
        <v>45377</v>
      </c>
      <c r="E429" s="8" t="str">
        <f t="shared" si="23"/>
        <v>March</v>
      </c>
      <c r="F429">
        <f t="shared" si="24"/>
        <v>2024</v>
      </c>
      <c r="G429">
        <f t="shared" si="25"/>
        <v>1</v>
      </c>
      <c r="H429">
        <f t="shared" si="26"/>
        <v>1</v>
      </c>
      <c r="I429" s="6">
        <v>0.39166666666666666</v>
      </c>
      <c r="J429" s="6">
        <v>0.67013888888888884</v>
      </c>
      <c r="K429" s="7" t="s">
        <v>26</v>
      </c>
      <c r="L429" s="7" t="s">
        <v>27</v>
      </c>
      <c r="M429" s="7" t="s">
        <v>21</v>
      </c>
      <c r="N429" s="7">
        <f>COUNTIFS(A:A,A429,D:D,D429,E:E,I429)</f>
        <v>0</v>
      </c>
    </row>
    <row r="430" spans="1:14" x14ac:dyDescent="0.3">
      <c r="A430" s="7" t="s">
        <v>52</v>
      </c>
      <c r="B430" s="7" t="s">
        <v>53</v>
      </c>
      <c r="C430" s="7" t="s">
        <v>42</v>
      </c>
      <c r="D430" s="8">
        <v>45507</v>
      </c>
      <c r="E430" s="8" t="str">
        <f t="shared" si="23"/>
        <v>August</v>
      </c>
      <c r="F430">
        <f t="shared" si="24"/>
        <v>2024</v>
      </c>
      <c r="G430">
        <f t="shared" si="25"/>
        <v>1</v>
      </c>
      <c r="H430">
        <f t="shared" si="26"/>
        <v>0</v>
      </c>
      <c r="I430" s="6">
        <v>0.36736111111111114</v>
      </c>
      <c r="J430" s="6">
        <v>0.67569444444444449</v>
      </c>
      <c r="K430" s="7" t="s">
        <v>13</v>
      </c>
      <c r="L430" s="7" t="s">
        <v>27</v>
      </c>
      <c r="M430" s="7" t="s">
        <v>21</v>
      </c>
      <c r="N430" s="7">
        <f>COUNTIFS(A:A,A430,D:D,D430,E:E,I430)</f>
        <v>0</v>
      </c>
    </row>
    <row r="431" spans="1:14" x14ac:dyDescent="0.3">
      <c r="A431" s="7" t="s">
        <v>154</v>
      </c>
      <c r="B431" s="7" t="s">
        <v>155</v>
      </c>
      <c r="C431" s="7" t="s">
        <v>426</v>
      </c>
      <c r="D431" s="8">
        <v>45506</v>
      </c>
      <c r="E431" s="8" t="str">
        <f t="shared" si="23"/>
        <v>August</v>
      </c>
      <c r="F431">
        <f t="shared" si="24"/>
        <v>2024</v>
      </c>
      <c r="G431">
        <f t="shared" si="25"/>
        <v>1</v>
      </c>
      <c r="H431">
        <f t="shared" si="26"/>
        <v>0</v>
      </c>
      <c r="I431" s="6">
        <v>0.43194444444444446</v>
      </c>
      <c r="J431" s="6">
        <v>0.66666666666666663</v>
      </c>
      <c r="K431" s="7" t="s">
        <v>20</v>
      </c>
      <c r="L431" s="7" t="s">
        <v>14</v>
      </c>
      <c r="M431" s="7" t="s">
        <v>21</v>
      </c>
      <c r="N431" s="7">
        <f>COUNTIFS(A:A,A431,D:D,D431,E:E,I431)</f>
        <v>0</v>
      </c>
    </row>
    <row r="432" spans="1:14" x14ac:dyDescent="0.3">
      <c r="A432" s="7" t="s">
        <v>338</v>
      </c>
      <c r="B432" s="7" t="s">
        <v>339</v>
      </c>
      <c r="C432" s="7" t="s">
        <v>64</v>
      </c>
      <c r="D432" s="8">
        <v>45364</v>
      </c>
      <c r="E432" s="8" t="str">
        <f t="shared" si="23"/>
        <v>March</v>
      </c>
      <c r="F432">
        <f t="shared" si="24"/>
        <v>2024</v>
      </c>
      <c r="G432">
        <f t="shared" si="25"/>
        <v>1</v>
      </c>
      <c r="H432">
        <f t="shared" si="26"/>
        <v>1</v>
      </c>
      <c r="I432" s="6">
        <v>0.47847222222222224</v>
      </c>
      <c r="J432" s="6">
        <v>0.75902777777777775</v>
      </c>
      <c r="K432" s="7" t="s">
        <v>26</v>
      </c>
      <c r="L432" s="7" t="s">
        <v>14</v>
      </c>
      <c r="M432" s="7" t="s">
        <v>15</v>
      </c>
      <c r="N432" s="7">
        <f>COUNTIFS(A:A,A432,D:D,D432,E:E,I432)</f>
        <v>0</v>
      </c>
    </row>
    <row r="433" spans="1:14" x14ac:dyDescent="0.3">
      <c r="A433" s="7" t="s">
        <v>31</v>
      </c>
      <c r="B433" s="7" t="s">
        <v>32</v>
      </c>
      <c r="C433" s="7" t="s">
        <v>60</v>
      </c>
      <c r="D433" s="8">
        <v>45350</v>
      </c>
      <c r="E433" s="8" t="str">
        <f t="shared" si="23"/>
        <v>February</v>
      </c>
      <c r="F433">
        <f t="shared" si="24"/>
        <v>2024</v>
      </c>
      <c r="G433">
        <f t="shared" si="25"/>
        <v>1</v>
      </c>
      <c r="H433">
        <f t="shared" si="26"/>
        <v>1</v>
      </c>
      <c r="I433" s="6">
        <v>0.39861111111111114</v>
      </c>
      <c r="J433" s="6">
        <v>0.71944444444444444</v>
      </c>
      <c r="K433" s="7" t="s">
        <v>26</v>
      </c>
      <c r="L433" s="7" t="s">
        <v>14</v>
      </c>
      <c r="M433" s="7" t="s">
        <v>21</v>
      </c>
      <c r="N433" s="7">
        <f>COUNTIFS(A:A,A433,D:D,D433,E:E,I433)</f>
        <v>0</v>
      </c>
    </row>
    <row r="434" spans="1:14" x14ac:dyDescent="0.3">
      <c r="A434" s="7" t="s">
        <v>62</v>
      </c>
      <c r="B434" s="7" t="s">
        <v>63</v>
      </c>
      <c r="C434" s="7" t="s">
        <v>425</v>
      </c>
      <c r="D434" s="8">
        <v>45371</v>
      </c>
      <c r="E434" s="8" t="str">
        <f t="shared" si="23"/>
        <v>March</v>
      </c>
      <c r="F434">
        <f t="shared" si="24"/>
        <v>2024</v>
      </c>
      <c r="G434">
        <f t="shared" si="25"/>
        <v>0</v>
      </c>
      <c r="H434">
        <f t="shared" si="26"/>
        <v>0</v>
      </c>
      <c r="I434" s="6"/>
      <c r="J434" s="6"/>
      <c r="K434" s="7" t="s">
        <v>44</v>
      </c>
      <c r="L434" s="7" t="s">
        <v>14</v>
      </c>
      <c r="M434" s="7" t="s">
        <v>21</v>
      </c>
      <c r="N434" s="7">
        <f>COUNTIFS(A:A,A434,D:D,D434,E:E,I434)</f>
        <v>0</v>
      </c>
    </row>
    <row r="435" spans="1:14" x14ac:dyDescent="0.3">
      <c r="A435" s="7" t="s">
        <v>75</v>
      </c>
      <c r="B435" s="7" t="s">
        <v>76</v>
      </c>
      <c r="C435" s="7" t="s">
        <v>60</v>
      </c>
      <c r="D435" s="8">
        <v>45628</v>
      </c>
      <c r="E435" s="8" t="str">
        <f t="shared" si="23"/>
        <v>December</v>
      </c>
      <c r="F435">
        <f t="shared" si="24"/>
        <v>2024</v>
      </c>
      <c r="G435">
        <f t="shared" si="25"/>
        <v>1</v>
      </c>
      <c r="H435">
        <f t="shared" si="26"/>
        <v>0</v>
      </c>
      <c r="I435" s="6">
        <v>0.36875000000000002</v>
      </c>
      <c r="J435" s="6">
        <v>0.67986111111111114</v>
      </c>
      <c r="K435" s="7" t="s">
        <v>20</v>
      </c>
      <c r="L435" s="7" t="s">
        <v>14</v>
      </c>
      <c r="M435" s="7" t="s">
        <v>21</v>
      </c>
      <c r="N435" s="7">
        <f>COUNTIFS(A:A,A435,D:D,D435,E:E,I435)</f>
        <v>0</v>
      </c>
    </row>
    <row r="436" spans="1:14" x14ac:dyDescent="0.3">
      <c r="A436" s="7" t="s">
        <v>269</v>
      </c>
      <c r="B436" s="7" t="s">
        <v>270</v>
      </c>
      <c r="C436" s="7" t="s">
        <v>64</v>
      </c>
      <c r="D436" s="8">
        <v>45362</v>
      </c>
      <c r="E436" s="8" t="str">
        <f t="shared" si="23"/>
        <v>March</v>
      </c>
      <c r="F436">
        <f t="shared" si="24"/>
        <v>2024</v>
      </c>
      <c r="G436">
        <f t="shared" si="25"/>
        <v>0</v>
      </c>
      <c r="H436">
        <f t="shared" si="26"/>
        <v>0</v>
      </c>
      <c r="I436" s="6"/>
      <c r="J436" s="6"/>
      <c r="K436" s="7" t="s">
        <v>44</v>
      </c>
      <c r="L436" s="7" t="s">
        <v>14</v>
      </c>
      <c r="M436" s="7" t="s">
        <v>15</v>
      </c>
      <c r="N436" s="7">
        <f>COUNTIFS(A:A,A436,D:D,D436,E:E,I436)</f>
        <v>0</v>
      </c>
    </row>
    <row r="437" spans="1:14" x14ac:dyDescent="0.3">
      <c r="A437" s="7" t="s">
        <v>69</v>
      </c>
      <c r="B437" s="7" t="s">
        <v>70</v>
      </c>
      <c r="C437" s="7" t="s">
        <v>42</v>
      </c>
      <c r="D437" s="8">
        <v>45320</v>
      </c>
      <c r="E437" s="8" t="str">
        <f t="shared" si="23"/>
        <v>January</v>
      </c>
      <c r="F437">
        <f t="shared" si="24"/>
        <v>2024</v>
      </c>
      <c r="G437">
        <f t="shared" si="25"/>
        <v>1</v>
      </c>
      <c r="H437">
        <f t="shared" si="26"/>
        <v>0</v>
      </c>
      <c r="I437" s="6">
        <v>0.42569444444444443</v>
      </c>
      <c r="J437" s="6">
        <v>0.81319444444444444</v>
      </c>
      <c r="K437" s="7" t="s">
        <v>13</v>
      </c>
      <c r="L437" s="7" t="s">
        <v>27</v>
      </c>
      <c r="M437" s="7" t="s">
        <v>15</v>
      </c>
      <c r="N437" s="7">
        <f>COUNTIFS(A:A,A437,D:D,D437,E:E,I437)</f>
        <v>0</v>
      </c>
    </row>
    <row r="438" spans="1:14" x14ac:dyDescent="0.3">
      <c r="A438" s="7" t="s">
        <v>191</v>
      </c>
      <c r="B438" s="7" t="s">
        <v>192</v>
      </c>
      <c r="C438" s="7" t="s">
        <v>60</v>
      </c>
      <c r="D438" s="8">
        <v>45352</v>
      </c>
      <c r="E438" s="8" t="str">
        <f t="shared" si="23"/>
        <v>March</v>
      </c>
      <c r="F438">
        <f t="shared" si="24"/>
        <v>2024</v>
      </c>
      <c r="G438">
        <f t="shared" si="25"/>
        <v>1</v>
      </c>
      <c r="H438">
        <f t="shared" si="26"/>
        <v>1</v>
      </c>
      <c r="I438" s="6">
        <v>0.40694444444444444</v>
      </c>
      <c r="J438" s="6">
        <v>0.78749999999999998</v>
      </c>
      <c r="K438" s="7" t="s">
        <v>26</v>
      </c>
      <c r="L438" s="7" t="s">
        <v>27</v>
      </c>
      <c r="M438" s="7" t="s">
        <v>21</v>
      </c>
      <c r="N438" s="7">
        <f>COUNTIFS(A:A,A438,D:D,D438,E:E,I438)</f>
        <v>0</v>
      </c>
    </row>
    <row r="439" spans="1:14" x14ac:dyDescent="0.3">
      <c r="A439" s="7" t="s">
        <v>154</v>
      </c>
      <c r="B439" s="7" t="s">
        <v>155</v>
      </c>
      <c r="C439" s="7" t="s">
        <v>64</v>
      </c>
      <c r="D439" s="8">
        <v>45294</v>
      </c>
      <c r="E439" s="8" t="str">
        <f t="shared" si="23"/>
        <v>January</v>
      </c>
      <c r="F439">
        <f t="shared" si="24"/>
        <v>2024</v>
      </c>
      <c r="G439">
        <f t="shared" si="25"/>
        <v>1</v>
      </c>
      <c r="H439">
        <f t="shared" si="26"/>
        <v>0</v>
      </c>
      <c r="I439" s="6">
        <v>0.42638888888888887</v>
      </c>
      <c r="J439" s="6">
        <v>0.74791666666666667</v>
      </c>
      <c r="K439" s="7" t="s">
        <v>13</v>
      </c>
      <c r="L439" s="7" t="s">
        <v>27</v>
      </c>
      <c r="M439" s="7" t="s">
        <v>15</v>
      </c>
      <c r="N439" s="7">
        <f>COUNTIFS(A:A,A439,D:D,D439,E:E,I439)</f>
        <v>0</v>
      </c>
    </row>
    <row r="440" spans="1:14" x14ac:dyDescent="0.3">
      <c r="A440" s="7" t="s">
        <v>90</v>
      </c>
      <c r="B440" s="7" t="s">
        <v>91</v>
      </c>
      <c r="C440" s="7" t="s">
        <v>64</v>
      </c>
      <c r="D440" s="8">
        <v>45628</v>
      </c>
      <c r="E440" s="8" t="str">
        <f t="shared" si="23"/>
        <v>December</v>
      </c>
      <c r="F440">
        <f t="shared" si="24"/>
        <v>2024</v>
      </c>
      <c r="G440">
        <f t="shared" si="25"/>
        <v>1</v>
      </c>
      <c r="H440">
        <f t="shared" si="26"/>
        <v>0</v>
      </c>
      <c r="I440" s="6">
        <v>0.49513888888888891</v>
      </c>
      <c r="J440" s="6">
        <v>0.79027777777777775</v>
      </c>
      <c r="K440" s="7" t="s">
        <v>20</v>
      </c>
      <c r="L440" s="7" t="s">
        <v>14</v>
      </c>
      <c r="M440" s="7" t="s">
        <v>15</v>
      </c>
      <c r="N440" s="7">
        <f>COUNTIFS(A:A,A440,D:D,D440,E:E,I440)</f>
        <v>0</v>
      </c>
    </row>
    <row r="441" spans="1:14" x14ac:dyDescent="0.3">
      <c r="A441" s="7" t="s">
        <v>55</v>
      </c>
      <c r="B441" s="7" t="s">
        <v>56</v>
      </c>
      <c r="C441" s="7" t="s">
        <v>42</v>
      </c>
      <c r="D441" s="8">
        <v>45298</v>
      </c>
      <c r="E441" s="8" t="str">
        <f t="shared" si="23"/>
        <v>January</v>
      </c>
      <c r="F441">
        <f t="shared" si="24"/>
        <v>2024</v>
      </c>
      <c r="G441">
        <f t="shared" si="25"/>
        <v>1</v>
      </c>
      <c r="H441">
        <f t="shared" si="26"/>
        <v>0</v>
      </c>
      <c r="I441" s="6">
        <v>0.36180555555555555</v>
      </c>
      <c r="J441" s="6">
        <v>0.82499999999999996</v>
      </c>
      <c r="K441" s="7" t="s">
        <v>20</v>
      </c>
      <c r="L441" s="7" t="s">
        <v>27</v>
      </c>
      <c r="M441" s="7" t="s">
        <v>21</v>
      </c>
      <c r="N441" s="7">
        <f>COUNTIFS(A:A,A441,D:D,D441,E:E,I441)</f>
        <v>0</v>
      </c>
    </row>
    <row r="442" spans="1:14" x14ac:dyDescent="0.3">
      <c r="A442" s="7" t="s">
        <v>9</v>
      </c>
      <c r="B442" s="7" t="s">
        <v>10</v>
      </c>
      <c r="C442" s="7" t="s">
        <v>64</v>
      </c>
      <c r="D442" s="8">
        <v>45322</v>
      </c>
      <c r="E442" s="8" t="str">
        <f t="shared" si="23"/>
        <v>January</v>
      </c>
      <c r="F442">
        <f t="shared" si="24"/>
        <v>2024</v>
      </c>
      <c r="G442">
        <f t="shared" si="25"/>
        <v>0</v>
      </c>
      <c r="H442">
        <f t="shared" si="26"/>
        <v>0</v>
      </c>
      <c r="I442" s="6"/>
      <c r="J442" s="6"/>
      <c r="K442" s="7" t="s">
        <v>44</v>
      </c>
      <c r="L442" s="7" t="s">
        <v>14</v>
      </c>
      <c r="M442" s="7" t="s">
        <v>21</v>
      </c>
      <c r="N442" s="7">
        <f>COUNTIFS(A:A,A442,D:D,D442,E:E,I442)</f>
        <v>0</v>
      </c>
    </row>
    <row r="443" spans="1:14" x14ac:dyDescent="0.3">
      <c r="A443" s="7" t="s">
        <v>37</v>
      </c>
      <c r="B443" s="7" t="s">
        <v>38</v>
      </c>
      <c r="C443" s="7" t="s">
        <v>425</v>
      </c>
      <c r="D443" s="8">
        <v>45322</v>
      </c>
      <c r="E443" s="8" t="str">
        <f t="shared" si="23"/>
        <v>January</v>
      </c>
      <c r="F443">
        <f t="shared" si="24"/>
        <v>2024</v>
      </c>
      <c r="G443">
        <f t="shared" si="25"/>
        <v>1</v>
      </c>
      <c r="H443">
        <f t="shared" si="26"/>
        <v>1</v>
      </c>
      <c r="I443" s="6">
        <v>0.47847222222222224</v>
      </c>
      <c r="J443" s="6">
        <v>0.74097222222222225</v>
      </c>
      <c r="K443" s="7" t="s">
        <v>26</v>
      </c>
      <c r="L443" s="7" t="s">
        <v>27</v>
      </c>
      <c r="M443" s="7" t="s">
        <v>15</v>
      </c>
      <c r="N443" s="7">
        <f>COUNTIFS(A:A,A443,D:D,D443,E:E,I443)</f>
        <v>0</v>
      </c>
    </row>
    <row r="444" spans="1:14" x14ac:dyDescent="0.3">
      <c r="A444" s="7" t="s">
        <v>216</v>
      </c>
      <c r="B444" s="7" t="s">
        <v>217</v>
      </c>
      <c r="C444" s="7" t="s">
        <v>425</v>
      </c>
      <c r="D444" s="8">
        <v>45320</v>
      </c>
      <c r="E444" s="8" t="str">
        <f t="shared" si="23"/>
        <v>January</v>
      </c>
      <c r="F444">
        <f t="shared" si="24"/>
        <v>2024</v>
      </c>
      <c r="G444">
        <f t="shared" si="25"/>
        <v>1</v>
      </c>
      <c r="H444">
        <f t="shared" si="26"/>
        <v>0</v>
      </c>
      <c r="I444" s="6">
        <v>0.38263888888888886</v>
      </c>
      <c r="J444" s="6">
        <v>0.74375000000000002</v>
      </c>
      <c r="K444" s="7" t="s">
        <v>13</v>
      </c>
      <c r="L444" s="7" t="s">
        <v>14</v>
      </c>
      <c r="M444" s="7" t="s">
        <v>15</v>
      </c>
      <c r="N444" s="7">
        <f>COUNTIFS(A:A,A444,D:D,D444,E:E,I444)</f>
        <v>0</v>
      </c>
    </row>
    <row r="445" spans="1:14" x14ac:dyDescent="0.3">
      <c r="A445" s="7" t="s">
        <v>81</v>
      </c>
      <c r="B445" s="7" t="s">
        <v>82</v>
      </c>
      <c r="C445" s="7" t="s">
        <v>425</v>
      </c>
      <c r="D445" s="8">
        <v>45317</v>
      </c>
      <c r="E445" s="8" t="str">
        <f t="shared" si="23"/>
        <v>January</v>
      </c>
      <c r="F445">
        <f t="shared" si="24"/>
        <v>2024</v>
      </c>
      <c r="G445">
        <f t="shared" si="25"/>
        <v>1</v>
      </c>
      <c r="H445">
        <f t="shared" si="26"/>
        <v>0</v>
      </c>
      <c r="I445" s="6">
        <v>0.41388888888888886</v>
      </c>
      <c r="J445" s="6">
        <v>0.7993055555555556</v>
      </c>
      <c r="K445" s="7" t="s">
        <v>20</v>
      </c>
      <c r="L445" s="7" t="s">
        <v>27</v>
      </c>
      <c r="M445" s="7" t="s">
        <v>21</v>
      </c>
      <c r="N445" s="7">
        <f>COUNTIFS(A:A,A445,D:D,D445,E:E,I445)</f>
        <v>0</v>
      </c>
    </row>
    <row r="446" spans="1:14" x14ac:dyDescent="0.3">
      <c r="A446" s="7" t="s">
        <v>99</v>
      </c>
      <c r="B446" s="7" t="s">
        <v>100</v>
      </c>
      <c r="C446" s="7" t="s">
        <v>64</v>
      </c>
      <c r="D446" s="8">
        <v>45383</v>
      </c>
      <c r="E446" s="8" t="str">
        <f t="shared" si="23"/>
        <v>April</v>
      </c>
      <c r="F446">
        <f t="shared" si="24"/>
        <v>2024</v>
      </c>
      <c r="G446">
        <f t="shared" si="25"/>
        <v>0</v>
      </c>
      <c r="H446">
        <f t="shared" si="26"/>
        <v>0</v>
      </c>
      <c r="I446" s="6"/>
      <c r="J446" s="6"/>
      <c r="K446" s="7" t="s">
        <v>44</v>
      </c>
      <c r="L446" s="7" t="s">
        <v>27</v>
      </c>
      <c r="M446" s="7" t="s">
        <v>21</v>
      </c>
      <c r="N446" s="7">
        <f>COUNTIFS(A:A,A446,D:D,D446,E:E,I446)</f>
        <v>0</v>
      </c>
    </row>
    <row r="447" spans="1:14" x14ac:dyDescent="0.3">
      <c r="A447" s="7" t="s">
        <v>90</v>
      </c>
      <c r="B447" s="7" t="s">
        <v>91</v>
      </c>
      <c r="C447" s="7" t="s">
        <v>42</v>
      </c>
      <c r="D447" s="8">
        <v>45363</v>
      </c>
      <c r="E447" s="8" t="str">
        <f t="shared" si="23"/>
        <v>March</v>
      </c>
      <c r="F447">
        <f t="shared" si="24"/>
        <v>2024</v>
      </c>
      <c r="G447">
        <f t="shared" si="25"/>
        <v>1</v>
      </c>
      <c r="H447">
        <f t="shared" si="26"/>
        <v>1</v>
      </c>
      <c r="I447" s="6">
        <v>0.3527777777777778</v>
      </c>
      <c r="J447" s="6">
        <v>0.67083333333333328</v>
      </c>
      <c r="K447" s="7" t="s">
        <v>26</v>
      </c>
      <c r="L447" s="7" t="s">
        <v>27</v>
      </c>
      <c r="M447" s="7" t="s">
        <v>21</v>
      </c>
      <c r="N447" s="7">
        <f>COUNTIFS(A:A,A447,D:D,D447,E:E,I447)</f>
        <v>0</v>
      </c>
    </row>
    <row r="448" spans="1:14" x14ac:dyDescent="0.3">
      <c r="A448" s="7" t="s">
        <v>141</v>
      </c>
      <c r="B448" s="7" t="s">
        <v>142</v>
      </c>
      <c r="C448" s="7" t="s">
        <v>42</v>
      </c>
      <c r="D448" s="8">
        <v>45374</v>
      </c>
      <c r="E448" s="8" t="str">
        <f t="shared" si="23"/>
        <v>March</v>
      </c>
      <c r="F448">
        <f t="shared" si="24"/>
        <v>2024</v>
      </c>
      <c r="G448">
        <f t="shared" si="25"/>
        <v>0</v>
      </c>
      <c r="H448">
        <f t="shared" si="26"/>
        <v>0</v>
      </c>
      <c r="I448" s="6"/>
      <c r="J448" s="6"/>
      <c r="K448" s="7" t="s">
        <v>44</v>
      </c>
      <c r="L448" s="7" t="s">
        <v>27</v>
      </c>
      <c r="M448" s="7" t="s">
        <v>15</v>
      </c>
      <c r="N448" s="7">
        <f>COUNTIFS(A:A,A448,D:D,D448,E:E,I448)</f>
        <v>0</v>
      </c>
    </row>
    <row r="449" spans="1:14" x14ac:dyDescent="0.3">
      <c r="A449" s="7" t="s">
        <v>75</v>
      </c>
      <c r="B449" s="7" t="s">
        <v>76</v>
      </c>
      <c r="C449" s="7" t="s">
        <v>64</v>
      </c>
      <c r="D449" s="8">
        <v>45305</v>
      </c>
      <c r="E449" s="8" t="str">
        <f t="shared" si="23"/>
        <v>January</v>
      </c>
      <c r="F449">
        <f t="shared" si="24"/>
        <v>2024</v>
      </c>
      <c r="G449">
        <f t="shared" si="25"/>
        <v>1</v>
      </c>
      <c r="H449">
        <f t="shared" si="26"/>
        <v>0</v>
      </c>
      <c r="I449" s="6">
        <v>0.45</v>
      </c>
      <c r="J449" s="6">
        <v>0.82361111111111107</v>
      </c>
      <c r="K449" s="7" t="s">
        <v>20</v>
      </c>
      <c r="L449" s="7" t="s">
        <v>27</v>
      </c>
      <c r="M449" s="7" t="s">
        <v>15</v>
      </c>
      <c r="N449" s="7">
        <f>COUNTIFS(A:A,A449,D:D,D449,E:E,I449)</f>
        <v>0</v>
      </c>
    </row>
    <row r="450" spans="1:14" x14ac:dyDescent="0.3">
      <c r="A450" s="7" t="s">
        <v>194</v>
      </c>
      <c r="B450" s="7" t="s">
        <v>195</v>
      </c>
      <c r="C450" s="7" t="s">
        <v>425</v>
      </c>
      <c r="D450" s="8">
        <v>45304</v>
      </c>
      <c r="E450" s="8" t="str">
        <f t="shared" ref="E450:E513" si="27">TEXT(D450,"mmmm")</f>
        <v>January</v>
      </c>
      <c r="F450">
        <f t="shared" ref="F450:F513" si="28">YEAR(D450)</f>
        <v>2024</v>
      </c>
      <c r="G450">
        <f t="shared" ref="G450:G513" si="29">IF(LOWER(K450)="absent",0,1)</f>
        <v>0</v>
      </c>
      <c r="H450">
        <f t="shared" ref="H450:H513" si="30">IF(K450="Late",1,0)</f>
        <v>0</v>
      </c>
      <c r="I450" s="6"/>
      <c r="J450" s="6"/>
      <c r="K450" s="7" t="s">
        <v>44</v>
      </c>
      <c r="L450" s="7" t="s">
        <v>14</v>
      </c>
      <c r="M450" s="7" t="s">
        <v>15</v>
      </c>
      <c r="N450" s="7">
        <f>COUNTIFS(A:A,A450,D:D,D450,E:E,I450)</f>
        <v>0</v>
      </c>
    </row>
    <row r="451" spans="1:14" x14ac:dyDescent="0.3">
      <c r="A451" s="7" t="s">
        <v>362</v>
      </c>
      <c r="B451" s="7" t="s">
        <v>363</v>
      </c>
      <c r="C451" s="7" t="s">
        <v>64</v>
      </c>
      <c r="D451" s="8">
        <v>45314</v>
      </c>
      <c r="E451" s="8" t="str">
        <f t="shared" si="27"/>
        <v>January</v>
      </c>
      <c r="F451">
        <f t="shared" si="28"/>
        <v>2024</v>
      </c>
      <c r="G451">
        <f t="shared" si="29"/>
        <v>1</v>
      </c>
      <c r="H451">
        <f t="shared" si="30"/>
        <v>0</v>
      </c>
      <c r="I451" s="6">
        <v>0.49583333333333335</v>
      </c>
      <c r="J451" s="6">
        <v>0.80902777777777779</v>
      </c>
      <c r="K451" s="7" t="s">
        <v>20</v>
      </c>
      <c r="L451" s="7" t="s">
        <v>27</v>
      </c>
      <c r="M451" s="7" t="s">
        <v>21</v>
      </c>
      <c r="N451" s="7">
        <f>COUNTIFS(A:A,A451,D:D,D451,E:E,I451)</f>
        <v>0</v>
      </c>
    </row>
    <row r="452" spans="1:14" x14ac:dyDescent="0.3">
      <c r="A452" s="7" t="s">
        <v>204</v>
      </c>
      <c r="B452" s="7" t="s">
        <v>205</v>
      </c>
      <c r="C452" s="7" t="s">
        <v>426</v>
      </c>
      <c r="D452" s="8">
        <v>45320</v>
      </c>
      <c r="E452" s="8" t="str">
        <f t="shared" si="27"/>
        <v>January</v>
      </c>
      <c r="F452">
        <f t="shared" si="28"/>
        <v>2024</v>
      </c>
      <c r="G452">
        <f t="shared" si="29"/>
        <v>0</v>
      </c>
      <c r="H452">
        <f t="shared" si="30"/>
        <v>0</v>
      </c>
      <c r="I452" s="6"/>
      <c r="J452" s="6"/>
      <c r="K452" s="7" t="s">
        <v>44</v>
      </c>
      <c r="L452" s="7" t="s">
        <v>14</v>
      </c>
      <c r="M452" s="7" t="s">
        <v>15</v>
      </c>
      <c r="N452" s="7">
        <f>COUNTIFS(A:A,A452,D:D,D452,E:E,I452)</f>
        <v>0</v>
      </c>
    </row>
    <row r="453" spans="1:14" x14ac:dyDescent="0.3">
      <c r="A453" s="7" t="s">
        <v>112</v>
      </c>
      <c r="B453" s="7" t="s">
        <v>113</v>
      </c>
      <c r="C453" s="7" t="s">
        <v>425</v>
      </c>
      <c r="D453" s="8">
        <v>45339</v>
      </c>
      <c r="E453" s="8" t="str">
        <f t="shared" si="27"/>
        <v>February</v>
      </c>
      <c r="F453">
        <f t="shared" si="28"/>
        <v>2024</v>
      </c>
      <c r="G453">
        <f t="shared" si="29"/>
        <v>1</v>
      </c>
      <c r="H453">
        <f t="shared" si="30"/>
        <v>0</v>
      </c>
      <c r="I453" s="6">
        <v>0.47083333333333333</v>
      </c>
      <c r="J453" s="6">
        <v>0.72499999999999998</v>
      </c>
      <c r="K453" s="7" t="s">
        <v>13</v>
      </c>
      <c r="L453" s="7" t="s">
        <v>27</v>
      </c>
      <c r="M453" s="7" t="s">
        <v>21</v>
      </c>
      <c r="N453" s="7">
        <f>COUNTIFS(A:A,A453,D:D,D453,E:E,I453)</f>
        <v>0</v>
      </c>
    </row>
    <row r="454" spans="1:14" x14ac:dyDescent="0.3">
      <c r="A454" s="7" t="s">
        <v>37</v>
      </c>
      <c r="B454" s="7" t="s">
        <v>38</v>
      </c>
      <c r="C454" s="7" t="s">
        <v>425</v>
      </c>
      <c r="D454" s="8">
        <v>45365</v>
      </c>
      <c r="E454" s="8" t="str">
        <f t="shared" si="27"/>
        <v>March</v>
      </c>
      <c r="F454">
        <f t="shared" si="28"/>
        <v>2024</v>
      </c>
      <c r="G454">
        <f t="shared" si="29"/>
        <v>1</v>
      </c>
      <c r="H454">
        <f t="shared" si="30"/>
        <v>1</v>
      </c>
      <c r="I454" s="6">
        <v>0.42986111111111114</v>
      </c>
      <c r="J454" s="6">
        <v>0.82777777777777772</v>
      </c>
      <c r="K454" s="7" t="s">
        <v>26</v>
      </c>
      <c r="L454" s="7" t="s">
        <v>14</v>
      </c>
      <c r="M454" s="7" t="s">
        <v>15</v>
      </c>
      <c r="N454" s="7">
        <f>COUNTIFS(A:A,A454,D:D,D454,E:E,I454)</f>
        <v>0</v>
      </c>
    </row>
    <row r="455" spans="1:14" x14ac:dyDescent="0.3">
      <c r="A455" s="7" t="s">
        <v>150</v>
      </c>
      <c r="B455" s="7" t="s">
        <v>151</v>
      </c>
      <c r="C455" s="7" t="s">
        <v>60</v>
      </c>
      <c r="D455" s="8">
        <v>45308</v>
      </c>
      <c r="E455" s="8" t="str">
        <f t="shared" si="27"/>
        <v>January</v>
      </c>
      <c r="F455">
        <f t="shared" si="28"/>
        <v>2024</v>
      </c>
      <c r="G455">
        <f t="shared" si="29"/>
        <v>0</v>
      </c>
      <c r="H455">
        <f t="shared" si="30"/>
        <v>0</v>
      </c>
      <c r="I455" s="6"/>
      <c r="J455" s="6"/>
      <c r="K455" s="7" t="s">
        <v>44</v>
      </c>
      <c r="L455" s="7" t="s">
        <v>14</v>
      </c>
      <c r="M455" s="7" t="s">
        <v>15</v>
      </c>
      <c r="N455" s="7">
        <f>COUNTIFS(A:A,A455,D:D,D455,E:E,I455)</f>
        <v>0</v>
      </c>
    </row>
    <row r="456" spans="1:14" x14ac:dyDescent="0.3">
      <c r="A456" s="7" t="s">
        <v>171</v>
      </c>
      <c r="B456" s="7" t="s">
        <v>172</v>
      </c>
      <c r="C456" s="7" t="s">
        <v>60</v>
      </c>
      <c r="D456" s="8">
        <v>45337</v>
      </c>
      <c r="E456" s="8" t="str">
        <f t="shared" si="27"/>
        <v>February</v>
      </c>
      <c r="F456">
        <f t="shared" si="28"/>
        <v>2024</v>
      </c>
      <c r="G456">
        <f t="shared" si="29"/>
        <v>1</v>
      </c>
      <c r="H456">
        <f t="shared" si="30"/>
        <v>1</v>
      </c>
      <c r="I456" s="6">
        <v>0.40555555555555556</v>
      </c>
      <c r="J456" s="6">
        <v>0.77083333333333337</v>
      </c>
      <c r="K456" s="7" t="s">
        <v>26</v>
      </c>
      <c r="L456" s="7" t="s">
        <v>27</v>
      </c>
      <c r="M456" s="7" t="s">
        <v>15</v>
      </c>
      <c r="N456" s="7">
        <f>COUNTIFS(A:A,A456,D:D,D456,E:E,I456)</f>
        <v>0</v>
      </c>
    </row>
    <row r="457" spans="1:14" x14ac:dyDescent="0.3">
      <c r="A457" s="7" t="s">
        <v>146</v>
      </c>
      <c r="B457" s="7" t="s">
        <v>147</v>
      </c>
      <c r="C457" s="7" t="s">
        <v>426</v>
      </c>
      <c r="D457" s="8">
        <v>45567</v>
      </c>
      <c r="E457" s="8" t="str">
        <f t="shared" si="27"/>
        <v>October</v>
      </c>
      <c r="F457">
        <f t="shared" si="28"/>
        <v>2024</v>
      </c>
      <c r="G457">
        <f t="shared" si="29"/>
        <v>0</v>
      </c>
      <c r="H457">
        <f t="shared" si="30"/>
        <v>0</v>
      </c>
      <c r="I457" s="6"/>
      <c r="J457" s="6"/>
      <c r="K457" s="7" t="s">
        <v>44</v>
      </c>
      <c r="L457" s="7" t="s">
        <v>27</v>
      </c>
      <c r="M457" s="7" t="s">
        <v>21</v>
      </c>
      <c r="N457" s="7">
        <f>COUNTIFS(A:A,A457,D:D,D457,E:E,I457)</f>
        <v>0</v>
      </c>
    </row>
    <row r="458" spans="1:14" x14ac:dyDescent="0.3">
      <c r="A458" s="7" t="s">
        <v>72</v>
      </c>
      <c r="B458" s="7" t="s">
        <v>73</v>
      </c>
      <c r="C458" s="7" t="s">
        <v>42</v>
      </c>
      <c r="D458" s="8">
        <v>45312</v>
      </c>
      <c r="E458" s="8" t="str">
        <f t="shared" si="27"/>
        <v>January</v>
      </c>
      <c r="F458">
        <f t="shared" si="28"/>
        <v>2024</v>
      </c>
      <c r="G458">
        <f t="shared" si="29"/>
        <v>0</v>
      </c>
      <c r="H458">
        <f t="shared" si="30"/>
        <v>0</v>
      </c>
      <c r="I458" s="6"/>
      <c r="J458" s="6"/>
      <c r="K458" s="7" t="s">
        <v>44</v>
      </c>
      <c r="L458" s="7" t="s">
        <v>27</v>
      </c>
      <c r="M458" s="7" t="s">
        <v>21</v>
      </c>
      <c r="N458" s="7">
        <f>COUNTIFS(A:A,A458,D:D,D458,E:E,I458)</f>
        <v>0</v>
      </c>
    </row>
    <row r="459" spans="1:14" x14ac:dyDescent="0.3">
      <c r="A459" s="7" t="s">
        <v>216</v>
      </c>
      <c r="B459" s="7" t="s">
        <v>217</v>
      </c>
      <c r="C459" s="7" t="s">
        <v>42</v>
      </c>
      <c r="D459" s="8">
        <v>45377</v>
      </c>
      <c r="E459" s="8" t="str">
        <f t="shared" si="27"/>
        <v>March</v>
      </c>
      <c r="F459">
        <f t="shared" si="28"/>
        <v>2024</v>
      </c>
      <c r="G459">
        <f t="shared" si="29"/>
        <v>0</v>
      </c>
      <c r="H459">
        <f t="shared" si="30"/>
        <v>0</v>
      </c>
      <c r="I459" s="6"/>
      <c r="J459" s="6"/>
      <c r="K459" s="7" t="s">
        <v>44</v>
      </c>
      <c r="L459" s="7" t="s">
        <v>27</v>
      </c>
      <c r="M459" s="7" t="s">
        <v>21</v>
      </c>
      <c r="N459" s="7">
        <f>COUNTIFS(A:A,A459,D:D,D459,E:E,I459)</f>
        <v>0</v>
      </c>
    </row>
    <row r="460" spans="1:14" x14ac:dyDescent="0.3">
      <c r="A460" s="7" t="s">
        <v>175</v>
      </c>
      <c r="B460" s="7" t="s">
        <v>176</v>
      </c>
      <c r="C460" s="7" t="s">
        <v>42</v>
      </c>
      <c r="D460" s="8">
        <v>45369</v>
      </c>
      <c r="E460" s="8" t="str">
        <f t="shared" si="27"/>
        <v>March</v>
      </c>
      <c r="F460">
        <f t="shared" si="28"/>
        <v>2024</v>
      </c>
      <c r="G460">
        <f t="shared" si="29"/>
        <v>1</v>
      </c>
      <c r="H460">
        <f t="shared" si="30"/>
        <v>0</v>
      </c>
      <c r="I460" s="6">
        <v>0.46875</v>
      </c>
      <c r="J460" s="6">
        <v>0.70347222222222228</v>
      </c>
      <c r="K460" s="7" t="s">
        <v>13</v>
      </c>
      <c r="L460" s="7" t="s">
        <v>14</v>
      </c>
      <c r="M460" s="7" t="s">
        <v>21</v>
      </c>
      <c r="N460" s="7">
        <f>COUNTIFS(A:A,A460,D:D,D460,E:E,I460)</f>
        <v>0</v>
      </c>
    </row>
    <row r="461" spans="1:14" x14ac:dyDescent="0.3">
      <c r="A461" s="7" t="s">
        <v>175</v>
      </c>
      <c r="B461" s="7" t="s">
        <v>176</v>
      </c>
      <c r="C461" s="7" t="s">
        <v>425</v>
      </c>
      <c r="D461" s="8">
        <v>45318</v>
      </c>
      <c r="E461" s="8" t="str">
        <f t="shared" si="27"/>
        <v>January</v>
      </c>
      <c r="F461">
        <f t="shared" si="28"/>
        <v>2024</v>
      </c>
      <c r="G461">
        <f t="shared" si="29"/>
        <v>1</v>
      </c>
      <c r="H461">
        <f t="shared" si="30"/>
        <v>0</v>
      </c>
      <c r="I461" s="6">
        <v>0.42986111111111114</v>
      </c>
      <c r="J461" s="6">
        <v>0.78263888888888888</v>
      </c>
      <c r="K461" s="7" t="s">
        <v>20</v>
      </c>
      <c r="L461" s="7" t="s">
        <v>27</v>
      </c>
      <c r="M461" s="7" t="s">
        <v>15</v>
      </c>
      <c r="N461" s="7">
        <f>COUNTIFS(A:A,A461,D:D,D461,E:E,I461)</f>
        <v>0</v>
      </c>
    </row>
    <row r="462" spans="1:14" x14ac:dyDescent="0.3">
      <c r="A462" s="7" t="s">
        <v>84</v>
      </c>
      <c r="B462" s="7" t="s">
        <v>85</v>
      </c>
      <c r="C462" s="7" t="s">
        <v>426</v>
      </c>
      <c r="D462" s="8">
        <v>45371</v>
      </c>
      <c r="E462" s="8" t="str">
        <f t="shared" si="27"/>
        <v>March</v>
      </c>
      <c r="F462">
        <f t="shared" si="28"/>
        <v>2024</v>
      </c>
      <c r="G462">
        <f t="shared" si="29"/>
        <v>1</v>
      </c>
      <c r="H462">
        <f t="shared" si="30"/>
        <v>0</v>
      </c>
      <c r="I462" s="6">
        <v>0.42152777777777778</v>
      </c>
      <c r="J462" s="6">
        <v>0.79374999999999996</v>
      </c>
      <c r="K462" s="7" t="s">
        <v>13</v>
      </c>
      <c r="L462" s="7" t="s">
        <v>14</v>
      </c>
      <c r="M462" s="7" t="s">
        <v>15</v>
      </c>
      <c r="N462" s="7">
        <f>COUNTIFS(A:A,A462,D:D,D462,E:E,I462)</f>
        <v>0</v>
      </c>
    </row>
    <row r="463" spans="1:14" x14ac:dyDescent="0.3">
      <c r="A463" s="7" t="s">
        <v>45</v>
      </c>
      <c r="B463" s="7" t="s">
        <v>46</v>
      </c>
      <c r="C463" s="7" t="s">
        <v>425</v>
      </c>
      <c r="D463" s="8">
        <v>45368</v>
      </c>
      <c r="E463" s="8" t="str">
        <f t="shared" si="27"/>
        <v>March</v>
      </c>
      <c r="F463">
        <f t="shared" si="28"/>
        <v>2024</v>
      </c>
      <c r="G463">
        <f t="shared" si="29"/>
        <v>1</v>
      </c>
      <c r="H463">
        <f t="shared" si="30"/>
        <v>0</v>
      </c>
      <c r="I463" s="6">
        <v>0.39305555555555555</v>
      </c>
      <c r="J463" s="6">
        <v>0.67986111111111114</v>
      </c>
      <c r="K463" s="7" t="s">
        <v>20</v>
      </c>
      <c r="L463" s="7" t="s">
        <v>27</v>
      </c>
      <c r="M463" s="7" t="s">
        <v>21</v>
      </c>
      <c r="N463" s="7">
        <f>COUNTIFS(A:A,A463,D:D,D463,E:E,I463)</f>
        <v>0</v>
      </c>
    </row>
    <row r="464" spans="1:14" x14ac:dyDescent="0.3">
      <c r="A464" s="7" t="s">
        <v>28</v>
      </c>
      <c r="B464" s="7" t="s">
        <v>29</v>
      </c>
      <c r="C464" s="7" t="s">
        <v>42</v>
      </c>
      <c r="D464" s="8">
        <v>45340</v>
      </c>
      <c r="E464" s="8" t="str">
        <f t="shared" si="27"/>
        <v>February</v>
      </c>
      <c r="F464">
        <f t="shared" si="28"/>
        <v>2024</v>
      </c>
      <c r="G464">
        <f t="shared" si="29"/>
        <v>0</v>
      </c>
      <c r="H464">
        <f t="shared" si="30"/>
        <v>0</v>
      </c>
      <c r="I464" s="6"/>
      <c r="J464" s="6"/>
      <c r="K464" s="7" t="s">
        <v>44</v>
      </c>
      <c r="L464" s="7" t="s">
        <v>27</v>
      </c>
      <c r="M464" s="7" t="s">
        <v>15</v>
      </c>
      <c r="N464" s="7">
        <f>COUNTIFS(A:A,A464,D:D,D464,E:E,I464)</f>
        <v>0</v>
      </c>
    </row>
    <row r="465" spans="1:14" x14ac:dyDescent="0.3">
      <c r="A465" s="7" t="s">
        <v>150</v>
      </c>
      <c r="B465" s="7" t="s">
        <v>151</v>
      </c>
      <c r="C465" s="7" t="s">
        <v>42</v>
      </c>
      <c r="D465" s="8">
        <v>45367</v>
      </c>
      <c r="E465" s="8" t="str">
        <f t="shared" si="27"/>
        <v>March</v>
      </c>
      <c r="F465">
        <f t="shared" si="28"/>
        <v>2024</v>
      </c>
      <c r="G465">
        <f t="shared" si="29"/>
        <v>1</v>
      </c>
      <c r="H465">
        <f t="shared" si="30"/>
        <v>0</v>
      </c>
      <c r="I465" s="6">
        <v>0.38611111111111113</v>
      </c>
      <c r="J465" s="6">
        <v>0.66874999999999996</v>
      </c>
      <c r="K465" s="7" t="s">
        <v>13</v>
      </c>
      <c r="L465" s="7" t="s">
        <v>27</v>
      </c>
      <c r="M465" s="7" t="s">
        <v>21</v>
      </c>
      <c r="N465" s="7">
        <f>COUNTIFS(A:A,A465,D:D,D465,E:E,I465)</f>
        <v>0</v>
      </c>
    </row>
    <row r="466" spans="1:14" x14ac:dyDescent="0.3">
      <c r="A466" s="7" t="s">
        <v>165</v>
      </c>
      <c r="B466" s="7" t="s">
        <v>166</v>
      </c>
      <c r="C466" s="7" t="s">
        <v>60</v>
      </c>
      <c r="D466" s="8">
        <v>45307</v>
      </c>
      <c r="E466" s="8" t="str">
        <f t="shared" si="27"/>
        <v>January</v>
      </c>
      <c r="F466">
        <f t="shared" si="28"/>
        <v>2024</v>
      </c>
      <c r="G466">
        <f t="shared" si="29"/>
        <v>1</v>
      </c>
      <c r="H466">
        <f t="shared" si="30"/>
        <v>1</v>
      </c>
      <c r="I466" s="6">
        <v>0.44583333333333336</v>
      </c>
      <c r="J466" s="6">
        <v>0.83333333333333337</v>
      </c>
      <c r="K466" s="7" t="s">
        <v>26</v>
      </c>
      <c r="L466" s="7" t="s">
        <v>14</v>
      </c>
      <c r="M466" s="7" t="s">
        <v>15</v>
      </c>
      <c r="N466" s="7">
        <f>COUNTIFS(A:A,A466,D:D,D466,E:E,I466)</f>
        <v>0</v>
      </c>
    </row>
    <row r="467" spans="1:14" x14ac:dyDescent="0.3">
      <c r="A467" s="7" t="s">
        <v>216</v>
      </c>
      <c r="B467" s="7" t="s">
        <v>217</v>
      </c>
      <c r="C467" s="7" t="s">
        <v>60</v>
      </c>
      <c r="D467" s="8">
        <v>45320</v>
      </c>
      <c r="E467" s="8" t="str">
        <f t="shared" si="27"/>
        <v>January</v>
      </c>
      <c r="F467">
        <f t="shared" si="28"/>
        <v>2024</v>
      </c>
      <c r="G467">
        <f t="shared" si="29"/>
        <v>1</v>
      </c>
      <c r="H467">
        <f t="shared" si="30"/>
        <v>0</v>
      </c>
      <c r="I467" s="6">
        <v>0.39930555555555558</v>
      </c>
      <c r="J467" s="6">
        <v>0.82430555555555551</v>
      </c>
      <c r="K467" s="7" t="s">
        <v>13</v>
      </c>
      <c r="L467" s="7" t="s">
        <v>14</v>
      </c>
      <c r="M467" s="7" t="s">
        <v>21</v>
      </c>
      <c r="N467" s="7">
        <f>COUNTIFS(A:A,A467,D:D,D467,E:E,I467)</f>
        <v>0</v>
      </c>
    </row>
    <row r="468" spans="1:14" x14ac:dyDescent="0.3">
      <c r="A468" s="7" t="s">
        <v>269</v>
      </c>
      <c r="B468" s="7" t="s">
        <v>270</v>
      </c>
      <c r="C468" s="7" t="s">
        <v>64</v>
      </c>
      <c r="D468" s="8">
        <v>45347</v>
      </c>
      <c r="E468" s="8" t="str">
        <f t="shared" si="27"/>
        <v>February</v>
      </c>
      <c r="F468">
        <f t="shared" si="28"/>
        <v>2024</v>
      </c>
      <c r="G468">
        <f t="shared" si="29"/>
        <v>1</v>
      </c>
      <c r="H468">
        <f t="shared" si="30"/>
        <v>1</v>
      </c>
      <c r="I468" s="6">
        <v>0.43541666666666667</v>
      </c>
      <c r="J468" s="6">
        <v>0.72083333333333333</v>
      </c>
      <c r="K468" s="7" t="s">
        <v>26</v>
      </c>
      <c r="L468" s="7" t="s">
        <v>27</v>
      </c>
      <c r="M468" s="7" t="s">
        <v>15</v>
      </c>
      <c r="N468" s="7">
        <f>COUNTIFS(A:A,A468,D:D,D468,E:E,I468)</f>
        <v>0</v>
      </c>
    </row>
    <row r="469" spans="1:14" x14ac:dyDescent="0.3">
      <c r="A469" s="7" t="s">
        <v>157</v>
      </c>
      <c r="B469" s="7" t="s">
        <v>158</v>
      </c>
      <c r="C469" s="7" t="s">
        <v>64</v>
      </c>
      <c r="D469" s="8">
        <v>45350</v>
      </c>
      <c r="E469" s="8" t="str">
        <f t="shared" si="27"/>
        <v>February</v>
      </c>
      <c r="F469">
        <f t="shared" si="28"/>
        <v>2024</v>
      </c>
      <c r="G469">
        <f t="shared" si="29"/>
        <v>1</v>
      </c>
      <c r="H469">
        <f t="shared" si="30"/>
        <v>1</v>
      </c>
      <c r="I469" s="6">
        <v>0.41180555555555554</v>
      </c>
      <c r="J469" s="6">
        <v>0.80347222222222225</v>
      </c>
      <c r="K469" s="7" t="s">
        <v>26</v>
      </c>
      <c r="L469" s="7" t="s">
        <v>27</v>
      </c>
      <c r="M469" s="7" t="s">
        <v>15</v>
      </c>
      <c r="N469" s="7">
        <f>COUNTIFS(A:A,A469,D:D,D469,E:E,I469)</f>
        <v>0</v>
      </c>
    </row>
    <row r="470" spans="1:14" x14ac:dyDescent="0.3">
      <c r="A470" s="7" t="s">
        <v>109</v>
      </c>
      <c r="B470" s="7" t="s">
        <v>110</v>
      </c>
      <c r="C470" s="7" t="s">
        <v>425</v>
      </c>
      <c r="D470" s="8">
        <v>45364</v>
      </c>
      <c r="E470" s="8" t="str">
        <f t="shared" si="27"/>
        <v>March</v>
      </c>
      <c r="F470">
        <f t="shared" si="28"/>
        <v>2024</v>
      </c>
      <c r="G470">
        <f t="shared" si="29"/>
        <v>1</v>
      </c>
      <c r="H470">
        <f t="shared" si="30"/>
        <v>0</v>
      </c>
      <c r="I470" s="6">
        <v>0.47499999999999998</v>
      </c>
      <c r="J470" s="6">
        <v>0.74375000000000002</v>
      </c>
      <c r="K470" s="7" t="s">
        <v>20</v>
      </c>
      <c r="L470" s="7" t="s">
        <v>14</v>
      </c>
      <c r="M470" s="7" t="s">
        <v>15</v>
      </c>
      <c r="N470" s="7">
        <f>COUNTIFS(A:A,A470,D:D,D470,E:E,I470)</f>
        <v>0</v>
      </c>
    </row>
    <row r="471" spans="1:14" x14ac:dyDescent="0.3">
      <c r="A471" s="7" t="s">
        <v>96</v>
      </c>
      <c r="B471" s="7" t="s">
        <v>97</v>
      </c>
      <c r="C471" s="7" t="s">
        <v>426</v>
      </c>
      <c r="D471" s="8">
        <v>45335</v>
      </c>
      <c r="E471" s="8" t="str">
        <f t="shared" si="27"/>
        <v>February</v>
      </c>
      <c r="F471">
        <f t="shared" si="28"/>
        <v>2024</v>
      </c>
      <c r="G471">
        <f t="shared" si="29"/>
        <v>0</v>
      </c>
      <c r="H471">
        <f t="shared" si="30"/>
        <v>0</v>
      </c>
      <c r="I471" s="6"/>
      <c r="J471" s="6"/>
      <c r="K471" s="7" t="s">
        <v>44</v>
      </c>
      <c r="L471" s="7" t="s">
        <v>27</v>
      </c>
      <c r="M471" s="7" t="s">
        <v>21</v>
      </c>
      <c r="N471" s="7">
        <f>COUNTIFS(A:A,A471,D:D,D471,E:E,I471)</f>
        <v>0</v>
      </c>
    </row>
    <row r="472" spans="1:14" x14ac:dyDescent="0.3">
      <c r="A472" s="7" t="s">
        <v>134</v>
      </c>
      <c r="B472" s="7" t="s">
        <v>135</v>
      </c>
      <c r="C472" s="7" t="s">
        <v>42</v>
      </c>
      <c r="D472" s="8">
        <v>45367</v>
      </c>
      <c r="E472" s="8" t="str">
        <f t="shared" si="27"/>
        <v>March</v>
      </c>
      <c r="F472">
        <f t="shared" si="28"/>
        <v>2024</v>
      </c>
      <c r="G472">
        <f t="shared" si="29"/>
        <v>1</v>
      </c>
      <c r="H472">
        <f t="shared" si="30"/>
        <v>0</v>
      </c>
      <c r="I472" s="6">
        <v>0.41458333333333336</v>
      </c>
      <c r="J472" s="6">
        <v>0.71944444444444444</v>
      </c>
      <c r="K472" s="7" t="s">
        <v>13</v>
      </c>
      <c r="L472" s="7" t="s">
        <v>27</v>
      </c>
      <c r="M472" s="7" t="s">
        <v>21</v>
      </c>
      <c r="N472" s="7">
        <f>COUNTIFS(A:A,A472,D:D,D472,E:E,I472)</f>
        <v>0</v>
      </c>
    </row>
    <row r="473" spans="1:14" x14ac:dyDescent="0.3">
      <c r="A473" s="7" t="s">
        <v>197</v>
      </c>
      <c r="B473" s="7" t="s">
        <v>198</v>
      </c>
      <c r="C473" s="7" t="s">
        <v>64</v>
      </c>
      <c r="D473" s="8">
        <v>45330</v>
      </c>
      <c r="E473" s="8" t="str">
        <f t="shared" si="27"/>
        <v>February</v>
      </c>
      <c r="F473">
        <f t="shared" si="28"/>
        <v>2024</v>
      </c>
      <c r="G473">
        <f t="shared" si="29"/>
        <v>1</v>
      </c>
      <c r="H473">
        <f t="shared" si="30"/>
        <v>0</v>
      </c>
      <c r="I473" s="6">
        <v>0.36666666666666664</v>
      </c>
      <c r="J473" s="6">
        <v>0.8305555555555556</v>
      </c>
      <c r="K473" s="7" t="s">
        <v>20</v>
      </c>
      <c r="L473" s="7" t="s">
        <v>27</v>
      </c>
      <c r="M473" s="7" t="s">
        <v>21</v>
      </c>
      <c r="N473" s="7">
        <f>COUNTIFS(A:A,A473,D:D,D473,E:E,I473)</f>
        <v>0</v>
      </c>
    </row>
    <row r="474" spans="1:14" x14ac:dyDescent="0.3">
      <c r="A474" s="7" t="s">
        <v>84</v>
      </c>
      <c r="B474" s="7" t="s">
        <v>85</v>
      </c>
      <c r="C474" s="7" t="s">
        <v>60</v>
      </c>
      <c r="D474" s="8">
        <v>45357</v>
      </c>
      <c r="E474" s="8" t="str">
        <f t="shared" si="27"/>
        <v>March</v>
      </c>
      <c r="F474">
        <f t="shared" si="28"/>
        <v>2024</v>
      </c>
      <c r="G474">
        <f t="shared" si="29"/>
        <v>0</v>
      </c>
      <c r="H474">
        <f t="shared" si="30"/>
        <v>0</v>
      </c>
      <c r="I474" s="6"/>
      <c r="J474" s="6"/>
      <c r="K474" s="7" t="s">
        <v>44</v>
      </c>
      <c r="L474" s="7" t="s">
        <v>14</v>
      </c>
      <c r="M474" s="7" t="s">
        <v>21</v>
      </c>
      <c r="N474" s="7">
        <f>COUNTIFS(A:A,A474,D:D,D474,E:E,I474)</f>
        <v>0</v>
      </c>
    </row>
    <row r="475" spans="1:14" x14ac:dyDescent="0.3">
      <c r="A475" s="7" t="s">
        <v>122</v>
      </c>
      <c r="B475" s="7" t="s">
        <v>123</v>
      </c>
      <c r="C475" s="7" t="s">
        <v>425</v>
      </c>
      <c r="D475" s="8">
        <v>45344</v>
      </c>
      <c r="E475" s="8" t="str">
        <f t="shared" si="27"/>
        <v>February</v>
      </c>
      <c r="F475">
        <f t="shared" si="28"/>
        <v>2024</v>
      </c>
      <c r="G475">
        <f t="shared" si="29"/>
        <v>1</v>
      </c>
      <c r="H475">
        <f t="shared" si="30"/>
        <v>0</v>
      </c>
      <c r="I475" s="6">
        <v>0.3972222222222222</v>
      </c>
      <c r="J475" s="6">
        <v>0.85</v>
      </c>
      <c r="K475" s="7" t="s">
        <v>20</v>
      </c>
      <c r="L475" s="7" t="s">
        <v>14</v>
      </c>
      <c r="M475" s="7" t="s">
        <v>15</v>
      </c>
      <c r="N475" s="7">
        <f>COUNTIFS(A:A,A475,D:D,D475,E:E,I475)</f>
        <v>0</v>
      </c>
    </row>
    <row r="476" spans="1:14" x14ac:dyDescent="0.3">
      <c r="A476" s="7" t="s">
        <v>66</v>
      </c>
      <c r="B476" s="7" t="s">
        <v>67</v>
      </c>
      <c r="C476" s="7" t="s">
        <v>64</v>
      </c>
      <c r="D476" s="8">
        <v>45311</v>
      </c>
      <c r="E476" s="8" t="str">
        <f t="shared" si="27"/>
        <v>January</v>
      </c>
      <c r="F476">
        <f t="shared" si="28"/>
        <v>2024</v>
      </c>
      <c r="G476">
        <f t="shared" si="29"/>
        <v>0</v>
      </c>
      <c r="H476">
        <f t="shared" si="30"/>
        <v>0</v>
      </c>
      <c r="I476" s="6"/>
      <c r="J476" s="6"/>
      <c r="K476" s="7" t="s">
        <v>44</v>
      </c>
      <c r="L476" s="7" t="s">
        <v>14</v>
      </c>
      <c r="M476" s="7" t="s">
        <v>21</v>
      </c>
      <c r="N476" s="7">
        <f>COUNTIFS(A:A,A476,D:D,D476,E:E,I476)</f>
        <v>0</v>
      </c>
    </row>
    <row r="477" spans="1:14" x14ac:dyDescent="0.3">
      <c r="A477" s="7" t="s">
        <v>90</v>
      </c>
      <c r="B477" s="7" t="s">
        <v>91</v>
      </c>
      <c r="C477" s="7" t="s">
        <v>425</v>
      </c>
      <c r="D477" s="8">
        <v>45343</v>
      </c>
      <c r="E477" s="8" t="str">
        <f t="shared" si="27"/>
        <v>February</v>
      </c>
      <c r="F477">
        <f t="shared" si="28"/>
        <v>2024</v>
      </c>
      <c r="G477">
        <f t="shared" si="29"/>
        <v>1</v>
      </c>
      <c r="H477">
        <f t="shared" si="30"/>
        <v>1</v>
      </c>
      <c r="I477" s="6">
        <v>0.48402777777777778</v>
      </c>
      <c r="J477" s="6">
        <v>0.8125</v>
      </c>
      <c r="K477" s="7" t="s">
        <v>26</v>
      </c>
      <c r="L477" s="7" t="s">
        <v>14</v>
      </c>
      <c r="M477" s="7" t="s">
        <v>15</v>
      </c>
      <c r="N477" s="7">
        <f>COUNTIFS(A:A,A477,D:D,D477,E:E,I477)</f>
        <v>0</v>
      </c>
    </row>
    <row r="478" spans="1:14" x14ac:dyDescent="0.3">
      <c r="A478" s="7" t="s">
        <v>52</v>
      </c>
      <c r="B478" s="7" t="s">
        <v>53</v>
      </c>
      <c r="C478" s="7" t="s">
        <v>64</v>
      </c>
      <c r="D478" s="8">
        <v>45312</v>
      </c>
      <c r="E478" s="8" t="str">
        <f t="shared" si="27"/>
        <v>January</v>
      </c>
      <c r="F478">
        <f t="shared" si="28"/>
        <v>2024</v>
      </c>
      <c r="G478">
        <f t="shared" si="29"/>
        <v>1</v>
      </c>
      <c r="H478">
        <f t="shared" si="30"/>
        <v>1</v>
      </c>
      <c r="I478" s="6">
        <v>0.35625000000000001</v>
      </c>
      <c r="J478" s="6">
        <v>0.79583333333333328</v>
      </c>
      <c r="K478" s="7" t="s">
        <v>26</v>
      </c>
      <c r="L478" s="7" t="s">
        <v>27</v>
      </c>
      <c r="M478" s="7" t="s">
        <v>21</v>
      </c>
      <c r="N478" s="7">
        <f>COUNTIFS(A:A,A478,D:D,D478,E:E,I478)</f>
        <v>0</v>
      </c>
    </row>
    <row r="479" spans="1:14" x14ac:dyDescent="0.3">
      <c r="A479" s="7" t="s">
        <v>204</v>
      </c>
      <c r="B479" s="7" t="s">
        <v>205</v>
      </c>
      <c r="C479" s="7" t="s">
        <v>64</v>
      </c>
      <c r="D479" s="8">
        <v>45627</v>
      </c>
      <c r="E479" s="8" t="str">
        <f t="shared" si="27"/>
        <v>December</v>
      </c>
      <c r="F479">
        <f t="shared" si="28"/>
        <v>2024</v>
      </c>
      <c r="G479">
        <f t="shared" si="29"/>
        <v>1</v>
      </c>
      <c r="H479">
        <f t="shared" si="30"/>
        <v>1</v>
      </c>
      <c r="I479" s="6">
        <v>0.39513888888888887</v>
      </c>
      <c r="J479" s="6">
        <v>0.75763888888888886</v>
      </c>
      <c r="K479" s="7" t="s">
        <v>26</v>
      </c>
      <c r="L479" s="7" t="s">
        <v>27</v>
      </c>
      <c r="M479" s="7" t="s">
        <v>21</v>
      </c>
      <c r="N479" s="7">
        <f>COUNTIFS(A:A,A479,D:D,D479,E:E,I479)</f>
        <v>0</v>
      </c>
    </row>
    <row r="480" spans="1:14" x14ac:dyDescent="0.3">
      <c r="A480" s="7" t="s">
        <v>37</v>
      </c>
      <c r="B480" s="7" t="s">
        <v>38</v>
      </c>
      <c r="C480" s="7" t="s">
        <v>60</v>
      </c>
      <c r="D480" s="8">
        <v>45372</v>
      </c>
      <c r="E480" s="8" t="str">
        <f t="shared" si="27"/>
        <v>March</v>
      </c>
      <c r="F480">
        <f t="shared" si="28"/>
        <v>2024</v>
      </c>
      <c r="G480">
        <f t="shared" si="29"/>
        <v>1</v>
      </c>
      <c r="H480">
        <f t="shared" si="30"/>
        <v>1</v>
      </c>
      <c r="I480" s="6">
        <v>0.34305555555555556</v>
      </c>
      <c r="J480" s="6">
        <v>0.76597222222222228</v>
      </c>
      <c r="K480" s="7" t="s">
        <v>26</v>
      </c>
      <c r="L480" s="7" t="s">
        <v>14</v>
      </c>
      <c r="M480" s="7" t="s">
        <v>21</v>
      </c>
      <c r="N480" s="7">
        <f>COUNTIFS(A:A,A480,D:D,D480,E:E,I480)</f>
        <v>0</v>
      </c>
    </row>
    <row r="481" spans="1:14" x14ac:dyDescent="0.3">
      <c r="A481" s="7" t="s">
        <v>66</v>
      </c>
      <c r="B481" s="7" t="s">
        <v>67</v>
      </c>
      <c r="C481" s="7" t="s">
        <v>60</v>
      </c>
      <c r="D481" s="8">
        <v>45413</v>
      </c>
      <c r="E481" s="8" t="str">
        <f t="shared" si="27"/>
        <v>May</v>
      </c>
      <c r="F481">
        <f t="shared" si="28"/>
        <v>2024</v>
      </c>
      <c r="G481">
        <f t="shared" si="29"/>
        <v>1</v>
      </c>
      <c r="H481">
        <f t="shared" si="30"/>
        <v>1</v>
      </c>
      <c r="I481" s="6">
        <v>0.47847222222222224</v>
      </c>
      <c r="J481" s="6">
        <v>0.82013888888888886</v>
      </c>
      <c r="K481" s="7" t="s">
        <v>26</v>
      </c>
      <c r="L481" s="7" t="s">
        <v>14</v>
      </c>
      <c r="M481" s="7" t="s">
        <v>21</v>
      </c>
      <c r="N481" s="7">
        <f>COUNTIFS(A:A,A481,D:D,D481,E:E,I481)</f>
        <v>0</v>
      </c>
    </row>
    <row r="482" spans="1:14" x14ac:dyDescent="0.3">
      <c r="A482" s="7" t="s">
        <v>22</v>
      </c>
      <c r="B482" s="7" t="s">
        <v>23</v>
      </c>
      <c r="C482" s="7" t="s">
        <v>42</v>
      </c>
      <c r="D482" s="8">
        <v>45316</v>
      </c>
      <c r="E482" s="8" t="str">
        <f t="shared" si="27"/>
        <v>January</v>
      </c>
      <c r="F482">
        <f t="shared" si="28"/>
        <v>2024</v>
      </c>
      <c r="G482">
        <f t="shared" si="29"/>
        <v>0</v>
      </c>
      <c r="H482">
        <f t="shared" si="30"/>
        <v>0</v>
      </c>
      <c r="I482" s="6"/>
      <c r="J482" s="6"/>
      <c r="K482" s="7" t="s">
        <v>44</v>
      </c>
      <c r="L482" s="7" t="s">
        <v>27</v>
      </c>
      <c r="M482" s="7" t="s">
        <v>15</v>
      </c>
      <c r="N482" s="7">
        <f>COUNTIFS(A:A,A482,D:D,D482,E:E,I482)</f>
        <v>0</v>
      </c>
    </row>
    <row r="483" spans="1:14" x14ac:dyDescent="0.3">
      <c r="A483" s="7" t="s">
        <v>28</v>
      </c>
      <c r="B483" s="7" t="s">
        <v>29</v>
      </c>
      <c r="C483" s="7" t="s">
        <v>64</v>
      </c>
      <c r="D483" s="8">
        <v>45366</v>
      </c>
      <c r="E483" s="8" t="str">
        <f t="shared" si="27"/>
        <v>March</v>
      </c>
      <c r="F483">
        <f t="shared" si="28"/>
        <v>2024</v>
      </c>
      <c r="G483">
        <f t="shared" si="29"/>
        <v>0</v>
      </c>
      <c r="H483">
        <f t="shared" si="30"/>
        <v>0</v>
      </c>
      <c r="I483" s="6"/>
      <c r="J483" s="6"/>
      <c r="K483" s="7" t="s">
        <v>44</v>
      </c>
      <c r="L483" s="7" t="s">
        <v>14</v>
      </c>
      <c r="M483" s="7" t="s">
        <v>21</v>
      </c>
      <c r="N483" s="7">
        <f>COUNTIFS(A:A,A483,D:D,D483,E:E,I483)</f>
        <v>0</v>
      </c>
    </row>
    <row r="484" spans="1:14" x14ac:dyDescent="0.3">
      <c r="A484" s="7" t="s">
        <v>93</v>
      </c>
      <c r="B484" s="7" t="s">
        <v>94</v>
      </c>
      <c r="C484" s="7" t="s">
        <v>60</v>
      </c>
      <c r="D484" s="8">
        <v>45507</v>
      </c>
      <c r="E484" s="8" t="str">
        <f t="shared" si="27"/>
        <v>August</v>
      </c>
      <c r="F484">
        <f t="shared" si="28"/>
        <v>2024</v>
      </c>
      <c r="G484">
        <f t="shared" si="29"/>
        <v>1</v>
      </c>
      <c r="H484">
        <f t="shared" si="30"/>
        <v>0</v>
      </c>
      <c r="I484" s="6">
        <v>0.39861111111111114</v>
      </c>
      <c r="J484" s="6">
        <v>0.72013888888888888</v>
      </c>
      <c r="K484" s="7" t="s">
        <v>20</v>
      </c>
      <c r="L484" s="7" t="s">
        <v>14</v>
      </c>
      <c r="M484" s="7" t="s">
        <v>21</v>
      </c>
      <c r="N484" s="7">
        <f>COUNTIFS(A:A,A484,D:D,D484,E:E,I484)</f>
        <v>0</v>
      </c>
    </row>
    <row r="485" spans="1:14" x14ac:dyDescent="0.3">
      <c r="A485" s="7" t="s">
        <v>69</v>
      </c>
      <c r="B485" s="7" t="s">
        <v>70</v>
      </c>
      <c r="C485" s="7" t="s">
        <v>425</v>
      </c>
      <c r="D485" s="8">
        <v>45340</v>
      </c>
      <c r="E485" s="8" t="str">
        <f t="shared" si="27"/>
        <v>February</v>
      </c>
      <c r="F485">
        <f t="shared" si="28"/>
        <v>2024</v>
      </c>
      <c r="G485">
        <f t="shared" si="29"/>
        <v>1</v>
      </c>
      <c r="H485">
        <f t="shared" si="30"/>
        <v>1</v>
      </c>
      <c r="I485" s="6">
        <v>0.40694444444444444</v>
      </c>
      <c r="J485" s="6">
        <v>0.75902777777777775</v>
      </c>
      <c r="K485" s="7" t="s">
        <v>26</v>
      </c>
      <c r="L485" s="7" t="s">
        <v>27</v>
      </c>
      <c r="M485" s="7" t="s">
        <v>21</v>
      </c>
      <c r="N485" s="7">
        <f>COUNTIFS(A:A,A485,D:D,D485,E:E,I485)</f>
        <v>0</v>
      </c>
    </row>
    <row r="486" spans="1:14" x14ac:dyDescent="0.3">
      <c r="A486" s="7" t="s">
        <v>122</v>
      </c>
      <c r="B486" s="7" t="s">
        <v>123</v>
      </c>
      <c r="C486" s="7" t="s">
        <v>64</v>
      </c>
      <c r="D486" s="8">
        <v>45337</v>
      </c>
      <c r="E486" s="8" t="str">
        <f t="shared" si="27"/>
        <v>February</v>
      </c>
      <c r="F486">
        <f t="shared" si="28"/>
        <v>2024</v>
      </c>
      <c r="G486">
        <f t="shared" si="29"/>
        <v>1</v>
      </c>
      <c r="H486">
        <f t="shared" si="30"/>
        <v>0</v>
      </c>
      <c r="I486" s="6">
        <v>0.44513888888888886</v>
      </c>
      <c r="J486" s="6">
        <v>0.72499999999999998</v>
      </c>
      <c r="K486" s="7" t="s">
        <v>20</v>
      </c>
      <c r="L486" s="7" t="s">
        <v>14</v>
      </c>
      <c r="M486" s="7" t="s">
        <v>21</v>
      </c>
      <c r="N486" s="7">
        <f>COUNTIFS(A:A,A486,D:D,D486,E:E,I486)</f>
        <v>0</v>
      </c>
    </row>
    <row r="487" spans="1:14" x14ac:dyDescent="0.3">
      <c r="A487" s="7" t="s">
        <v>134</v>
      </c>
      <c r="B487" s="7" t="s">
        <v>135</v>
      </c>
      <c r="C487" s="7" t="s">
        <v>64</v>
      </c>
      <c r="D487" s="8">
        <v>45383</v>
      </c>
      <c r="E487" s="8" t="str">
        <f t="shared" si="27"/>
        <v>April</v>
      </c>
      <c r="F487">
        <f t="shared" si="28"/>
        <v>2024</v>
      </c>
      <c r="G487">
        <f t="shared" si="29"/>
        <v>1</v>
      </c>
      <c r="H487">
        <f t="shared" si="30"/>
        <v>1</v>
      </c>
      <c r="I487" s="6">
        <v>0.48888888888888887</v>
      </c>
      <c r="J487" s="6">
        <v>0.86111111111111116</v>
      </c>
      <c r="K487" s="7" t="s">
        <v>26</v>
      </c>
      <c r="L487" s="7" t="s">
        <v>14</v>
      </c>
      <c r="M487" s="7" t="s">
        <v>21</v>
      </c>
      <c r="N487" s="7">
        <f>COUNTIFS(A:A,A487,D:D,D487,E:E,I487)</f>
        <v>0</v>
      </c>
    </row>
    <row r="488" spans="1:14" x14ac:dyDescent="0.3">
      <c r="A488" s="7" t="s">
        <v>157</v>
      </c>
      <c r="B488" s="7" t="s">
        <v>158</v>
      </c>
      <c r="C488" s="7" t="s">
        <v>426</v>
      </c>
      <c r="D488" s="8">
        <v>45336</v>
      </c>
      <c r="E488" s="8" t="str">
        <f t="shared" si="27"/>
        <v>February</v>
      </c>
      <c r="F488">
        <f t="shared" si="28"/>
        <v>2024</v>
      </c>
      <c r="G488">
        <f t="shared" si="29"/>
        <v>1</v>
      </c>
      <c r="H488">
        <f t="shared" si="30"/>
        <v>0</v>
      </c>
      <c r="I488" s="6">
        <v>0.39861111111111114</v>
      </c>
      <c r="J488" s="6">
        <v>0.67777777777777781</v>
      </c>
      <c r="K488" s="7" t="s">
        <v>20</v>
      </c>
      <c r="L488" s="7" t="s">
        <v>14</v>
      </c>
      <c r="M488" s="7" t="s">
        <v>15</v>
      </c>
      <c r="N488" s="7">
        <f>COUNTIFS(A:A,A488,D:D,D488,E:E,I488)</f>
        <v>0</v>
      </c>
    </row>
    <row r="489" spans="1:14" x14ac:dyDescent="0.3">
      <c r="A489" s="7" t="s">
        <v>187</v>
      </c>
      <c r="B489" s="7" t="s">
        <v>188</v>
      </c>
      <c r="C489" s="7" t="s">
        <v>64</v>
      </c>
      <c r="D489" s="8">
        <v>45306</v>
      </c>
      <c r="E489" s="8" t="str">
        <f t="shared" si="27"/>
        <v>January</v>
      </c>
      <c r="F489">
        <f t="shared" si="28"/>
        <v>2024</v>
      </c>
      <c r="G489">
        <f t="shared" si="29"/>
        <v>1</v>
      </c>
      <c r="H489">
        <f t="shared" si="30"/>
        <v>0</v>
      </c>
      <c r="I489" s="6">
        <v>0.45347222222222222</v>
      </c>
      <c r="J489" s="6">
        <v>0.70416666666666672</v>
      </c>
      <c r="K489" s="7" t="s">
        <v>13</v>
      </c>
      <c r="L489" s="7" t="s">
        <v>27</v>
      </c>
      <c r="M489" s="7" t="s">
        <v>15</v>
      </c>
      <c r="N489" s="7">
        <f>COUNTIFS(A:A,A489,D:D,D489,E:E,I489)</f>
        <v>0</v>
      </c>
    </row>
    <row r="490" spans="1:14" x14ac:dyDescent="0.3">
      <c r="A490" s="7" t="s">
        <v>31</v>
      </c>
      <c r="B490" s="7" t="s">
        <v>32</v>
      </c>
      <c r="C490" s="7" t="s">
        <v>42</v>
      </c>
      <c r="D490" s="8">
        <v>45301</v>
      </c>
      <c r="E490" s="8" t="str">
        <f t="shared" si="27"/>
        <v>January</v>
      </c>
      <c r="F490">
        <f t="shared" si="28"/>
        <v>2024</v>
      </c>
      <c r="G490">
        <f t="shared" si="29"/>
        <v>1</v>
      </c>
      <c r="H490">
        <f t="shared" si="30"/>
        <v>1</v>
      </c>
      <c r="I490" s="6">
        <v>0.37638888888888888</v>
      </c>
      <c r="J490" s="6">
        <v>0.80347222222222225</v>
      </c>
      <c r="K490" s="7" t="s">
        <v>26</v>
      </c>
      <c r="L490" s="7" t="s">
        <v>14</v>
      </c>
      <c r="M490" s="7" t="s">
        <v>15</v>
      </c>
      <c r="N490" s="7">
        <f>COUNTIFS(A:A,A490,D:D,D490,E:E,I490)</f>
        <v>0</v>
      </c>
    </row>
    <row r="491" spans="1:14" x14ac:dyDescent="0.3">
      <c r="A491" s="7" t="s">
        <v>157</v>
      </c>
      <c r="B491" s="7" t="s">
        <v>158</v>
      </c>
      <c r="C491" s="7" t="s">
        <v>60</v>
      </c>
      <c r="D491" s="8">
        <v>45538</v>
      </c>
      <c r="E491" s="8" t="str">
        <f t="shared" si="27"/>
        <v>September</v>
      </c>
      <c r="F491">
        <f t="shared" si="28"/>
        <v>2024</v>
      </c>
      <c r="G491">
        <f t="shared" si="29"/>
        <v>1</v>
      </c>
      <c r="H491">
        <f t="shared" si="30"/>
        <v>1</v>
      </c>
      <c r="I491" s="6">
        <v>0.44791666666666669</v>
      </c>
      <c r="J491" s="6">
        <v>0.75277777777777777</v>
      </c>
      <c r="K491" s="7" t="s">
        <v>26</v>
      </c>
      <c r="L491" s="7" t="s">
        <v>14</v>
      </c>
      <c r="M491" s="7" t="s">
        <v>15</v>
      </c>
      <c r="N491" s="7">
        <f>COUNTIFS(A:A,A491,D:D,D491,E:E,I491)</f>
        <v>0</v>
      </c>
    </row>
    <row r="492" spans="1:14" x14ac:dyDescent="0.3">
      <c r="A492" s="7" t="s">
        <v>45</v>
      </c>
      <c r="B492" s="7" t="s">
        <v>46</v>
      </c>
      <c r="C492" s="7" t="s">
        <v>42</v>
      </c>
      <c r="D492" s="8">
        <v>45310</v>
      </c>
      <c r="E492" s="8" t="str">
        <f t="shared" si="27"/>
        <v>January</v>
      </c>
      <c r="F492">
        <f t="shared" si="28"/>
        <v>2024</v>
      </c>
      <c r="G492">
        <f t="shared" si="29"/>
        <v>0</v>
      </c>
      <c r="H492">
        <f t="shared" si="30"/>
        <v>0</v>
      </c>
      <c r="I492" s="6"/>
      <c r="J492" s="6"/>
      <c r="K492" s="7" t="s">
        <v>44</v>
      </c>
      <c r="L492" s="7" t="s">
        <v>14</v>
      </c>
      <c r="M492" s="7" t="s">
        <v>15</v>
      </c>
      <c r="N492" s="7">
        <f>COUNTIFS(A:A,A492,D:D,D492,E:E,I492)</f>
        <v>0</v>
      </c>
    </row>
    <row r="493" spans="1:14" x14ac:dyDescent="0.3">
      <c r="A493" s="7" t="s">
        <v>269</v>
      </c>
      <c r="B493" s="7" t="s">
        <v>270</v>
      </c>
      <c r="C493" s="7" t="s">
        <v>425</v>
      </c>
      <c r="D493" s="8">
        <v>45505</v>
      </c>
      <c r="E493" s="8" t="str">
        <f t="shared" si="27"/>
        <v>August</v>
      </c>
      <c r="F493">
        <f t="shared" si="28"/>
        <v>2024</v>
      </c>
      <c r="G493">
        <f t="shared" si="29"/>
        <v>1</v>
      </c>
      <c r="H493">
        <f t="shared" si="30"/>
        <v>1</v>
      </c>
      <c r="I493" s="6">
        <v>0.39097222222222222</v>
      </c>
      <c r="J493" s="6">
        <v>0.77152777777777781</v>
      </c>
      <c r="K493" s="7" t="s">
        <v>26</v>
      </c>
      <c r="L493" s="7" t="s">
        <v>14</v>
      </c>
      <c r="M493" s="7" t="s">
        <v>21</v>
      </c>
      <c r="N493" s="7">
        <f>COUNTIFS(A:A,A493,D:D,D493,E:E,I493)</f>
        <v>0</v>
      </c>
    </row>
    <row r="494" spans="1:14" x14ac:dyDescent="0.3">
      <c r="A494" s="7" t="s">
        <v>146</v>
      </c>
      <c r="B494" s="7" t="s">
        <v>147</v>
      </c>
      <c r="C494" s="7" t="s">
        <v>64</v>
      </c>
      <c r="D494" s="8">
        <v>45627</v>
      </c>
      <c r="E494" s="8" t="str">
        <f t="shared" si="27"/>
        <v>December</v>
      </c>
      <c r="F494">
        <f t="shared" si="28"/>
        <v>2024</v>
      </c>
      <c r="G494">
        <f t="shared" si="29"/>
        <v>1</v>
      </c>
      <c r="H494">
        <f t="shared" si="30"/>
        <v>0</v>
      </c>
      <c r="I494" s="6">
        <v>0.41597222222222224</v>
      </c>
      <c r="J494" s="6">
        <v>0.69722222222222219</v>
      </c>
      <c r="K494" s="7" t="s">
        <v>20</v>
      </c>
      <c r="L494" s="7" t="s">
        <v>14</v>
      </c>
      <c r="M494" s="7" t="s">
        <v>15</v>
      </c>
      <c r="N494" s="7">
        <f>COUNTIFS(A:A,A494,D:D,D494,E:E,I494)</f>
        <v>0</v>
      </c>
    </row>
    <row r="495" spans="1:14" x14ac:dyDescent="0.3">
      <c r="A495" s="7" t="s">
        <v>112</v>
      </c>
      <c r="B495" s="7" t="s">
        <v>113</v>
      </c>
      <c r="C495" s="7" t="s">
        <v>60</v>
      </c>
      <c r="D495" s="8">
        <v>45348</v>
      </c>
      <c r="E495" s="8" t="str">
        <f t="shared" si="27"/>
        <v>February</v>
      </c>
      <c r="F495">
        <f t="shared" si="28"/>
        <v>2024</v>
      </c>
      <c r="G495">
        <f t="shared" si="29"/>
        <v>1</v>
      </c>
      <c r="H495">
        <f t="shared" si="30"/>
        <v>1</v>
      </c>
      <c r="I495" s="6">
        <v>0.41041666666666665</v>
      </c>
      <c r="J495" s="6">
        <v>0.79305555555555551</v>
      </c>
      <c r="K495" s="7" t="s">
        <v>26</v>
      </c>
      <c r="L495" s="7" t="s">
        <v>14</v>
      </c>
      <c r="M495" s="7" t="s">
        <v>15</v>
      </c>
      <c r="N495" s="7">
        <f>COUNTIFS(A:A,A495,D:D,D495,E:E,I495)</f>
        <v>0</v>
      </c>
    </row>
    <row r="496" spans="1:14" x14ac:dyDescent="0.3">
      <c r="A496" s="7" t="s">
        <v>165</v>
      </c>
      <c r="B496" s="7" t="s">
        <v>166</v>
      </c>
      <c r="C496" s="7" t="s">
        <v>426</v>
      </c>
      <c r="D496" s="8">
        <v>45415</v>
      </c>
      <c r="E496" s="8" t="str">
        <f t="shared" si="27"/>
        <v>May</v>
      </c>
      <c r="F496">
        <f t="shared" si="28"/>
        <v>2024</v>
      </c>
      <c r="G496">
        <f t="shared" si="29"/>
        <v>1</v>
      </c>
      <c r="H496">
        <f t="shared" si="30"/>
        <v>0</v>
      </c>
      <c r="I496" s="6">
        <v>0.39652777777777776</v>
      </c>
      <c r="J496" s="6">
        <v>0.70833333333333337</v>
      </c>
      <c r="K496" s="7" t="s">
        <v>13</v>
      </c>
      <c r="L496" s="7" t="s">
        <v>14</v>
      </c>
      <c r="M496" s="7" t="s">
        <v>21</v>
      </c>
      <c r="N496" s="7">
        <f>COUNTIFS(A:A,A496,D:D,D496,E:E,I496)</f>
        <v>0</v>
      </c>
    </row>
    <row r="497" spans="1:14" x14ac:dyDescent="0.3">
      <c r="A497" s="7" t="s">
        <v>90</v>
      </c>
      <c r="B497" s="7" t="s">
        <v>91</v>
      </c>
      <c r="C497" s="7" t="s">
        <v>60</v>
      </c>
      <c r="D497" s="8">
        <v>45335</v>
      </c>
      <c r="E497" s="8" t="str">
        <f t="shared" si="27"/>
        <v>February</v>
      </c>
      <c r="F497">
        <f t="shared" si="28"/>
        <v>2024</v>
      </c>
      <c r="G497">
        <f t="shared" si="29"/>
        <v>1</v>
      </c>
      <c r="H497">
        <f t="shared" si="30"/>
        <v>1</v>
      </c>
      <c r="I497" s="6">
        <v>0.41666666666666669</v>
      </c>
      <c r="J497" s="6">
        <v>0.67777777777777781</v>
      </c>
      <c r="K497" s="7" t="s">
        <v>26</v>
      </c>
      <c r="L497" s="7" t="s">
        <v>14</v>
      </c>
      <c r="M497" s="7" t="s">
        <v>21</v>
      </c>
      <c r="N497" s="7">
        <f>COUNTIFS(A:A,A497,D:D,D497,E:E,I497)</f>
        <v>0</v>
      </c>
    </row>
    <row r="498" spans="1:14" x14ac:dyDescent="0.3">
      <c r="A498" s="7" t="s">
        <v>187</v>
      </c>
      <c r="B498" s="7" t="s">
        <v>188</v>
      </c>
      <c r="C498" s="7" t="s">
        <v>64</v>
      </c>
      <c r="D498" s="8">
        <v>45308</v>
      </c>
      <c r="E498" s="8" t="str">
        <f t="shared" si="27"/>
        <v>January</v>
      </c>
      <c r="F498">
        <f t="shared" si="28"/>
        <v>2024</v>
      </c>
      <c r="G498">
        <f t="shared" si="29"/>
        <v>1</v>
      </c>
      <c r="H498">
        <f t="shared" si="30"/>
        <v>0</v>
      </c>
      <c r="I498" s="6">
        <v>0.34513888888888888</v>
      </c>
      <c r="J498" s="6">
        <v>0.81319444444444444</v>
      </c>
      <c r="K498" s="7" t="s">
        <v>13</v>
      </c>
      <c r="L498" s="7" t="s">
        <v>27</v>
      </c>
      <c r="M498" s="7" t="s">
        <v>21</v>
      </c>
      <c r="N498" s="7">
        <f>COUNTIFS(A:A,A498,D:D,D498,E:E,I498)</f>
        <v>0</v>
      </c>
    </row>
    <row r="499" spans="1:14" x14ac:dyDescent="0.3">
      <c r="A499" s="7" t="s">
        <v>291</v>
      </c>
      <c r="B499" s="7" t="s">
        <v>292</v>
      </c>
      <c r="C499" s="7" t="s">
        <v>426</v>
      </c>
      <c r="D499" s="8">
        <v>45366</v>
      </c>
      <c r="E499" s="8" t="str">
        <f t="shared" si="27"/>
        <v>March</v>
      </c>
      <c r="F499">
        <f t="shared" si="28"/>
        <v>2024</v>
      </c>
      <c r="G499">
        <f t="shared" si="29"/>
        <v>1</v>
      </c>
      <c r="H499">
        <f t="shared" si="30"/>
        <v>1</v>
      </c>
      <c r="I499" s="6">
        <v>0.45624999999999999</v>
      </c>
      <c r="J499" s="6">
        <v>0.86736111111111114</v>
      </c>
      <c r="K499" s="7" t="s">
        <v>26</v>
      </c>
      <c r="L499" s="7" t="s">
        <v>14</v>
      </c>
      <c r="M499" s="7" t="s">
        <v>15</v>
      </c>
      <c r="N499" s="7">
        <f>COUNTIFS(A:A,A499,D:D,D499,E:E,I499)</f>
        <v>0</v>
      </c>
    </row>
    <row r="500" spans="1:14" x14ac:dyDescent="0.3">
      <c r="A500" s="7" t="s">
        <v>119</v>
      </c>
      <c r="B500" s="7" t="s">
        <v>120</v>
      </c>
      <c r="C500" s="7" t="s">
        <v>42</v>
      </c>
      <c r="D500" s="8">
        <v>45322</v>
      </c>
      <c r="E500" s="8" t="str">
        <f t="shared" si="27"/>
        <v>January</v>
      </c>
      <c r="F500">
        <f t="shared" si="28"/>
        <v>2024</v>
      </c>
      <c r="G500">
        <f t="shared" si="29"/>
        <v>0</v>
      </c>
      <c r="H500">
        <f t="shared" si="30"/>
        <v>0</v>
      </c>
      <c r="I500" s="6"/>
      <c r="J500" s="6"/>
      <c r="K500" s="7" t="s">
        <v>44</v>
      </c>
      <c r="L500" s="7" t="s">
        <v>27</v>
      </c>
      <c r="M500" s="7" t="s">
        <v>15</v>
      </c>
      <c r="N500" s="7">
        <f>COUNTIFS(A:A,A500,D:D,D500,E:E,I500)</f>
        <v>0</v>
      </c>
    </row>
    <row r="501" spans="1:14" x14ac:dyDescent="0.3">
      <c r="A501" s="7" t="s">
        <v>87</v>
      </c>
      <c r="B501" s="7" t="s">
        <v>88</v>
      </c>
      <c r="C501" s="7" t="s">
        <v>42</v>
      </c>
      <c r="D501" s="8">
        <v>45381</v>
      </c>
      <c r="E501" s="8" t="str">
        <f t="shared" si="27"/>
        <v>March</v>
      </c>
      <c r="F501">
        <f t="shared" si="28"/>
        <v>2024</v>
      </c>
      <c r="G501">
        <f t="shared" si="29"/>
        <v>1</v>
      </c>
      <c r="H501">
        <f t="shared" si="30"/>
        <v>0</v>
      </c>
      <c r="I501" s="6">
        <v>0.42083333333333334</v>
      </c>
      <c r="J501" s="6">
        <v>0.69097222222222221</v>
      </c>
      <c r="K501" s="7" t="s">
        <v>13</v>
      </c>
      <c r="L501" s="7" t="s">
        <v>27</v>
      </c>
      <c r="M501" s="7" t="s">
        <v>21</v>
      </c>
      <c r="N501" s="7">
        <f>COUNTIFS(A:A,A501,D:D,D501,E:E,I501)</f>
        <v>0</v>
      </c>
    </row>
    <row r="502" spans="1:14" x14ac:dyDescent="0.3">
      <c r="A502" s="7" t="s">
        <v>37</v>
      </c>
      <c r="B502" s="7" t="s">
        <v>38</v>
      </c>
      <c r="C502" s="7" t="s">
        <v>425</v>
      </c>
      <c r="D502" s="8">
        <v>45339</v>
      </c>
      <c r="E502" s="8" t="str">
        <f t="shared" si="27"/>
        <v>February</v>
      </c>
      <c r="F502">
        <f t="shared" si="28"/>
        <v>2024</v>
      </c>
      <c r="G502">
        <f t="shared" si="29"/>
        <v>1</v>
      </c>
      <c r="H502">
        <f t="shared" si="30"/>
        <v>0</v>
      </c>
      <c r="I502" s="6">
        <v>0.4548611111111111</v>
      </c>
      <c r="J502" s="6">
        <v>0.80694444444444446</v>
      </c>
      <c r="K502" s="7" t="s">
        <v>13</v>
      </c>
      <c r="L502" s="7" t="s">
        <v>27</v>
      </c>
      <c r="M502" s="7" t="s">
        <v>21</v>
      </c>
      <c r="N502" s="7">
        <f>COUNTIFS(A:A,A502,D:D,D502,E:E,I502)</f>
        <v>0</v>
      </c>
    </row>
    <row r="503" spans="1:14" x14ac:dyDescent="0.3">
      <c r="A503" s="7" t="s">
        <v>291</v>
      </c>
      <c r="B503" s="7" t="s">
        <v>292</v>
      </c>
      <c r="C503" s="7" t="s">
        <v>425</v>
      </c>
      <c r="D503" s="8">
        <v>45369</v>
      </c>
      <c r="E503" s="8" t="str">
        <f t="shared" si="27"/>
        <v>March</v>
      </c>
      <c r="F503">
        <f t="shared" si="28"/>
        <v>2024</v>
      </c>
      <c r="G503">
        <f t="shared" si="29"/>
        <v>1</v>
      </c>
      <c r="H503">
        <f t="shared" si="30"/>
        <v>1</v>
      </c>
      <c r="I503" s="6">
        <v>0.46597222222222223</v>
      </c>
      <c r="J503" s="6">
        <v>0.68958333333333333</v>
      </c>
      <c r="K503" s="7" t="s">
        <v>26</v>
      </c>
      <c r="L503" s="7" t="s">
        <v>14</v>
      </c>
      <c r="M503" s="7" t="s">
        <v>15</v>
      </c>
      <c r="N503" s="7">
        <f>COUNTIFS(A:A,A503,D:D,D503,E:E,I503)</f>
        <v>0</v>
      </c>
    </row>
    <row r="504" spans="1:14" x14ac:dyDescent="0.3">
      <c r="A504" s="7" t="s">
        <v>37</v>
      </c>
      <c r="B504" s="7" t="s">
        <v>38</v>
      </c>
      <c r="C504" s="7" t="s">
        <v>42</v>
      </c>
      <c r="D504" s="8">
        <v>45325</v>
      </c>
      <c r="E504" s="8" t="str">
        <f t="shared" si="27"/>
        <v>February</v>
      </c>
      <c r="F504">
        <f t="shared" si="28"/>
        <v>2024</v>
      </c>
      <c r="G504">
        <f t="shared" si="29"/>
        <v>1</v>
      </c>
      <c r="H504">
        <f t="shared" si="30"/>
        <v>0</v>
      </c>
      <c r="I504" s="6">
        <v>0.38124999999999998</v>
      </c>
      <c r="J504" s="6">
        <v>0.83333333333333337</v>
      </c>
      <c r="K504" s="7" t="s">
        <v>20</v>
      </c>
      <c r="L504" s="7" t="s">
        <v>27</v>
      </c>
      <c r="M504" s="7" t="s">
        <v>15</v>
      </c>
      <c r="N504" s="7">
        <f>COUNTIFS(A:A,A504,D:D,D504,E:E,I504)</f>
        <v>0</v>
      </c>
    </row>
    <row r="505" spans="1:14" x14ac:dyDescent="0.3">
      <c r="A505" s="7" t="s">
        <v>96</v>
      </c>
      <c r="B505" s="7" t="s">
        <v>97</v>
      </c>
      <c r="C505" s="7" t="s">
        <v>426</v>
      </c>
      <c r="D505" s="8">
        <v>45306</v>
      </c>
      <c r="E505" s="8" t="str">
        <f t="shared" si="27"/>
        <v>January</v>
      </c>
      <c r="F505">
        <f t="shared" si="28"/>
        <v>2024</v>
      </c>
      <c r="G505">
        <f t="shared" si="29"/>
        <v>1</v>
      </c>
      <c r="H505">
        <f t="shared" si="30"/>
        <v>0</v>
      </c>
      <c r="I505" s="6">
        <v>0.40833333333333333</v>
      </c>
      <c r="J505" s="6">
        <v>0.86041666666666672</v>
      </c>
      <c r="K505" s="7" t="s">
        <v>20</v>
      </c>
      <c r="L505" s="7" t="s">
        <v>14</v>
      </c>
      <c r="M505" s="7" t="s">
        <v>21</v>
      </c>
      <c r="N505" s="7">
        <f>COUNTIFS(A:A,A505,D:D,D505,E:E,I505)</f>
        <v>0</v>
      </c>
    </row>
    <row r="506" spans="1:14" x14ac:dyDescent="0.3">
      <c r="A506" s="7" t="s">
        <v>69</v>
      </c>
      <c r="B506" s="7" t="s">
        <v>70</v>
      </c>
      <c r="C506" s="7" t="s">
        <v>426</v>
      </c>
      <c r="D506" s="8">
        <v>45370</v>
      </c>
      <c r="E506" s="8" t="str">
        <f t="shared" si="27"/>
        <v>March</v>
      </c>
      <c r="F506">
        <f t="shared" si="28"/>
        <v>2024</v>
      </c>
      <c r="G506">
        <f t="shared" si="29"/>
        <v>1</v>
      </c>
      <c r="H506">
        <f t="shared" si="30"/>
        <v>0</v>
      </c>
      <c r="I506" s="6">
        <v>0.43402777777777779</v>
      </c>
      <c r="J506" s="6">
        <v>0.67152777777777772</v>
      </c>
      <c r="K506" s="7" t="s">
        <v>13</v>
      </c>
      <c r="L506" s="7" t="s">
        <v>27</v>
      </c>
      <c r="M506" s="7" t="s">
        <v>21</v>
      </c>
      <c r="N506" s="7">
        <f>COUNTIFS(A:A,A506,D:D,D506,E:E,I506)</f>
        <v>0</v>
      </c>
    </row>
    <row r="507" spans="1:14" x14ac:dyDescent="0.3">
      <c r="A507" s="7" t="s">
        <v>109</v>
      </c>
      <c r="B507" s="7" t="s">
        <v>110</v>
      </c>
      <c r="C507" s="7" t="s">
        <v>426</v>
      </c>
      <c r="D507" s="8">
        <v>45367</v>
      </c>
      <c r="E507" s="8" t="str">
        <f t="shared" si="27"/>
        <v>March</v>
      </c>
      <c r="F507">
        <f t="shared" si="28"/>
        <v>2024</v>
      </c>
      <c r="G507">
        <f t="shared" si="29"/>
        <v>1</v>
      </c>
      <c r="H507">
        <f t="shared" si="30"/>
        <v>1</v>
      </c>
      <c r="I507" s="6">
        <v>0.33819444444444446</v>
      </c>
      <c r="J507" s="6">
        <v>0.71736111111111112</v>
      </c>
      <c r="K507" s="7" t="s">
        <v>26</v>
      </c>
      <c r="L507" s="7" t="s">
        <v>27</v>
      </c>
      <c r="M507" s="7" t="s">
        <v>15</v>
      </c>
      <c r="N507" s="7">
        <f>COUNTIFS(A:A,A507,D:D,D507,E:E,I507)</f>
        <v>0</v>
      </c>
    </row>
    <row r="508" spans="1:14" x14ac:dyDescent="0.3">
      <c r="A508" s="7" t="s">
        <v>81</v>
      </c>
      <c r="B508" s="7" t="s">
        <v>82</v>
      </c>
      <c r="C508" s="7" t="s">
        <v>426</v>
      </c>
      <c r="D508" s="8">
        <v>45348</v>
      </c>
      <c r="E508" s="8" t="str">
        <f t="shared" si="27"/>
        <v>February</v>
      </c>
      <c r="F508">
        <f t="shared" si="28"/>
        <v>2024</v>
      </c>
      <c r="G508">
        <f t="shared" si="29"/>
        <v>0</v>
      </c>
      <c r="H508">
        <f t="shared" si="30"/>
        <v>0</v>
      </c>
      <c r="I508" s="6"/>
      <c r="J508" s="6"/>
      <c r="K508" s="7" t="s">
        <v>44</v>
      </c>
      <c r="L508" s="7" t="s">
        <v>14</v>
      </c>
      <c r="M508" s="7" t="s">
        <v>15</v>
      </c>
      <c r="N508" s="7">
        <f>COUNTIFS(A:A,A508,D:D,D508,E:E,I508)</f>
        <v>0</v>
      </c>
    </row>
    <row r="509" spans="1:14" x14ac:dyDescent="0.3">
      <c r="A509" s="7" t="s">
        <v>112</v>
      </c>
      <c r="B509" s="7" t="s">
        <v>113</v>
      </c>
      <c r="C509" s="7" t="s">
        <v>64</v>
      </c>
      <c r="D509" s="8">
        <v>45294</v>
      </c>
      <c r="E509" s="8" t="str">
        <f t="shared" si="27"/>
        <v>January</v>
      </c>
      <c r="F509">
        <f t="shared" si="28"/>
        <v>2024</v>
      </c>
      <c r="G509">
        <f t="shared" si="29"/>
        <v>1</v>
      </c>
      <c r="H509">
        <f t="shared" si="30"/>
        <v>1</v>
      </c>
      <c r="I509" s="6">
        <v>0.48194444444444445</v>
      </c>
      <c r="J509" s="6">
        <v>0.85555555555555551</v>
      </c>
      <c r="K509" s="7" t="s">
        <v>26</v>
      </c>
      <c r="L509" s="7" t="s">
        <v>27</v>
      </c>
      <c r="M509" s="7" t="s">
        <v>15</v>
      </c>
      <c r="N509" s="7">
        <f>COUNTIFS(A:A,A509,D:D,D509,E:E,I509)</f>
        <v>0</v>
      </c>
    </row>
    <row r="510" spans="1:14" x14ac:dyDescent="0.3">
      <c r="A510" s="7" t="s">
        <v>28</v>
      </c>
      <c r="B510" s="7" t="s">
        <v>29</v>
      </c>
      <c r="C510" s="7" t="s">
        <v>60</v>
      </c>
      <c r="D510" s="8">
        <v>45370</v>
      </c>
      <c r="E510" s="8" t="str">
        <f t="shared" si="27"/>
        <v>March</v>
      </c>
      <c r="F510">
        <f t="shared" si="28"/>
        <v>2024</v>
      </c>
      <c r="G510">
        <f t="shared" si="29"/>
        <v>1</v>
      </c>
      <c r="H510">
        <f t="shared" si="30"/>
        <v>0</v>
      </c>
      <c r="I510" s="6">
        <v>0.40694444444444444</v>
      </c>
      <c r="J510" s="6">
        <v>0.68333333333333335</v>
      </c>
      <c r="K510" s="7" t="s">
        <v>13</v>
      </c>
      <c r="L510" s="7" t="s">
        <v>14</v>
      </c>
      <c r="M510" s="7" t="s">
        <v>15</v>
      </c>
      <c r="N510" s="7">
        <f>COUNTIFS(A:A,A510,D:D,D510,E:E,I510)</f>
        <v>0</v>
      </c>
    </row>
    <row r="511" spans="1:14" x14ac:dyDescent="0.3">
      <c r="A511" s="7" t="s">
        <v>291</v>
      </c>
      <c r="B511" s="7" t="s">
        <v>292</v>
      </c>
      <c r="C511" s="7" t="s">
        <v>64</v>
      </c>
      <c r="D511" s="8">
        <v>45372</v>
      </c>
      <c r="E511" s="8" t="str">
        <f t="shared" si="27"/>
        <v>March</v>
      </c>
      <c r="F511">
        <f t="shared" si="28"/>
        <v>2024</v>
      </c>
      <c r="G511">
        <f t="shared" si="29"/>
        <v>1</v>
      </c>
      <c r="H511">
        <f t="shared" si="30"/>
        <v>0</v>
      </c>
      <c r="I511" s="6">
        <v>0.47013888888888888</v>
      </c>
      <c r="J511" s="6">
        <v>0.75763888888888886</v>
      </c>
      <c r="K511" s="7" t="s">
        <v>13</v>
      </c>
      <c r="L511" s="7" t="s">
        <v>14</v>
      </c>
      <c r="M511" s="7" t="s">
        <v>15</v>
      </c>
      <c r="N511" s="7">
        <f>COUNTIFS(A:A,A511,D:D,D511,E:E,I511)</f>
        <v>0</v>
      </c>
    </row>
    <row r="512" spans="1:14" x14ac:dyDescent="0.3">
      <c r="A512" s="7" t="s">
        <v>187</v>
      </c>
      <c r="B512" s="7" t="s">
        <v>188</v>
      </c>
      <c r="C512" s="7" t="s">
        <v>42</v>
      </c>
      <c r="D512" s="8">
        <v>45304</v>
      </c>
      <c r="E512" s="8" t="str">
        <f t="shared" si="27"/>
        <v>January</v>
      </c>
      <c r="F512">
        <f t="shared" si="28"/>
        <v>2024</v>
      </c>
      <c r="G512">
        <f t="shared" si="29"/>
        <v>0</v>
      </c>
      <c r="H512">
        <f t="shared" si="30"/>
        <v>0</v>
      </c>
      <c r="I512" s="6"/>
      <c r="J512" s="6"/>
      <c r="K512" s="7" t="s">
        <v>44</v>
      </c>
      <c r="L512" s="7" t="s">
        <v>27</v>
      </c>
      <c r="M512" s="7" t="s">
        <v>15</v>
      </c>
      <c r="N512" s="7">
        <f>COUNTIFS(A:A,A512,D:D,D512,E:E,I512)</f>
        <v>0</v>
      </c>
    </row>
    <row r="513" spans="1:14" x14ac:dyDescent="0.3">
      <c r="A513" s="7" t="s">
        <v>84</v>
      </c>
      <c r="B513" s="7" t="s">
        <v>85</v>
      </c>
      <c r="C513" s="7" t="s">
        <v>60</v>
      </c>
      <c r="D513" s="8">
        <v>45353</v>
      </c>
      <c r="E513" s="8" t="str">
        <f t="shared" si="27"/>
        <v>March</v>
      </c>
      <c r="F513">
        <f t="shared" si="28"/>
        <v>2024</v>
      </c>
      <c r="G513">
        <f t="shared" si="29"/>
        <v>0</v>
      </c>
      <c r="H513">
        <f t="shared" si="30"/>
        <v>0</v>
      </c>
      <c r="I513" s="6"/>
      <c r="J513" s="6"/>
      <c r="K513" s="7" t="s">
        <v>44</v>
      </c>
      <c r="L513" s="7" t="s">
        <v>14</v>
      </c>
      <c r="M513" s="7" t="s">
        <v>21</v>
      </c>
      <c r="N513" s="7">
        <f>COUNTIFS(A:A,A513,D:D,D513,E:E,I513)</f>
        <v>0</v>
      </c>
    </row>
    <row r="514" spans="1:14" x14ac:dyDescent="0.3">
      <c r="A514" s="7" t="s">
        <v>216</v>
      </c>
      <c r="B514" s="7" t="s">
        <v>217</v>
      </c>
      <c r="C514" s="7" t="s">
        <v>64</v>
      </c>
      <c r="D514" s="8">
        <v>45370</v>
      </c>
      <c r="E514" s="8" t="str">
        <f t="shared" ref="E514:E577" si="31">TEXT(D514,"mmmm")</f>
        <v>March</v>
      </c>
      <c r="F514">
        <f t="shared" ref="F514:F577" si="32">YEAR(D514)</f>
        <v>2024</v>
      </c>
      <c r="G514">
        <f t="shared" ref="G514:G577" si="33">IF(LOWER(K514)="absent",0,1)</f>
        <v>0</v>
      </c>
      <c r="H514">
        <f t="shared" ref="H514:H577" si="34">IF(K514="Late",1,0)</f>
        <v>0</v>
      </c>
      <c r="I514" s="6"/>
      <c r="J514" s="6"/>
      <c r="K514" s="7" t="s">
        <v>44</v>
      </c>
      <c r="L514" s="7" t="s">
        <v>14</v>
      </c>
      <c r="M514" s="7" t="s">
        <v>15</v>
      </c>
      <c r="N514" s="7">
        <f>COUNTIFS(A:A,A514,D:D,D514,E:E,I514)</f>
        <v>0</v>
      </c>
    </row>
    <row r="515" spans="1:14" x14ac:dyDescent="0.3">
      <c r="A515" s="7" t="s">
        <v>338</v>
      </c>
      <c r="B515" s="7" t="s">
        <v>339</v>
      </c>
      <c r="C515" s="7" t="s">
        <v>426</v>
      </c>
      <c r="D515" s="8">
        <v>45338</v>
      </c>
      <c r="E515" s="8" t="str">
        <f t="shared" si="31"/>
        <v>February</v>
      </c>
      <c r="F515">
        <f t="shared" si="32"/>
        <v>2024</v>
      </c>
      <c r="G515">
        <f t="shared" si="33"/>
        <v>1</v>
      </c>
      <c r="H515">
        <f t="shared" si="34"/>
        <v>0</v>
      </c>
      <c r="I515" s="6">
        <v>0.4826388888888889</v>
      </c>
      <c r="J515" s="6">
        <v>0.70208333333333328</v>
      </c>
      <c r="K515" s="7" t="s">
        <v>20</v>
      </c>
      <c r="L515" s="7" t="s">
        <v>14</v>
      </c>
      <c r="M515" s="7" t="s">
        <v>15</v>
      </c>
      <c r="N515" s="7">
        <f>COUNTIFS(A:A,A515,D:D,D515,E:E,I515)</f>
        <v>0</v>
      </c>
    </row>
    <row r="516" spans="1:14" x14ac:dyDescent="0.3">
      <c r="A516" s="7" t="s">
        <v>165</v>
      </c>
      <c r="B516" s="7" t="s">
        <v>166</v>
      </c>
      <c r="C516" s="7" t="s">
        <v>425</v>
      </c>
      <c r="D516" s="8">
        <v>45335</v>
      </c>
      <c r="E516" s="8" t="str">
        <f t="shared" si="31"/>
        <v>February</v>
      </c>
      <c r="F516">
        <f t="shared" si="32"/>
        <v>2024</v>
      </c>
      <c r="G516">
        <f t="shared" si="33"/>
        <v>0</v>
      </c>
      <c r="H516">
        <f t="shared" si="34"/>
        <v>0</v>
      </c>
      <c r="I516" s="6"/>
      <c r="J516" s="6"/>
      <c r="K516" s="7" t="s">
        <v>44</v>
      </c>
      <c r="L516" s="7" t="s">
        <v>27</v>
      </c>
      <c r="M516" s="7" t="s">
        <v>21</v>
      </c>
      <c r="N516" s="7">
        <f>COUNTIFS(A:A,A516,D:D,D516,E:E,I516)</f>
        <v>0</v>
      </c>
    </row>
    <row r="517" spans="1:14" x14ac:dyDescent="0.3">
      <c r="A517" s="7" t="s">
        <v>338</v>
      </c>
      <c r="B517" s="7" t="s">
        <v>339</v>
      </c>
      <c r="C517" s="7" t="s">
        <v>60</v>
      </c>
      <c r="D517" s="8">
        <v>45375</v>
      </c>
      <c r="E517" s="8" t="str">
        <f t="shared" si="31"/>
        <v>March</v>
      </c>
      <c r="F517">
        <f t="shared" si="32"/>
        <v>2024</v>
      </c>
      <c r="G517">
        <f t="shared" si="33"/>
        <v>0</v>
      </c>
      <c r="H517">
        <f t="shared" si="34"/>
        <v>0</v>
      </c>
      <c r="I517" s="6"/>
      <c r="J517" s="6"/>
      <c r="K517" s="7" t="s">
        <v>44</v>
      </c>
      <c r="L517" s="7" t="s">
        <v>27</v>
      </c>
      <c r="M517" s="7" t="s">
        <v>21</v>
      </c>
      <c r="N517" s="7">
        <f>COUNTIFS(A:A,A517,D:D,D517,E:E,I517)</f>
        <v>0</v>
      </c>
    </row>
    <row r="518" spans="1:14" x14ac:dyDescent="0.3">
      <c r="A518" s="7" t="s">
        <v>34</v>
      </c>
      <c r="B518" s="7" t="s">
        <v>35</v>
      </c>
      <c r="C518" s="7" t="s">
        <v>60</v>
      </c>
      <c r="D518" s="8">
        <v>45536</v>
      </c>
      <c r="E518" s="8" t="str">
        <f t="shared" si="31"/>
        <v>September</v>
      </c>
      <c r="F518">
        <f t="shared" si="32"/>
        <v>2024</v>
      </c>
      <c r="G518">
        <f t="shared" si="33"/>
        <v>1</v>
      </c>
      <c r="H518">
        <f t="shared" si="34"/>
        <v>0</v>
      </c>
      <c r="I518" s="6">
        <v>0.38819444444444445</v>
      </c>
      <c r="J518" s="6">
        <v>0.72291666666666665</v>
      </c>
      <c r="K518" s="7" t="s">
        <v>13</v>
      </c>
      <c r="L518" s="7" t="s">
        <v>27</v>
      </c>
      <c r="M518" s="7" t="s">
        <v>21</v>
      </c>
      <c r="N518" s="7">
        <f>COUNTIFS(A:A,A518,D:D,D518,E:E,I518)</f>
        <v>0</v>
      </c>
    </row>
    <row r="519" spans="1:14" x14ac:dyDescent="0.3">
      <c r="A519" s="7" t="s">
        <v>269</v>
      </c>
      <c r="B519" s="7" t="s">
        <v>270</v>
      </c>
      <c r="C519" s="7" t="s">
        <v>42</v>
      </c>
      <c r="D519" s="8">
        <v>45292</v>
      </c>
      <c r="E519" s="8" t="str">
        <f t="shared" si="31"/>
        <v>January</v>
      </c>
      <c r="F519">
        <f t="shared" si="32"/>
        <v>2024</v>
      </c>
      <c r="G519">
        <f t="shared" si="33"/>
        <v>0</v>
      </c>
      <c r="H519">
        <f t="shared" si="34"/>
        <v>0</v>
      </c>
      <c r="I519" s="6"/>
      <c r="J519" s="6"/>
      <c r="K519" s="7" t="s">
        <v>44</v>
      </c>
      <c r="L519" s="7" t="s">
        <v>14</v>
      </c>
      <c r="M519" s="7" t="s">
        <v>21</v>
      </c>
      <c r="N519" s="7">
        <f>COUNTIFS(A:A,A519,D:D,D519,E:E,I519)</f>
        <v>0</v>
      </c>
    </row>
    <row r="520" spans="1:14" x14ac:dyDescent="0.3">
      <c r="A520" s="7" t="s">
        <v>87</v>
      </c>
      <c r="B520" s="7" t="s">
        <v>88</v>
      </c>
      <c r="C520" s="7" t="s">
        <v>425</v>
      </c>
      <c r="D520" s="8">
        <v>45319</v>
      </c>
      <c r="E520" s="8" t="str">
        <f t="shared" si="31"/>
        <v>January</v>
      </c>
      <c r="F520">
        <f t="shared" si="32"/>
        <v>2024</v>
      </c>
      <c r="G520">
        <f t="shared" si="33"/>
        <v>1</v>
      </c>
      <c r="H520">
        <f t="shared" si="34"/>
        <v>0</v>
      </c>
      <c r="I520" s="6">
        <v>0.34375</v>
      </c>
      <c r="J520" s="6">
        <v>0.72013888888888888</v>
      </c>
      <c r="K520" s="7" t="s">
        <v>20</v>
      </c>
      <c r="L520" s="7" t="s">
        <v>14</v>
      </c>
      <c r="M520" s="7" t="s">
        <v>21</v>
      </c>
      <c r="N520" s="7">
        <f>COUNTIFS(A:A,A520,D:D,D520,E:E,I520)</f>
        <v>0</v>
      </c>
    </row>
    <row r="521" spans="1:14" x14ac:dyDescent="0.3">
      <c r="A521" s="7" t="s">
        <v>141</v>
      </c>
      <c r="B521" s="7" t="s">
        <v>142</v>
      </c>
      <c r="C521" s="7" t="s">
        <v>42</v>
      </c>
      <c r="D521" s="8">
        <v>45350</v>
      </c>
      <c r="E521" s="8" t="str">
        <f t="shared" si="31"/>
        <v>February</v>
      </c>
      <c r="F521">
        <f t="shared" si="32"/>
        <v>2024</v>
      </c>
      <c r="G521">
        <f t="shared" si="33"/>
        <v>1</v>
      </c>
      <c r="H521">
        <f t="shared" si="34"/>
        <v>0</v>
      </c>
      <c r="I521" s="6">
        <v>0.40347222222222223</v>
      </c>
      <c r="J521" s="6">
        <v>0.70486111111111116</v>
      </c>
      <c r="K521" s="7" t="s">
        <v>20</v>
      </c>
      <c r="L521" s="7" t="s">
        <v>27</v>
      </c>
      <c r="M521" s="7" t="s">
        <v>15</v>
      </c>
      <c r="N521" s="7">
        <f>COUNTIFS(A:A,A521,D:D,D521,E:E,I521)</f>
        <v>0</v>
      </c>
    </row>
    <row r="522" spans="1:14" x14ac:dyDescent="0.3">
      <c r="A522" s="7" t="s">
        <v>45</v>
      </c>
      <c r="B522" s="7" t="s">
        <v>46</v>
      </c>
      <c r="C522" s="7" t="s">
        <v>426</v>
      </c>
      <c r="D522" s="8">
        <v>45599</v>
      </c>
      <c r="E522" s="8" t="str">
        <f t="shared" si="31"/>
        <v>November</v>
      </c>
      <c r="F522">
        <f t="shared" si="32"/>
        <v>2024</v>
      </c>
      <c r="G522">
        <f t="shared" si="33"/>
        <v>1</v>
      </c>
      <c r="H522">
        <f t="shared" si="34"/>
        <v>1</v>
      </c>
      <c r="I522" s="6">
        <v>0.39791666666666664</v>
      </c>
      <c r="J522" s="6">
        <v>0.84930555555555554</v>
      </c>
      <c r="K522" s="7" t="s">
        <v>26</v>
      </c>
      <c r="L522" s="7" t="s">
        <v>27</v>
      </c>
      <c r="M522" s="7" t="s">
        <v>15</v>
      </c>
      <c r="N522" s="7">
        <f>COUNTIFS(A:A,A522,D:D,D522,E:E,I522)</f>
        <v>0</v>
      </c>
    </row>
    <row r="523" spans="1:14" x14ac:dyDescent="0.3">
      <c r="A523" s="7" t="s">
        <v>109</v>
      </c>
      <c r="B523" s="7" t="s">
        <v>110</v>
      </c>
      <c r="C523" s="7" t="s">
        <v>425</v>
      </c>
      <c r="D523" s="8">
        <v>45537</v>
      </c>
      <c r="E523" s="8" t="str">
        <f t="shared" si="31"/>
        <v>September</v>
      </c>
      <c r="F523">
        <f t="shared" si="32"/>
        <v>2024</v>
      </c>
      <c r="G523">
        <f t="shared" si="33"/>
        <v>1</v>
      </c>
      <c r="H523">
        <f t="shared" si="34"/>
        <v>1</v>
      </c>
      <c r="I523" s="6">
        <v>0.49513888888888891</v>
      </c>
      <c r="J523" s="6">
        <v>0.77430555555555558</v>
      </c>
      <c r="K523" s="7" t="s">
        <v>26</v>
      </c>
      <c r="L523" s="7" t="s">
        <v>27</v>
      </c>
      <c r="M523" s="7" t="s">
        <v>15</v>
      </c>
      <c r="N523" s="7">
        <f>COUNTIFS(A:A,A523,D:D,D523,E:E,I523)</f>
        <v>0</v>
      </c>
    </row>
    <row r="524" spans="1:14" x14ac:dyDescent="0.3">
      <c r="A524" s="7" t="s">
        <v>34</v>
      </c>
      <c r="B524" s="7" t="s">
        <v>35</v>
      </c>
      <c r="C524" s="7" t="s">
        <v>42</v>
      </c>
      <c r="D524" s="8">
        <v>45330</v>
      </c>
      <c r="E524" s="8" t="str">
        <f t="shared" si="31"/>
        <v>February</v>
      </c>
      <c r="F524">
        <f t="shared" si="32"/>
        <v>2024</v>
      </c>
      <c r="G524">
        <f t="shared" si="33"/>
        <v>1</v>
      </c>
      <c r="H524">
        <f t="shared" si="34"/>
        <v>1</v>
      </c>
      <c r="I524" s="6">
        <v>0.44791666666666669</v>
      </c>
      <c r="J524" s="6">
        <v>0.77777777777777779</v>
      </c>
      <c r="K524" s="7" t="s">
        <v>26</v>
      </c>
      <c r="L524" s="7" t="s">
        <v>27</v>
      </c>
      <c r="M524" s="7" t="s">
        <v>15</v>
      </c>
      <c r="N524" s="7">
        <f>COUNTIFS(A:A,A524,D:D,D524,E:E,I524)</f>
        <v>0</v>
      </c>
    </row>
    <row r="525" spans="1:14" x14ac:dyDescent="0.3">
      <c r="A525" s="7" t="s">
        <v>269</v>
      </c>
      <c r="B525" s="7" t="s">
        <v>270</v>
      </c>
      <c r="C525" s="7" t="s">
        <v>64</v>
      </c>
      <c r="D525" s="8">
        <v>45352</v>
      </c>
      <c r="E525" s="8" t="str">
        <f t="shared" si="31"/>
        <v>March</v>
      </c>
      <c r="F525">
        <f t="shared" si="32"/>
        <v>2024</v>
      </c>
      <c r="G525">
        <f t="shared" si="33"/>
        <v>1</v>
      </c>
      <c r="H525">
        <f t="shared" si="34"/>
        <v>1</v>
      </c>
      <c r="I525" s="6">
        <v>0.43611111111111112</v>
      </c>
      <c r="J525" s="6">
        <v>0.66666666666666663</v>
      </c>
      <c r="K525" s="7" t="s">
        <v>26</v>
      </c>
      <c r="L525" s="7" t="s">
        <v>27</v>
      </c>
      <c r="M525" s="7" t="s">
        <v>21</v>
      </c>
      <c r="N525" s="7">
        <f>COUNTIFS(A:A,A525,D:D,D525,E:E,I525)</f>
        <v>0</v>
      </c>
    </row>
    <row r="526" spans="1:14" x14ac:dyDescent="0.3">
      <c r="A526" s="7" t="s">
        <v>102</v>
      </c>
      <c r="B526" s="7" t="s">
        <v>103</v>
      </c>
      <c r="C526" s="7" t="s">
        <v>426</v>
      </c>
      <c r="D526" s="8">
        <v>45305</v>
      </c>
      <c r="E526" s="8" t="str">
        <f t="shared" si="31"/>
        <v>January</v>
      </c>
      <c r="F526">
        <f t="shared" si="32"/>
        <v>2024</v>
      </c>
      <c r="G526">
        <f t="shared" si="33"/>
        <v>0</v>
      </c>
      <c r="H526">
        <f t="shared" si="34"/>
        <v>0</v>
      </c>
      <c r="I526" s="6"/>
      <c r="J526" s="6"/>
      <c r="K526" s="7" t="s">
        <v>44</v>
      </c>
      <c r="L526" s="7" t="s">
        <v>14</v>
      </c>
      <c r="M526" s="7" t="s">
        <v>15</v>
      </c>
      <c r="N526" s="7">
        <f>COUNTIFS(A:A,A526,D:D,D526,E:E,I526)</f>
        <v>0</v>
      </c>
    </row>
    <row r="527" spans="1:14" x14ac:dyDescent="0.3">
      <c r="A527" s="7" t="s">
        <v>236</v>
      </c>
      <c r="B527" s="7" t="s">
        <v>237</v>
      </c>
      <c r="C527" s="7" t="s">
        <v>64</v>
      </c>
      <c r="D527" s="8">
        <v>45567</v>
      </c>
      <c r="E527" s="8" t="str">
        <f t="shared" si="31"/>
        <v>October</v>
      </c>
      <c r="F527">
        <f t="shared" si="32"/>
        <v>2024</v>
      </c>
      <c r="G527">
        <f t="shared" si="33"/>
        <v>1</v>
      </c>
      <c r="H527">
        <f t="shared" si="34"/>
        <v>0</v>
      </c>
      <c r="I527" s="6">
        <v>0.34930555555555554</v>
      </c>
      <c r="J527" s="6">
        <v>0.76736111111111116</v>
      </c>
      <c r="K527" s="7" t="s">
        <v>13</v>
      </c>
      <c r="L527" s="7" t="s">
        <v>27</v>
      </c>
      <c r="M527" s="7" t="s">
        <v>21</v>
      </c>
      <c r="N527" s="7">
        <f>COUNTIFS(A:A,A527,D:D,D527,E:E,I527)</f>
        <v>0</v>
      </c>
    </row>
    <row r="528" spans="1:14" x14ac:dyDescent="0.3">
      <c r="A528" s="7" t="s">
        <v>45</v>
      </c>
      <c r="B528" s="7" t="s">
        <v>46</v>
      </c>
      <c r="C528" s="7" t="s">
        <v>60</v>
      </c>
      <c r="D528" s="8">
        <v>45335</v>
      </c>
      <c r="E528" s="8" t="str">
        <f t="shared" si="31"/>
        <v>February</v>
      </c>
      <c r="F528">
        <f t="shared" si="32"/>
        <v>2024</v>
      </c>
      <c r="G528">
        <f t="shared" si="33"/>
        <v>0</v>
      </c>
      <c r="H528">
        <f t="shared" si="34"/>
        <v>0</v>
      </c>
      <c r="I528" s="6"/>
      <c r="J528" s="6"/>
      <c r="K528" s="7" t="s">
        <v>44</v>
      </c>
      <c r="L528" s="7" t="s">
        <v>27</v>
      </c>
      <c r="M528" s="7" t="s">
        <v>15</v>
      </c>
      <c r="N528" s="7">
        <f>COUNTIFS(A:A,A528,D:D,D528,E:E,I528)</f>
        <v>0</v>
      </c>
    </row>
    <row r="529" spans="1:14" x14ac:dyDescent="0.3">
      <c r="A529" s="7" t="s">
        <v>62</v>
      </c>
      <c r="B529" s="7" t="s">
        <v>63</v>
      </c>
      <c r="C529" s="7" t="s">
        <v>64</v>
      </c>
      <c r="D529" s="8">
        <v>45324</v>
      </c>
      <c r="E529" s="8" t="str">
        <f t="shared" si="31"/>
        <v>February</v>
      </c>
      <c r="F529">
        <f t="shared" si="32"/>
        <v>2024</v>
      </c>
      <c r="G529">
        <f t="shared" si="33"/>
        <v>0</v>
      </c>
      <c r="H529">
        <f t="shared" si="34"/>
        <v>0</v>
      </c>
      <c r="I529" s="6"/>
      <c r="J529" s="6"/>
      <c r="K529" s="7" t="s">
        <v>44</v>
      </c>
      <c r="L529" s="7" t="s">
        <v>27</v>
      </c>
      <c r="M529" s="7" t="s">
        <v>15</v>
      </c>
      <c r="N529" s="7">
        <f>COUNTIFS(A:A,A529,D:D,D529,E:E,I529)</f>
        <v>0</v>
      </c>
    </row>
    <row r="530" spans="1:14" x14ac:dyDescent="0.3">
      <c r="A530" s="7" t="s">
        <v>55</v>
      </c>
      <c r="B530" s="7" t="s">
        <v>56</v>
      </c>
      <c r="C530" s="7" t="s">
        <v>42</v>
      </c>
      <c r="D530" s="8">
        <v>45316</v>
      </c>
      <c r="E530" s="8" t="str">
        <f t="shared" si="31"/>
        <v>January</v>
      </c>
      <c r="F530">
        <f t="shared" si="32"/>
        <v>2024</v>
      </c>
      <c r="G530">
        <f t="shared" si="33"/>
        <v>1</v>
      </c>
      <c r="H530">
        <f t="shared" si="34"/>
        <v>1</v>
      </c>
      <c r="I530" s="6">
        <v>0.33333333333333331</v>
      </c>
      <c r="J530" s="6">
        <v>0.85555555555555551</v>
      </c>
      <c r="K530" s="7" t="s">
        <v>26</v>
      </c>
      <c r="L530" s="7" t="s">
        <v>14</v>
      </c>
      <c r="M530" s="7" t="s">
        <v>15</v>
      </c>
      <c r="N530" s="7">
        <f>COUNTIFS(A:A,A530,D:D,D530,E:E,I530)</f>
        <v>0</v>
      </c>
    </row>
    <row r="531" spans="1:14" x14ac:dyDescent="0.3">
      <c r="A531" s="7" t="s">
        <v>109</v>
      </c>
      <c r="B531" s="7" t="s">
        <v>110</v>
      </c>
      <c r="C531" s="7" t="s">
        <v>60</v>
      </c>
      <c r="D531" s="8">
        <v>45364</v>
      </c>
      <c r="E531" s="8" t="str">
        <f t="shared" si="31"/>
        <v>March</v>
      </c>
      <c r="F531">
        <f t="shared" si="32"/>
        <v>2024</v>
      </c>
      <c r="G531">
        <f t="shared" si="33"/>
        <v>1</v>
      </c>
      <c r="H531">
        <f t="shared" si="34"/>
        <v>0</v>
      </c>
      <c r="I531" s="6">
        <v>0.33541666666666664</v>
      </c>
      <c r="J531" s="6">
        <v>0.69513888888888886</v>
      </c>
      <c r="K531" s="7" t="s">
        <v>20</v>
      </c>
      <c r="L531" s="7" t="s">
        <v>27</v>
      </c>
      <c r="M531" s="7" t="s">
        <v>15</v>
      </c>
      <c r="N531" s="7">
        <f>COUNTIFS(A:A,A531,D:D,D531,E:E,I531)</f>
        <v>0</v>
      </c>
    </row>
    <row r="532" spans="1:14" x14ac:dyDescent="0.3">
      <c r="A532" s="7" t="s">
        <v>45</v>
      </c>
      <c r="B532" s="7" t="s">
        <v>46</v>
      </c>
      <c r="C532" s="7" t="s">
        <v>42</v>
      </c>
      <c r="D532" s="8">
        <v>45333</v>
      </c>
      <c r="E532" s="8" t="str">
        <f t="shared" si="31"/>
        <v>February</v>
      </c>
      <c r="F532">
        <f t="shared" si="32"/>
        <v>2024</v>
      </c>
      <c r="G532">
        <f t="shared" si="33"/>
        <v>1</v>
      </c>
      <c r="H532">
        <f t="shared" si="34"/>
        <v>1</v>
      </c>
      <c r="I532" s="6">
        <v>0.45763888888888887</v>
      </c>
      <c r="J532" s="6">
        <v>0.68888888888888888</v>
      </c>
      <c r="K532" s="7" t="s">
        <v>26</v>
      </c>
      <c r="L532" s="7" t="s">
        <v>27</v>
      </c>
      <c r="M532" s="7" t="s">
        <v>15</v>
      </c>
      <c r="N532" s="7">
        <f>COUNTIFS(A:A,A532,D:D,D532,E:E,I532)</f>
        <v>0</v>
      </c>
    </row>
    <row r="533" spans="1:14" x14ac:dyDescent="0.3">
      <c r="A533" s="7" t="s">
        <v>194</v>
      </c>
      <c r="B533" s="7" t="s">
        <v>195</v>
      </c>
      <c r="C533" s="7" t="s">
        <v>426</v>
      </c>
      <c r="D533" s="8">
        <v>45338</v>
      </c>
      <c r="E533" s="8" t="str">
        <f t="shared" si="31"/>
        <v>February</v>
      </c>
      <c r="F533">
        <f t="shared" si="32"/>
        <v>2024</v>
      </c>
      <c r="G533">
        <f t="shared" si="33"/>
        <v>1</v>
      </c>
      <c r="H533">
        <f t="shared" si="34"/>
        <v>1</v>
      </c>
      <c r="I533" s="6">
        <v>0.42222222222222222</v>
      </c>
      <c r="J533" s="6">
        <v>0.76458333333333328</v>
      </c>
      <c r="K533" s="7" t="s">
        <v>26</v>
      </c>
      <c r="L533" s="7" t="s">
        <v>14</v>
      </c>
      <c r="M533" s="7" t="s">
        <v>21</v>
      </c>
      <c r="N533" s="7">
        <f>COUNTIFS(A:A,A533,D:D,D533,E:E,I533)</f>
        <v>0</v>
      </c>
    </row>
    <row r="534" spans="1:14" x14ac:dyDescent="0.3">
      <c r="A534" s="7" t="s">
        <v>200</v>
      </c>
      <c r="B534" s="7" t="s">
        <v>201</v>
      </c>
      <c r="C534" s="7" t="s">
        <v>64</v>
      </c>
      <c r="D534" s="8">
        <v>45363</v>
      </c>
      <c r="E534" s="8" t="str">
        <f t="shared" si="31"/>
        <v>March</v>
      </c>
      <c r="F534">
        <f t="shared" si="32"/>
        <v>2024</v>
      </c>
      <c r="G534">
        <f t="shared" si="33"/>
        <v>1</v>
      </c>
      <c r="H534">
        <f t="shared" si="34"/>
        <v>0</v>
      </c>
      <c r="I534" s="6">
        <v>0.34791666666666665</v>
      </c>
      <c r="J534" s="6">
        <v>0.66805555555555551</v>
      </c>
      <c r="K534" s="7" t="s">
        <v>20</v>
      </c>
      <c r="L534" s="7" t="s">
        <v>27</v>
      </c>
      <c r="M534" s="7" t="s">
        <v>21</v>
      </c>
      <c r="N534" s="7">
        <f>COUNTIFS(A:A,A534,D:D,D534,E:E,I534)</f>
        <v>0</v>
      </c>
    </row>
    <row r="535" spans="1:14" x14ac:dyDescent="0.3">
      <c r="A535" s="7" t="s">
        <v>315</v>
      </c>
      <c r="B535" s="7" t="s">
        <v>316</v>
      </c>
      <c r="C535" s="7" t="s">
        <v>426</v>
      </c>
      <c r="D535" s="8">
        <v>45364</v>
      </c>
      <c r="E535" s="8" t="str">
        <f t="shared" si="31"/>
        <v>March</v>
      </c>
      <c r="F535">
        <f t="shared" si="32"/>
        <v>2024</v>
      </c>
      <c r="G535">
        <f t="shared" si="33"/>
        <v>1</v>
      </c>
      <c r="H535">
        <f t="shared" si="34"/>
        <v>0</v>
      </c>
      <c r="I535" s="6">
        <v>0.4826388888888889</v>
      </c>
      <c r="J535" s="6">
        <v>0.78263888888888888</v>
      </c>
      <c r="K535" s="7" t="s">
        <v>20</v>
      </c>
      <c r="L535" s="7" t="s">
        <v>27</v>
      </c>
      <c r="M535" s="7" t="s">
        <v>21</v>
      </c>
      <c r="N535" s="7">
        <f>COUNTIFS(A:A,A535,D:D,D535,E:E,I535)</f>
        <v>0</v>
      </c>
    </row>
    <row r="536" spans="1:14" x14ac:dyDescent="0.3">
      <c r="A536" s="7" t="s">
        <v>197</v>
      </c>
      <c r="B536" s="7" t="s">
        <v>198</v>
      </c>
      <c r="C536" s="7" t="s">
        <v>425</v>
      </c>
      <c r="D536" s="8">
        <v>45445</v>
      </c>
      <c r="E536" s="8" t="str">
        <f t="shared" si="31"/>
        <v>June</v>
      </c>
      <c r="F536">
        <f t="shared" si="32"/>
        <v>2024</v>
      </c>
      <c r="G536">
        <f t="shared" si="33"/>
        <v>1</v>
      </c>
      <c r="H536">
        <f t="shared" si="34"/>
        <v>1</v>
      </c>
      <c r="I536" s="6">
        <v>0.35416666666666669</v>
      </c>
      <c r="J536" s="6">
        <v>0.67291666666666672</v>
      </c>
      <c r="K536" s="7" t="s">
        <v>26</v>
      </c>
      <c r="L536" s="7" t="s">
        <v>27</v>
      </c>
      <c r="M536" s="7" t="s">
        <v>15</v>
      </c>
      <c r="N536" s="7">
        <f>COUNTIFS(A:A,A536,D:D,D536,E:E,I536)</f>
        <v>0</v>
      </c>
    </row>
    <row r="537" spans="1:14" x14ac:dyDescent="0.3">
      <c r="A537" s="7" t="s">
        <v>109</v>
      </c>
      <c r="B537" s="7" t="s">
        <v>110</v>
      </c>
      <c r="C537" s="7" t="s">
        <v>426</v>
      </c>
      <c r="D537" s="8">
        <v>45316</v>
      </c>
      <c r="E537" s="8" t="str">
        <f t="shared" si="31"/>
        <v>January</v>
      </c>
      <c r="F537">
        <f t="shared" si="32"/>
        <v>2024</v>
      </c>
      <c r="G537">
        <f t="shared" si="33"/>
        <v>0</v>
      </c>
      <c r="H537">
        <f t="shared" si="34"/>
        <v>0</v>
      </c>
      <c r="I537" s="6"/>
      <c r="J537" s="6"/>
      <c r="K537" s="7" t="s">
        <v>44</v>
      </c>
      <c r="L537" s="7" t="s">
        <v>27</v>
      </c>
      <c r="M537" s="7" t="s">
        <v>21</v>
      </c>
      <c r="N537" s="7">
        <f>COUNTIFS(A:A,A537,D:D,D537,E:E,I537)</f>
        <v>0</v>
      </c>
    </row>
    <row r="538" spans="1:14" x14ac:dyDescent="0.3">
      <c r="A538" s="7" t="s">
        <v>84</v>
      </c>
      <c r="B538" s="7" t="s">
        <v>85</v>
      </c>
      <c r="C538" s="7" t="s">
        <v>42</v>
      </c>
      <c r="D538" s="8">
        <v>45375</v>
      </c>
      <c r="E538" s="8" t="str">
        <f t="shared" si="31"/>
        <v>March</v>
      </c>
      <c r="F538">
        <f t="shared" si="32"/>
        <v>2024</v>
      </c>
      <c r="G538">
        <f t="shared" si="33"/>
        <v>1</v>
      </c>
      <c r="H538">
        <f t="shared" si="34"/>
        <v>0</v>
      </c>
      <c r="I538" s="6">
        <v>0.42152777777777778</v>
      </c>
      <c r="J538" s="6">
        <v>0.79722222222222228</v>
      </c>
      <c r="K538" s="7" t="s">
        <v>20</v>
      </c>
      <c r="L538" s="7" t="s">
        <v>27</v>
      </c>
      <c r="M538" s="7" t="s">
        <v>21</v>
      </c>
      <c r="N538" s="7">
        <f>COUNTIFS(A:A,A538,D:D,D538,E:E,I538)</f>
        <v>0</v>
      </c>
    </row>
    <row r="539" spans="1:14" x14ac:dyDescent="0.3">
      <c r="A539" s="7" t="s">
        <v>269</v>
      </c>
      <c r="B539" s="7" t="s">
        <v>270</v>
      </c>
      <c r="C539" s="7" t="s">
        <v>60</v>
      </c>
      <c r="D539" s="8">
        <v>45505</v>
      </c>
      <c r="E539" s="8" t="str">
        <f t="shared" si="31"/>
        <v>August</v>
      </c>
      <c r="F539">
        <f t="shared" si="32"/>
        <v>2024</v>
      </c>
      <c r="G539">
        <f t="shared" si="33"/>
        <v>1</v>
      </c>
      <c r="H539">
        <f t="shared" si="34"/>
        <v>0</v>
      </c>
      <c r="I539" s="6">
        <v>0.47152777777777777</v>
      </c>
      <c r="J539" s="6">
        <v>0.84930555555555554</v>
      </c>
      <c r="K539" s="7" t="s">
        <v>20</v>
      </c>
      <c r="L539" s="7" t="s">
        <v>27</v>
      </c>
      <c r="M539" s="7" t="s">
        <v>21</v>
      </c>
      <c r="N539" s="7">
        <f>COUNTIFS(A:A,A539,D:D,D539,E:E,I539)</f>
        <v>0</v>
      </c>
    </row>
    <row r="540" spans="1:14" x14ac:dyDescent="0.3">
      <c r="A540" s="7" t="s">
        <v>58</v>
      </c>
      <c r="B540" s="7" t="s">
        <v>59</v>
      </c>
      <c r="C540" s="7" t="s">
        <v>64</v>
      </c>
      <c r="D540" s="8">
        <v>45366</v>
      </c>
      <c r="E540" s="8" t="str">
        <f t="shared" si="31"/>
        <v>March</v>
      </c>
      <c r="F540">
        <f t="shared" si="32"/>
        <v>2024</v>
      </c>
      <c r="G540">
        <f t="shared" si="33"/>
        <v>1</v>
      </c>
      <c r="H540">
        <f t="shared" si="34"/>
        <v>0</v>
      </c>
      <c r="I540" s="6">
        <v>0.46944444444444444</v>
      </c>
      <c r="J540" s="6">
        <v>0.86388888888888893</v>
      </c>
      <c r="K540" s="7" t="s">
        <v>13</v>
      </c>
      <c r="L540" s="7" t="s">
        <v>14</v>
      </c>
      <c r="M540" s="7" t="s">
        <v>21</v>
      </c>
      <c r="N540" s="7">
        <f>COUNTIFS(A:A,A540,D:D,D540,E:E,I540)</f>
        <v>0</v>
      </c>
    </row>
    <row r="541" spans="1:14" x14ac:dyDescent="0.3">
      <c r="A541" s="7" t="s">
        <v>194</v>
      </c>
      <c r="B541" s="7" t="s">
        <v>195</v>
      </c>
      <c r="C541" s="7" t="s">
        <v>426</v>
      </c>
      <c r="D541" s="8">
        <v>45306</v>
      </c>
      <c r="E541" s="8" t="str">
        <f t="shared" si="31"/>
        <v>January</v>
      </c>
      <c r="F541">
        <f t="shared" si="32"/>
        <v>2024</v>
      </c>
      <c r="G541">
        <f t="shared" si="33"/>
        <v>1</v>
      </c>
      <c r="H541">
        <f t="shared" si="34"/>
        <v>0</v>
      </c>
      <c r="I541" s="6">
        <v>0.47847222222222224</v>
      </c>
      <c r="J541" s="6">
        <v>0.75902777777777775</v>
      </c>
      <c r="K541" s="7" t="s">
        <v>13</v>
      </c>
      <c r="L541" s="7" t="s">
        <v>14</v>
      </c>
      <c r="M541" s="7" t="s">
        <v>21</v>
      </c>
      <c r="N541" s="7">
        <f>COUNTIFS(A:A,A541,D:D,D541,E:E,I541)</f>
        <v>0</v>
      </c>
    </row>
    <row r="542" spans="1:14" x14ac:dyDescent="0.3">
      <c r="A542" s="7" t="s">
        <v>119</v>
      </c>
      <c r="B542" s="7" t="s">
        <v>120</v>
      </c>
      <c r="C542" s="7" t="s">
        <v>426</v>
      </c>
      <c r="D542" s="8">
        <v>45325</v>
      </c>
      <c r="E542" s="8" t="str">
        <f t="shared" si="31"/>
        <v>February</v>
      </c>
      <c r="F542">
        <f t="shared" si="32"/>
        <v>2024</v>
      </c>
      <c r="G542">
        <f t="shared" si="33"/>
        <v>1</v>
      </c>
      <c r="H542">
        <f t="shared" si="34"/>
        <v>1</v>
      </c>
      <c r="I542" s="6">
        <v>0.39027777777777778</v>
      </c>
      <c r="J542" s="6">
        <v>0.81805555555555554</v>
      </c>
      <c r="K542" s="7" t="s">
        <v>26</v>
      </c>
      <c r="L542" s="7" t="s">
        <v>27</v>
      </c>
      <c r="M542" s="7" t="s">
        <v>21</v>
      </c>
      <c r="N542" s="7">
        <f>COUNTIFS(A:A,A542,D:D,D542,E:E,I542)</f>
        <v>0</v>
      </c>
    </row>
    <row r="543" spans="1:14" x14ac:dyDescent="0.3">
      <c r="A543" s="7" t="s">
        <v>58</v>
      </c>
      <c r="B543" s="7" t="s">
        <v>59</v>
      </c>
      <c r="C543" s="7" t="s">
        <v>64</v>
      </c>
      <c r="D543" s="8">
        <v>45378</v>
      </c>
      <c r="E543" s="8" t="str">
        <f t="shared" si="31"/>
        <v>March</v>
      </c>
      <c r="F543">
        <f t="shared" si="32"/>
        <v>2024</v>
      </c>
      <c r="G543">
        <f t="shared" si="33"/>
        <v>1</v>
      </c>
      <c r="H543">
        <f t="shared" si="34"/>
        <v>1</v>
      </c>
      <c r="I543" s="6">
        <v>0.3923611111111111</v>
      </c>
      <c r="J543" s="6">
        <v>0.68263888888888891</v>
      </c>
      <c r="K543" s="7" t="s">
        <v>26</v>
      </c>
      <c r="L543" s="7" t="s">
        <v>14</v>
      </c>
      <c r="M543" s="7" t="s">
        <v>15</v>
      </c>
      <c r="N543" s="7">
        <f>COUNTIFS(A:A,A543,D:D,D543,E:E,I543)</f>
        <v>0</v>
      </c>
    </row>
    <row r="544" spans="1:14" x14ac:dyDescent="0.3">
      <c r="A544" s="7" t="s">
        <v>96</v>
      </c>
      <c r="B544" s="7" t="s">
        <v>97</v>
      </c>
      <c r="C544" s="7" t="s">
        <v>60</v>
      </c>
      <c r="D544" s="8">
        <v>45538</v>
      </c>
      <c r="E544" s="8" t="str">
        <f t="shared" si="31"/>
        <v>September</v>
      </c>
      <c r="F544">
        <f t="shared" si="32"/>
        <v>2024</v>
      </c>
      <c r="G544">
        <f t="shared" si="33"/>
        <v>1</v>
      </c>
      <c r="H544">
        <f t="shared" si="34"/>
        <v>0</v>
      </c>
      <c r="I544" s="6">
        <v>0.42708333333333331</v>
      </c>
      <c r="J544" s="6">
        <v>0.72569444444444442</v>
      </c>
      <c r="K544" s="7" t="s">
        <v>13</v>
      </c>
      <c r="L544" s="7" t="s">
        <v>27</v>
      </c>
      <c r="M544" s="7" t="s">
        <v>15</v>
      </c>
      <c r="N544" s="7">
        <f>COUNTIFS(A:A,A544,D:D,D544,E:E,I544)</f>
        <v>0</v>
      </c>
    </row>
    <row r="545" spans="1:14" x14ac:dyDescent="0.3">
      <c r="A545" s="7" t="s">
        <v>175</v>
      </c>
      <c r="B545" s="7" t="s">
        <v>176</v>
      </c>
      <c r="C545" s="7" t="s">
        <v>425</v>
      </c>
      <c r="D545" s="8">
        <v>45306</v>
      </c>
      <c r="E545" s="8" t="str">
        <f t="shared" si="31"/>
        <v>January</v>
      </c>
      <c r="F545">
        <f t="shared" si="32"/>
        <v>2024</v>
      </c>
      <c r="G545">
        <f t="shared" si="33"/>
        <v>0</v>
      </c>
      <c r="H545">
        <f t="shared" si="34"/>
        <v>0</v>
      </c>
      <c r="I545" s="6"/>
      <c r="J545" s="6"/>
      <c r="K545" s="7" t="s">
        <v>44</v>
      </c>
      <c r="L545" s="7" t="s">
        <v>27</v>
      </c>
      <c r="M545" s="7" t="s">
        <v>21</v>
      </c>
      <c r="N545" s="7">
        <f>COUNTIFS(A:A,A545,D:D,D545,E:E,I545)</f>
        <v>0</v>
      </c>
    </row>
    <row r="546" spans="1:14" x14ac:dyDescent="0.3">
      <c r="A546" s="7" t="s">
        <v>216</v>
      </c>
      <c r="B546" s="7" t="s">
        <v>217</v>
      </c>
      <c r="C546" s="7" t="s">
        <v>425</v>
      </c>
      <c r="D546" s="8">
        <v>45335</v>
      </c>
      <c r="E546" s="8" t="str">
        <f t="shared" si="31"/>
        <v>February</v>
      </c>
      <c r="F546">
        <f t="shared" si="32"/>
        <v>2024</v>
      </c>
      <c r="G546">
        <f t="shared" si="33"/>
        <v>1</v>
      </c>
      <c r="H546">
        <f t="shared" si="34"/>
        <v>1</v>
      </c>
      <c r="I546" s="6">
        <v>0.41180555555555554</v>
      </c>
      <c r="J546" s="6">
        <v>0.77708333333333335</v>
      </c>
      <c r="K546" s="7" t="s">
        <v>26</v>
      </c>
      <c r="L546" s="7" t="s">
        <v>27</v>
      </c>
      <c r="M546" s="7" t="s">
        <v>15</v>
      </c>
      <c r="N546" s="7">
        <f>COUNTIFS(A:A,A546,D:D,D546,E:E,I546)</f>
        <v>0</v>
      </c>
    </row>
    <row r="547" spans="1:14" x14ac:dyDescent="0.3">
      <c r="A547" s="7" t="s">
        <v>138</v>
      </c>
      <c r="B547" s="7" t="s">
        <v>139</v>
      </c>
      <c r="C547" s="7" t="s">
        <v>60</v>
      </c>
      <c r="D547" s="8">
        <v>45474</v>
      </c>
      <c r="E547" s="8" t="str">
        <f t="shared" si="31"/>
        <v>July</v>
      </c>
      <c r="F547">
        <f t="shared" si="32"/>
        <v>2024</v>
      </c>
      <c r="G547">
        <f t="shared" si="33"/>
        <v>1</v>
      </c>
      <c r="H547">
        <f t="shared" si="34"/>
        <v>1</v>
      </c>
      <c r="I547" s="6">
        <v>0.40833333333333333</v>
      </c>
      <c r="J547" s="6">
        <v>0.75347222222222221</v>
      </c>
      <c r="K547" s="7" t="s">
        <v>26</v>
      </c>
      <c r="L547" s="7" t="s">
        <v>27</v>
      </c>
      <c r="M547" s="7" t="s">
        <v>21</v>
      </c>
      <c r="N547" s="7">
        <f>COUNTIFS(A:A,A547,D:D,D547,E:E,I547)</f>
        <v>0</v>
      </c>
    </row>
    <row r="548" spans="1:14" x14ac:dyDescent="0.3">
      <c r="A548" s="7" t="s">
        <v>194</v>
      </c>
      <c r="B548" s="7" t="s">
        <v>195</v>
      </c>
      <c r="C548" s="7" t="s">
        <v>60</v>
      </c>
      <c r="D548" s="8">
        <v>45343</v>
      </c>
      <c r="E548" s="8" t="str">
        <f t="shared" si="31"/>
        <v>February</v>
      </c>
      <c r="F548">
        <f t="shared" si="32"/>
        <v>2024</v>
      </c>
      <c r="G548">
        <f t="shared" si="33"/>
        <v>1</v>
      </c>
      <c r="H548">
        <f t="shared" si="34"/>
        <v>0</v>
      </c>
      <c r="I548" s="6">
        <v>0.36388888888888887</v>
      </c>
      <c r="J548" s="6">
        <v>0.72013888888888888</v>
      </c>
      <c r="K548" s="7" t="s">
        <v>20</v>
      </c>
      <c r="L548" s="7" t="s">
        <v>27</v>
      </c>
      <c r="M548" s="7" t="s">
        <v>15</v>
      </c>
      <c r="N548" s="7">
        <f>COUNTIFS(A:A,A548,D:D,D548,E:E,I548)</f>
        <v>0</v>
      </c>
    </row>
    <row r="549" spans="1:14" x14ac:dyDescent="0.3">
      <c r="A549" s="7" t="s">
        <v>150</v>
      </c>
      <c r="B549" s="7" t="s">
        <v>151</v>
      </c>
      <c r="C549" s="7" t="s">
        <v>64</v>
      </c>
      <c r="D549" s="8">
        <v>45536</v>
      </c>
      <c r="E549" s="8" t="str">
        <f t="shared" si="31"/>
        <v>September</v>
      </c>
      <c r="F549">
        <f t="shared" si="32"/>
        <v>2024</v>
      </c>
      <c r="G549">
        <f t="shared" si="33"/>
        <v>1</v>
      </c>
      <c r="H549">
        <f t="shared" si="34"/>
        <v>1</v>
      </c>
      <c r="I549" s="6">
        <v>0.40486111111111112</v>
      </c>
      <c r="J549" s="6">
        <v>0.84722222222222221</v>
      </c>
      <c r="K549" s="7" t="s">
        <v>26</v>
      </c>
      <c r="L549" s="7" t="s">
        <v>27</v>
      </c>
      <c r="M549" s="7" t="s">
        <v>15</v>
      </c>
      <c r="N549" s="7">
        <f>COUNTIFS(A:A,A549,D:D,D549,E:E,I549)</f>
        <v>0</v>
      </c>
    </row>
    <row r="550" spans="1:14" x14ac:dyDescent="0.3">
      <c r="A550" s="7" t="s">
        <v>216</v>
      </c>
      <c r="B550" s="7" t="s">
        <v>217</v>
      </c>
      <c r="C550" s="7" t="s">
        <v>60</v>
      </c>
      <c r="D550" s="8">
        <v>45383</v>
      </c>
      <c r="E550" s="8" t="str">
        <f t="shared" si="31"/>
        <v>April</v>
      </c>
      <c r="F550">
        <f t="shared" si="32"/>
        <v>2024</v>
      </c>
      <c r="G550">
        <f t="shared" si="33"/>
        <v>1</v>
      </c>
      <c r="H550">
        <f t="shared" si="34"/>
        <v>0</v>
      </c>
      <c r="I550" s="6">
        <v>0.46944444444444444</v>
      </c>
      <c r="J550" s="6">
        <v>0.80555555555555558</v>
      </c>
      <c r="K550" s="7" t="s">
        <v>13</v>
      </c>
      <c r="L550" s="7" t="s">
        <v>14</v>
      </c>
      <c r="M550" s="7" t="s">
        <v>21</v>
      </c>
      <c r="N550" s="7">
        <f>COUNTIFS(A:A,A550,D:D,D550,E:E,I550)</f>
        <v>0</v>
      </c>
    </row>
    <row r="551" spans="1:14" x14ac:dyDescent="0.3">
      <c r="A551" s="7" t="s">
        <v>362</v>
      </c>
      <c r="B551" s="7" t="s">
        <v>363</v>
      </c>
      <c r="C551" s="7" t="s">
        <v>425</v>
      </c>
      <c r="D551" s="8">
        <v>45336</v>
      </c>
      <c r="E551" s="8" t="str">
        <f t="shared" si="31"/>
        <v>February</v>
      </c>
      <c r="F551">
        <f t="shared" si="32"/>
        <v>2024</v>
      </c>
      <c r="G551">
        <f t="shared" si="33"/>
        <v>1</v>
      </c>
      <c r="H551">
        <f t="shared" si="34"/>
        <v>0</v>
      </c>
      <c r="I551" s="6">
        <v>0.37638888888888888</v>
      </c>
      <c r="J551" s="6">
        <v>0.72152777777777777</v>
      </c>
      <c r="K551" s="7" t="s">
        <v>13</v>
      </c>
      <c r="L551" s="7" t="s">
        <v>14</v>
      </c>
      <c r="M551" s="7" t="s">
        <v>21</v>
      </c>
      <c r="N551" s="7">
        <f>COUNTIFS(A:A,A551,D:D,D551,E:E,I551)</f>
        <v>0</v>
      </c>
    </row>
    <row r="552" spans="1:14" x14ac:dyDescent="0.3">
      <c r="A552" s="7" t="s">
        <v>115</v>
      </c>
      <c r="B552" s="7" t="s">
        <v>116</v>
      </c>
      <c r="C552" s="7" t="s">
        <v>60</v>
      </c>
      <c r="D552" s="8">
        <v>45353</v>
      </c>
      <c r="E552" s="8" t="str">
        <f t="shared" si="31"/>
        <v>March</v>
      </c>
      <c r="F552">
        <f t="shared" si="32"/>
        <v>2024</v>
      </c>
      <c r="G552">
        <f t="shared" si="33"/>
        <v>1</v>
      </c>
      <c r="H552">
        <f t="shared" si="34"/>
        <v>0</v>
      </c>
      <c r="I552" s="6">
        <v>0.40069444444444446</v>
      </c>
      <c r="J552" s="6">
        <v>0.69097222222222221</v>
      </c>
      <c r="K552" s="7" t="s">
        <v>20</v>
      </c>
      <c r="L552" s="7" t="s">
        <v>14</v>
      </c>
      <c r="M552" s="7" t="s">
        <v>21</v>
      </c>
      <c r="N552" s="7">
        <f>COUNTIFS(A:A,A552,D:D,D552,E:E,I552)</f>
        <v>0</v>
      </c>
    </row>
    <row r="553" spans="1:14" x14ac:dyDescent="0.3">
      <c r="A553" s="7" t="s">
        <v>40</v>
      </c>
      <c r="B553" s="7" t="s">
        <v>41</v>
      </c>
      <c r="C553" s="7" t="s">
        <v>60</v>
      </c>
      <c r="D553" s="8">
        <v>45367</v>
      </c>
      <c r="E553" s="8" t="str">
        <f t="shared" si="31"/>
        <v>March</v>
      </c>
      <c r="F553">
        <f t="shared" si="32"/>
        <v>2024</v>
      </c>
      <c r="G553">
        <f t="shared" si="33"/>
        <v>1</v>
      </c>
      <c r="H553">
        <f t="shared" si="34"/>
        <v>0</v>
      </c>
      <c r="I553" s="6">
        <v>0.41111111111111109</v>
      </c>
      <c r="J553" s="6">
        <v>0.7006944444444444</v>
      </c>
      <c r="K553" s="7" t="s">
        <v>13</v>
      </c>
      <c r="L553" s="7" t="s">
        <v>27</v>
      </c>
      <c r="M553" s="7" t="s">
        <v>15</v>
      </c>
      <c r="N553" s="7">
        <f>COUNTIFS(A:A,A553,D:D,D553,E:E,I553)</f>
        <v>0</v>
      </c>
    </row>
    <row r="554" spans="1:14" x14ac:dyDescent="0.3">
      <c r="A554" s="7" t="s">
        <v>72</v>
      </c>
      <c r="B554" s="7" t="s">
        <v>73</v>
      </c>
      <c r="C554" s="7" t="s">
        <v>42</v>
      </c>
      <c r="D554" s="8">
        <v>45338</v>
      </c>
      <c r="E554" s="8" t="str">
        <f t="shared" si="31"/>
        <v>February</v>
      </c>
      <c r="F554">
        <f t="shared" si="32"/>
        <v>2024</v>
      </c>
      <c r="G554">
        <f t="shared" si="33"/>
        <v>1</v>
      </c>
      <c r="H554">
        <f t="shared" si="34"/>
        <v>0</v>
      </c>
      <c r="I554" s="6">
        <v>0.48749999999999999</v>
      </c>
      <c r="J554" s="6">
        <v>0.67708333333333337</v>
      </c>
      <c r="K554" s="7" t="s">
        <v>20</v>
      </c>
      <c r="L554" s="7" t="s">
        <v>27</v>
      </c>
      <c r="M554" s="7" t="s">
        <v>15</v>
      </c>
      <c r="N554" s="7">
        <f>COUNTIFS(A:A,A554,D:D,D554,E:E,I554)</f>
        <v>0</v>
      </c>
    </row>
    <row r="555" spans="1:14" x14ac:dyDescent="0.3">
      <c r="A555" s="7" t="s">
        <v>119</v>
      </c>
      <c r="B555" s="7" t="s">
        <v>120</v>
      </c>
      <c r="C555" s="7" t="s">
        <v>42</v>
      </c>
      <c r="D555" s="8">
        <v>45444</v>
      </c>
      <c r="E555" s="8" t="str">
        <f t="shared" si="31"/>
        <v>June</v>
      </c>
      <c r="F555">
        <f t="shared" si="32"/>
        <v>2024</v>
      </c>
      <c r="G555">
        <f t="shared" si="33"/>
        <v>1</v>
      </c>
      <c r="H555">
        <f t="shared" si="34"/>
        <v>1</v>
      </c>
      <c r="I555" s="6">
        <v>0.44930555555555557</v>
      </c>
      <c r="J555" s="6">
        <v>0.69930555555555551</v>
      </c>
      <c r="K555" s="7" t="s">
        <v>26</v>
      </c>
      <c r="L555" s="7" t="s">
        <v>14</v>
      </c>
      <c r="M555" s="7" t="s">
        <v>15</v>
      </c>
      <c r="N555" s="7">
        <f>COUNTIFS(A:A,A555,D:D,D555,E:E,I555)</f>
        <v>0</v>
      </c>
    </row>
    <row r="556" spans="1:14" x14ac:dyDescent="0.3">
      <c r="A556" s="7" t="s">
        <v>55</v>
      </c>
      <c r="B556" s="7" t="s">
        <v>56</v>
      </c>
      <c r="C556" s="7" t="s">
        <v>64</v>
      </c>
      <c r="D556" s="8">
        <v>45346</v>
      </c>
      <c r="E556" s="8" t="str">
        <f t="shared" si="31"/>
        <v>February</v>
      </c>
      <c r="F556">
        <f t="shared" si="32"/>
        <v>2024</v>
      </c>
      <c r="G556">
        <f t="shared" si="33"/>
        <v>0</v>
      </c>
      <c r="H556">
        <f t="shared" si="34"/>
        <v>0</v>
      </c>
      <c r="I556" s="6"/>
      <c r="J556" s="6"/>
      <c r="K556" s="7" t="s">
        <v>44</v>
      </c>
      <c r="L556" s="7" t="s">
        <v>27</v>
      </c>
      <c r="M556" s="7" t="s">
        <v>15</v>
      </c>
      <c r="N556" s="7">
        <f>COUNTIFS(A:A,A556,D:D,D556,E:E,I556)</f>
        <v>0</v>
      </c>
    </row>
    <row r="557" spans="1:14" x14ac:dyDescent="0.3">
      <c r="A557" s="7" t="s">
        <v>69</v>
      </c>
      <c r="B557" s="7" t="s">
        <v>70</v>
      </c>
      <c r="C557" s="7" t="s">
        <v>426</v>
      </c>
      <c r="D557" s="8">
        <v>45293</v>
      </c>
      <c r="E557" s="8" t="str">
        <f t="shared" si="31"/>
        <v>January</v>
      </c>
      <c r="F557">
        <f t="shared" si="32"/>
        <v>2024</v>
      </c>
      <c r="G557">
        <f t="shared" si="33"/>
        <v>1</v>
      </c>
      <c r="H557">
        <f t="shared" si="34"/>
        <v>1</v>
      </c>
      <c r="I557" s="6">
        <v>0.38750000000000001</v>
      </c>
      <c r="J557" s="6">
        <v>0.7583333333333333</v>
      </c>
      <c r="K557" s="7" t="s">
        <v>26</v>
      </c>
      <c r="L557" s="7" t="s">
        <v>27</v>
      </c>
      <c r="M557" s="7" t="s">
        <v>21</v>
      </c>
      <c r="N557" s="7">
        <f>COUNTIFS(A:A,A557,D:D,D557,E:E,I557)</f>
        <v>0</v>
      </c>
    </row>
    <row r="558" spans="1:14" x14ac:dyDescent="0.3">
      <c r="A558" s="7" t="s">
        <v>216</v>
      </c>
      <c r="B558" s="7" t="s">
        <v>217</v>
      </c>
      <c r="C558" s="7" t="s">
        <v>426</v>
      </c>
      <c r="D558" s="8">
        <v>45369</v>
      </c>
      <c r="E558" s="8" t="str">
        <f t="shared" si="31"/>
        <v>March</v>
      </c>
      <c r="F558">
        <f t="shared" si="32"/>
        <v>2024</v>
      </c>
      <c r="G558">
        <f t="shared" si="33"/>
        <v>1</v>
      </c>
      <c r="H558">
        <f t="shared" si="34"/>
        <v>0</v>
      </c>
      <c r="I558" s="6">
        <v>0.39444444444444443</v>
      </c>
      <c r="J558" s="6">
        <v>0.70625000000000004</v>
      </c>
      <c r="K558" s="7" t="s">
        <v>20</v>
      </c>
      <c r="L558" s="7" t="s">
        <v>14</v>
      </c>
      <c r="M558" s="7" t="s">
        <v>21</v>
      </c>
      <c r="N558" s="7">
        <f>COUNTIFS(A:A,A558,D:D,D558,E:E,I558)</f>
        <v>0</v>
      </c>
    </row>
    <row r="559" spans="1:14" x14ac:dyDescent="0.3">
      <c r="A559" s="7" t="s">
        <v>291</v>
      </c>
      <c r="B559" s="7" t="s">
        <v>292</v>
      </c>
      <c r="C559" s="7" t="s">
        <v>42</v>
      </c>
      <c r="D559" s="8">
        <v>45302</v>
      </c>
      <c r="E559" s="8" t="str">
        <f t="shared" si="31"/>
        <v>January</v>
      </c>
      <c r="F559">
        <f t="shared" si="32"/>
        <v>2024</v>
      </c>
      <c r="G559">
        <f t="shared" si="33"/>
        <v>1</v>
      </c>
      <c r="H559">
        <f t="shared" si="34"/>
        <v>1</v>
      </c>
      <c r="I559" s="6">
        <v>0.37708333333333333</v>
      </c>
      <c r="J559" s="6">
        <v>0.68472222222222223</v>
      </c>
      <c r="K559" s="7" t="s">
        <v>26</v>
      </c>
      <c r="L559" s="7" t="s">
        <v>14</v>
      </c>
      <c r="M559" s="7" t="s">
        <v>15</v>
      </c>
      <c r="N559" s="7">
        <f>COUNTIFS(A:A,A559,D:D,D559,E:E,I559)</f>
        <v>0</v>
      </c>
    </row>
    <row r="560" spans="1:14" x14ac:dyDescent="0.3">
      <c r="A560" s="7" t="s">
        <v>52</v>
      </c>
      <c r="B560" s="7" t="s">
        <v>53</v>
      </c>
      <c r="C560" s="7" t="s">
        <v>42</v>
      </c>
      <c r="D560" s="8">
        <v>45319</v>
      </c>
      <c r="E560" s="8" t="str">
        <f t="shared" si="31"/>
        <v>January</v>
      </c>
      <c r="F560">
        <f t="shared" si="32"/>
        <v>2024</v>
      </c>
      <c r="G560">
        <f t="shared" si="33"/>
        <v>1</v>
      </c>
      <c r="H560">
        <f t="shared" si="34"/>
        <v>0</v>
      </c>
      <c r="I560" s="6">
        <v>0.38472222222222224</v>
      </c>
      <c r="J560" s="6">
        <v>0.76875000000000004</v>
      </c>
      <c r="K560" s="7" t="s">
        <v>20</v>
      </c>
      <c r="L560" s="7" t="s">
        <v>14</v>
      </c>
      <c r="M560" s="7" t="s">
        <v>21</v>
      </c>
      <c r="N560" s="7">
        <f>COUNTIFS(A:A,A560,D:D,D560,E:E,I560)</f>
        <v>0</v>
      </c>
    </row>
    <row r="561" spans="1:14" x14ac:dyDescent="0.3">
      <c r="A561" s="7" t="s">
        <v>62</v>
      </c>
      <c r="B561" s="7" t="s">
        <v>63</v>
      </c>
      <c r="C561" s="7" t="s">
        <v>425</v>
      </c>
      <c r="D561" s="8">
        <v>45371</v>
      </c>
      <c r="E561" s="8" t="str">
        <f t="shared" si="31"/>
        <v>March</v>
      </c>
      <c r="F561">
        <f t="shared" si="32"/>
        <v>2024</v>
      </c>
      <c r="G561">
        <f t="shared" si="33"/>
        <v>1</v>
      </c>
      <c r="H561">
        <f t="shared" si="34"/>
        <v>1</v>
      </c>
      <c r="I561" s="6">
        <v>0.45555555555555555</v>
      </c>
      <c r="J561" s="6">
        <v>0.77152777777777781</v>
      </c>
      <c r="K561" s="7" t="s">
        <v>26</v>
      </c>
      <c r="L561" s="7" t="s">
        <v>14</v>
      </c>
      <c r="M561" s="7" t="s">
        <v>21</v>
      </c>
      <c r="N561" s="7">
        <f>COUNTIFS(A:A,A561,D:D,D561,E:E,I561)</f>
        <v>0</v>
      </c>
    </row>
    <row r="562" spans="1:14" x14ac:dyDescent="0.3">
      <c r="A562" s="7" t="s">
        <v>119</v>
      </c>
      <c r="B562" s="7" t="s">
        <v>120</v>
      </c>
      <c r="C562" s="7" t="s">
        <v>425</v>
      </c>
      <c r="D562" s="8">
        <v>45474</v>
      </c>
      <c r="E562" s="8" t="str">
        <f t="shared" si="31"/>
        <v>July</v>
      </c>
      <c r="F562">
        <f t="shared" si="32"/>
        <v>2024</v>
      </c>
      <c r="G562">
        <f t="shared" si="33"/>
        <v>1</v>
      </c>
      <c r="H562">
        <f t="shared" si="34"/>
        <v>0</v>
      </c>
      <c r="I562" s="6">
        <v>0.47361111111111109</v>
      </c>
      <c r="J562" s="6">
        <v>0.71111111111111114</v>
      </c>
      <c r="K562" s="7" t="s">
        <v>20</v>
      </c>
      <c r="L562" s="7" t="s">
        <v>14</v>
      </c>
      <c r="M562" s="7" t="s">
        <v>15</v>
      </c>
      <c r="N562" s="7">
        <f>COUNTIFS(A:A,A562,D:D,D562,E:E,I562)</f>
        <v>0</v>
      </c>
    </row>
    <row r="563" spans="1:14" x14ac:dyDescent="0.3">
      <c r="A563" s="7" t="s">
        <v>165</v>
      </c>
      <c r="B563" s="7" t="s">
        <v>166</v>
      </c>
      <c r="C563" s="7" t="s">
        <v>42</v>
      </c>
      <c r="D563" s="8">
        <v>45347</v>
      </c>
      <c r="E563" s="8" t="str">
        <f t="shared" si="31"/>
        <v>February</v>
      </c>
      <c r="F563">
        <f t="shared" si="32"/>
        <v>2024</v>
      </c>
      <c r="G563">
        <f t="shared" si="33"/>
        <v>0</v>
      </c>
      <c r="H563">
        <f t="shared" si="34"/>
        <v>0</v>
      </c>
      <c r="I563" s="6"/>
      <c r="J563" s="6"/>
      <c r="K563" s="7" t="s">
        <v>44</v>
      </c>
      <c r="L563" s="7" t="s">
        <v>14</v>
      </c>
      <c r="M563" s="7" t="s">
        <v>21</v>
      </c>
      <c r="N563" s="7">
        <f>COUNTIFS(A:A,A563,D:D,D563,E:E,I563)</f>
        <v>0</v>
      </c>
    </row>
    <row r="564" spans="1:14" x14ac:dyDescent="0.3">
      <c r="A564" s="7" t="s">
        <v>78</v>
      </c>
      <c r="B564" s="7" t="s">
        <v>79</v>
      </c>
      <c r="C564" s="7" t="s">
        <v>426</v>
      </c>
      <c r="D564" s="8">
        <v>45380</v>
      </c>
      <c r="E564" s="8" t="str">
        <f t="shared" si="31"/>
        <v>March</v>
      </c>
      <c r="F564">
        <f t="shared" si="32"/>
        <v>2024</v>
      </c>
      <c r="G564">
        <f t="shared" si="33"/>
        <v>1</v>
      </c>
      <c r="H564">
        <f t="shared" si="34"/>
        <v>0</v>
      </c>
      <c r="I564" s="6">
        <v>0.47499999999999998</v>
      </c>
      <c r="J564" s="6">
        <v>0.72083333333333333</v>
      </c>
      <c r="K564" s="7" t="s">
        <v>13</v>
      </c>
      <c r="L564" s="7" t="s">
        <v>14</v>
      </c>
      <c r="M564" s="7" t="s">
        <v>21</v>
      </c>
      <c r="N564" s="7">
        <f>COUNTIFS(A:A,A564,D:D,D564,E:E,I564)</f>
        <v>0</v>
      </c>
    </row>
    <row r="565" spans="1:14" x14ac:dyDescent="0.3">
      <c r="A565" s="7" t="s">
        <v>213</v>
      </c>
      <c r="B565" s="7" t="s">
        <v>214</v>
      </c>
      <c r="C565" s="7" t="s">
        <v>42</v>
      </c>
      <c r="D565" s="8">
        <v>45536</v>
      </c>
      <c r="E565" s="8" t="str">
        <f t="shared" si="31"/>
        <v>September</v>
      </c>
      <c r="F565">
        <f t="shared" si="32"/>
        <v>2024</v>
      </c>
      <c r="G565">
        <f t="shared" si="33"/>
        <v>1</v>
      </c>
      <c r="H565">
        <f t="shared" si="34"/>
        <v>1</v>
      </c>
      <c r="I565" s="6">
        <v>0.41458333333333336</v>
      </c>
      <c r="J565" s="6">
        <v>0.74652777777777779</v>
      </c>
      <c r="K565" s="7" t="s">
        <v>26</v>
      </c>
      <c r="L565" s="7" t="s">
        <v>14</v>
      </c>
      <c r="M565" s="7" t="s">
        <v>21</v>
      </c>
      <c r="N565" s="7">
        <f>COUNTIFS(A:A,A565,D:D,D565,E:E,I565)</f>
        <v>0</v>
      </c>
    </row>
    <row r="566" spans="1:14" x14ac:dyDescent="0.3">
      <c r="A566" s="7" t="s">
        <v>197</v>
      </c>
      <c r="B566" s="7" t="s">
        <v>198</v>
      </c>
      <c r="C566" s="7" t="s">
        <v>425</v>
      </c>
      <c r="D566" s="8">
        <v>45380</v>
      </c>
      <c r="E566" s="8" t="str">
        <f t="shared" si="31"/>
        <v>March</v>
      </c>
      <c r="F566">
        <f t="shared" si="32"/>
        <v>2024</v>
      </c>
      <c r="G566">
        <f t="shared" si="33"/>
        <v>0</v>
      </c>
      <c r="H566">
        <f t="shared" si="34"/>
        <v>0</v>
      </c>
      <c r="I566" s="6"/>
      <c r="J566" s="6"/>
      <c r="K566" s="7" t="s">
        <v>44</v>
      </c>
      <c r="L566" s="7" t="s">
        <v>14</v>
      </c>
      <c r="M566" s="7" t="s">
        <v>15</v>
      </c>
      <c r="N566" s="7">
        <f>COUNTIFS(A:A,A566,D:D,D566,E:E,I566)</f>
        <v>0</v>
      </c>
    </row>
    <row r="567" spans="1:14" x14ac:dyDescent="0.3">
      <c r="A567" s="7" t="s">
        <v>66</v>
      </c>
      <c r="B567" s="7" t="s">
        <v>67</v>
      </c>
      <c r="C567" s="7" t="s">
        <v>60</v>
      </c>
      <c r="D567" s="8">
        <v>45319</v>
      </c>
      <c r="E567" s="8" t="str">
        <f t="shared" si="31"/>
        <v>January</v>
      </c>
      <c r="F567">
        <f t="shared" si="32"/>
        <v>2024</v>
      </c>
      <c r="G567">
        <f t="shared" si="33"/>
        <v>1</v>
      </c>
      <c r="H567">
        <f t="shared" si="34"/>
        <v>0</v>
      </c>
      <c r="I567" s="6">
        <v>0.37361111111111112</v>
      </c>
      <c r="J567" s="6">
        <v>0.72430555555555554</v>
      </c>
      <c r="K567" s="7" t="s">
        <v>20</v>
      </c>
      <c r="L567" s="7" t="s">
        <v>27</v>
      </c>
      <c r="M567" s="7" t="s">
        <v>15</v>
      </c>
      <c r="N567" s="7">
        <f>COUNTIFS(A:A,A567,D:D,D567,E:E,I567)</f>
        <v>0</v>
      </c>
    </row>
    <row r="568" spans="1:14" x14ac:dyDescent="0.3">
      <c r="A568" s="7" t="s">
        <v>200</v>
      </c>
      <c r="B568" s="7" t="s">
        <v>201</v>
      </c>
      <c r="C568" s="7" t="s">
        <v>426</v>
      </c>
      <c r="D568" s="8">
        <v>45378</v>
      </c>
      <c r="E568" s="8" t="str">
        <f t="shared" si="31"/>
        <v>March</v>
      </c>
      <c r="F568">
        <f t="shared" si="32"/>
        <v>2024</v>
      </c>
      <c r="G568">
        <f t="shared" si="33"/>
        <v>1</v>
      </c>
      <c r="H568">
        <f t="shared" si="34"/>
        <v>1</v>
      </c>
      <c r="I568" s="6">
        <v>0.38263888888888886</v>
      </c>
      <c r="J568" s="6">
        <v>0.78472222222222221</v>
      </c>
      <c r="K568" s="7" t="s">
        <v>26</v>
      </c>
      <c r="L568" s="7" t="s">
        <v>27</v>
      </c>
      <c r="M568" s="7" t="s">
        <v>15</v>
      </c>
      <c r="N568" s="7">
        <f>COUNTIFS(A:A,A568,D:D,D568,E:E,I568)</f>
        <v>0</v>
      </c>
    </row>
    <row r="569" spans="1:14" x14ac:dyDescent="0.3">
      <c r="A569" s="7" t="s">
        <v>246</v>
      </c>
      <c r="B569" s="7" t="s">
        <v>247</v>
      </c>
      <c r="C569" s="7" t="s">
        <v>64</v>
      </c>
      <c r="D569" s="8">
        <v>45294</v>
      </c>
      <c r="E569" s="8" t="str">
        <f t="shared" si="31"/>
        <v>January</v>
      </c>
      <c r="F569">
        <f t="shared" si="32"/>
        <v>2024</v>
      </c>
      <c r="G569">
        <f t="shared" si="33"/>
        <v>1</v>
      </c>
      <c r="H569">
        <f t="shared" si="34"/>
        <v>1</v>
      </c>
      <c r="I569" s="6">
        <v>0.44722222222222224</v>
      </c>
      <c r="J569" s="6">
        <v>0.80902777777777779</v>
      </c>
      <c r="K569" s="7" t="s">
        <v>26</v>
      </c>
      <c r="L569" s="7" t="s">
        <v>27</v>
      </c>
      <c r="M569" s="7" t="s">
        <v>15</v>
      </c>
      <c r="N569" s="7">
        <f>COUNTIFS(A:A,A569,D:D,D569,E:E,I569)</f>
        <v>0</v>
      </c>
    </row>
    <row r="570" spans="1:14" x14ac:dyDescent="0.3">
      <c r="A570" s="7" t="s">
        <v>75</v>
      </c>
      <c r="B570" s="7" t="s">
        <v>76</v>
      </c>
      <c r="C570" s="7" t="s">
        <v>42</v>
      </c>
      <c r="D570" s="8">
        <v>45627</v>
      </c>
      <c r="E570" s="8" t="str">
        <f t="shared" si="31"/>
        <v>December</v>
      </c>
      <c r="F570">
        <f t="shared" si="32"/>
        <v>2024</v>
      </c>
      <c r="G570">
        <f t="shared" si="33"/>
        <v>1</v>
      </c>
      <c r="H570">
        <f t="shared" si="34"/>
        <v>0</v>
      </c>
      <c r="I570" s="6">
        <v>0.48125000000000001</v>
      </c>
      <c r="J570" s="6">
        <v>0.78749999999999998</v>
      </c>
      <c r="K570" s="7" t="s">
        <v>20</v>
      </c>
      <c r="L570" s="7" t="s">
        <v>27</v>
      </c>
      <c r="M570" s="7" t="s">
        <v>15</v>
      </c>
      <c r="N570" s="7">
        <f>COUNTIFS(A:A,A570,D:D,D570,E:E,I570)</f>
        <v>0</v>
      </c>
    </row>
    <row r="571" spans="1:14" x14ac:dyDescent="0.3">
      <c r="A571" s="7" t="s">
        <v>134</v>
      </c>
      <c r="B571" s="7" t="s">
        <v>135</v>
      </c>
      <c r="C571" s="7" t="s">
        <v>60</v>
      </c>
      <c r="D571" s="8">
        <v>45376</v>
      </c>
      <c r="E571" s="8" t="str">
        <f t="shared" si="31"/>
        <v>March</v>
      </c>
      <c r="F571">
        <f t="shared" si="32"/>
        <v>2024</v>
      </c>
      <c r="G571">
        <f t="shared" si="33"/>
        <v>1</v>
      </c>
      <c r="H571">
        <f t="shared" si="34"/>
        <v>0</v>
      </c>
      <c r="I571" s="6">
        <v>0.39374999999999999</v>
      </c>
      <c r="J571" s="6">
        <v>0.7270833333333333</v>
      </c>
      <c r="K571" s="7" t="s">
        <v>13</v>
      </c>
      <c r="L571" s="7" t="s">
        <v>14</v>
      </c>
      <c r="M571" s="7" t="s">
        <v>15</v>
      </c>
      <c r="N571" s="7">
        <f>COUNTIFS(A:A,A571,D:D,D571,E:E,I571)</f>
        <v>0</v>
      </c>
    </row>
    <row r="572" spans="1:14" x14ac:dyDescent="0.3">
      <c r="A572" s="7" t="s">
        <v>224</v>
      </c>
      <c r="B572" s="7" t="s">
        <v>225</v>
      </c>
      <c r="C572" s="7" t="s">
        <v>60</v>
      </c>
      <c r="D572" s="8">
        <v>45538</v>
      </c>
      <c r="E572" s="8" t="str">
        <f t="shared" si="31"/>
        <v>September</v>
      </c>
      <c r="F572">
        <f t="shared" si="32"/>
        <v>2024</v>
      </c>
      <c r="G572">
        <f t="shared" si="33"/>
        <v>0</v>
      </c>
      <c r="H572">
        <f t="shared" si="34"/>
        <v>0</v>
      </c>
      <c r="I572" s="6"/>
      <c r="J572" s="6"/>
      <c r="K572" s="7" t="s">
        <v>44</v>
      </c>
      <c r="L572" s="7" t="s">
        <v>14</v>
      </c>
      <c r="M572" s="7" t="s">
        <v>21</v>
      </c>
      <c r="N572" s="7">
        <f>COUNTIFS(A:A,A572,D:D,D572,E:E,I572)</f>
        <v>0</v>
      </c>
    </row>
    <row r="573" spans="1:14" x14ac:dyDescent="0.3">
      <c r="A573" s="7" t="s">
        <v>338</v>
      </c>
      <c r="B573" s="7" t="s">
        <v>339</v>
      </c>
      <c r="C573" s="7" t="s">
        <v>425</v>
      </c>
      <c r="D573" s="8">
        <v>45326</v>
      </c>
      <c r="E573" s="8" t="str">
        <f t="shared" si="31"/>
        <v>February</v>
      </c>
      <c r="F573">
        <f t="shared" si="32"/>
        <v>2024</v>
      </c>
      <c r="G573">
        <f t="shared" si="33"/>
        <v>1</v>
      </c>
      <c r="H573">
        <f t="shared" si="34"/>
        <v>1</v>
      </c>
      <c r="I573" s="6">
        <v>0.46388888888888891</v>
      </c>
      <c r="J573" s="6">
        <v>0.72152777777777777</v>
      </c>
      <c r="K573" s="7" t="s">
        <v>26</v>
      </c>
      <c r="L573" s="7" t="s">
        <v>14</v>
      </c>
      <c r="M573" s="7" t="s">
        <v>21</v>
      </c>
      <c r="N573" s="7">
        <f>COUNTIFS(A:A,A573,D:D,D573,E:E,I573)</f>
        <v>0</v>
      </c>
    </row>
    <row r="574" spans="1:14" x14ac:dyDescent="0.3">
      <c r="A574" s="7" t="s">
        <v>72</v>
      </c>
      <c r="B574" s="7" t="s">
        <v>73</v>
      </c>
      <c r="C574" s="7" t="s">
        <v>64</v>
      </c>
      <c r="D574" s="8">
        <v>45314</v>
      </c>
      <c r="E574" s="8" t="str">
        <f t="shared" si="31"/>
        <v>January</v>
      </c>
      <c r="F574">
        <f t="shared" si="32"/>
        <v>2024</v>
      </c>
      <c r="G574">
        <f t="shared" si="33"/>
        <v>1</v>
      </c>
      <c r="H574">
        <f t="shared" si="34"/>
        <v>0</v>
      </c>
      <c r="I574" s="6">
        <v>0.43611111111111112</v>
      </c>
      <c r="J574" s="6">
        <v>0.70833333333333337</v>
      </c>
      <c r="K574" s="7" t="s">
        <v>13</v>
      </c>
      <c r="L574" s="7" t="s">
        <v>14</v>
      </c>
      <c r="M574" s="7" t="s">
        <v>21</v>
      </c>
      <c r="N574" s="7">
        <f>COUNTIFS(A:A,A574,D:D,D574,E:E,I574)</f>
        <v>0</v>
      </c>
    </row>
    <row r="575" spans="1:14" x14ac:dyDescent="0.3">
      <c r="A575" s="7" t="s">
        <v>291</v>
      </c>
      <c r="B575" s="7" t="s">
        <v>292</v>
      </c>
      <c r="C575" s="7" t="s">
        <v>425</v>
      </c>
      <c r="D575" s="8">
        <v>45326</v>
      </c>
      <c r="E575" s="8" t="str">
        <f t="shared" si="31"/>
        <v>February</v>
      </c>
      <c r="F575">
        <f t="shared" si="32"/>
        <v>2024</v>
      </c>
      <c r="G575">
        <f t="shared" si="33"/>
        <v>0</v>
      </c>
      <c r="H575">
        <f t="shared" si="34"/>
        <v>0</v>
      </c>
      <c r="I575" s="6"/>
      <c r="J575" s="6"/>
      <c r="K575" s="7" t="s">
        <v>44</v>
      </c>
      <c r="L575" s="7" t="s">
        <v>27</v>
      </c>
      <c r="M575" s="7" t="s">
        <v>15</v>
      </c>
      <c r="N575" s="7">
        <f>COUNTIFS(A:A,A575,D:D,D575,E:E,I575)</f>
        <v>0</v>
      </c>
    </row>
    <row r="576" spans="1:14" x14ac:dyDescent="0.3">
      <c r="A576" s="7" t="s">
        <v>72</v>
      </c>
      <c r="B576" s="7" t="s">
        <v>73</v>
      </c>
      <c r="C576" s="7" t="s">
        <v>42</v>
      </c>
      <c r="D576" s="8">
        <v>45342</v>
      </c>
      <c r="E576" s="8" t="str">
        <f t="shared" si="31"/>
        <v>February</v>
      </c>
      <c r="F576">
        <f t="shared" si="32"/>
        <v>2024</v>
      </c>
      <c r="G576">
        <f t="shared" si="33"/>
        <v>1</v>
      </c>
      <c r="H576">
        <f t="shared" si="34"/>
        <v>1</v>
      </c>
      <c r="I576" s="6">
        <v>0.41319444444444442</v>
      </c>
      <c r="J576" s="6">
        <v>0.87361111111111112</v>
      </c>
      <c r="K576" s="7" t="s">
        <v>26</v>
      </c>
      <c r="L576" s="7" t="s">
        <v>14</v>
      </c>
      <c r="M576" s="7" t="s">
        <v>15</v>
      </c>
      <c r="N576" s="7">
        <f>COUNTIFS(A:A,A576,D:D,D576,E:E,I576)</f>
        <v>0</v>
      </c>
    </row>
    <row r="577" spans="1:14" x14ac:dyDescent="0.3">
      <c r="A577" s="7" t="s">
        <v>66</v>
      </c>
      <c r="B577" s="7" t="s">
        <v>67</v>
      </c>
      <c r="C577" s="7" t="s">
        <v>60</v>
      </c>
      <c r="D577" s="8">
        <v>45292</v>
      </c>
      <c r="E577" s="8" t="str">
        <f t="shared" si="31"/>
        <v>January</v>
      </c>
      <c r="F577">
        <f t="shared" si="32"/>
        <v>2024</v>
      </c>
      <c r="G577">
        <f t="shared" si="33"/>
        <v>1</v>
      </c>
      <c r="H577">
        <f t="shared" si="34"/>
        <v>1</v>
      </c>
      <c r="I577" s="6">
        <v>0.35694444444444445</v>
      </c>
      <c r="J577" s="6">
        <v>0.71944444444444444</v>
      </c>
      <c r="K577" s="7" t="s">
        <v>26</v>
      </c>
      <c r="L577" s="7" t="s">
        <v>27</v>
      </c>
      <c r="M577" s="7" t="s">
        <v>15</v>
      </c>
      <c r="N577" s="7">
        <f>COUNTIFS(A:A,A577,D:D,D577,E:E,I577)</f>
        <v>0</v>
      </c>
    </row>
    <row r="578" spans="1:14" x14ac:dyDescent="0.3">
      <c r="A578" s="7" t="s">
        <v>81</v>
      </c>
      <c r="B578" s="7" t="s">
        <v>82</v>
      </c>
      <c r="C578" s="7" t="s">
        <v>64</v>
      </c>
      <c r="D578" s="8">
        <v>45320</v>
      </c>
      <c r="E578" s="8" t="str">
        <f t="shared" ref="E578:E641" si="35">TEXT(D578,"mmmm")</f>
        <v>January</v>
      </c>
      <c r="F578">
        <f t="shared" ref="F578:F641" si="36">YEAR(D578)</f>
        <v>2024</v>
      </c>
      <c r="G578">
        <f t="shared" ref="G578:G641" si="37">IF(LOWER(K578)="absent",0,1)</f>
        <v>1</v>
      </c>
      <c r="H578">
        <f t="shared" ref="H578:H641" si="38">IF(K578="Late",1,0)</f>
        <v>0</v>
      </c>
      <c r="I578" s="6">
        <v>0.41111111111111109</v>
      </c>
      <c r="J578" s="6">
        <v>0.86736111111111114</v>
      </c>
      <c r="K578" s="7" t="s">
        <v>13</v>
      </c>
      <c r="L578" s="7" t="s">
        <v>14</v>
      </c>
      <c r="M578" s="7" t="s">
        <v>15</v>
      </c>
      <c r="N578" s="7">
        <f>COUNTIFS(A:A,A578,D:D,D578,E:E,I578)</f>
        <v>0</v>
      </c>
    </row>
    <row r="579" spans="1:14" x14ac:dyDescent="0.3">
      <c r="A579" s="7" t="s">
        <v>224</v>
      </c>
      <c r="B579" s="7" t="s">
        <v>225</v>
      </c>
      <c r="C579" s="7" t="s">
        <v>425</v>
      </c>
      <c r="D579" s="8">
        <v>45368</v>
      </c>
      <c r="E579" s="8" t="str">
        <f t="shared" si="35"/>
        <v>March</v>
      </c>
      <c r="F579">
        <f t="shared" si="36"/>
        <v>2024</v>
      </c>
      <c r="G579">
        <f t="shared" si="37"/>
        <v>1</v>
      </c>
      <c r="H579">
        <f t="shared" si="38"/>
        <v>0</v>
      </c>
      <c r="I579" s="6">
        <v>0.35486111111111113</v>
      </c>
      <c r="J579" s="6">
        <v>0.7416666666666667</v>
      </c>
      <c r="K579" s="7" t="s">
        <v>13</v>
      </c>
      <c r="L579" s="7" t="s">
        <v>14</v>
      </c>
      <c r="M579" s="7" t="s">
        <v>15</v>
      </c>
      <c r="N579" s="7">
        <f>COUNTIFS(A:A,A579,D:D,D579,E:E,I579)</f>
        <v>0</v>
      </c>
    </row>
    <row r="580" spans="1:14" x14ac:dyDescent="0.3">
      <c r="A580" s="7" t="s">
        <v>31</v>
      </c>
      <c r="B580" s="7" t="s">
        <v>32</v>
      </c>
      <c r="C580" s="7" t="s">
        <v>60</v>
      </c>
      <c r="D580" s="8">
        <v>45298</v>
      </c>
      <c r="E580" s="8" t="str">
        <f t="shared" si="35"/>
        <v>January</v>
      </c>
      <c r="F580">
        <f t="shared" si="36"/>
        <v>2024</v>
      </c>
      <c r="G580">
        <f t="shared" si="37"/>
        <v>1</v>
      </c>
      <c r="H580">
        <f t="shared" si="38"/>
        <v>0</v>
      </c>
      <c r="I580" s="6">
        <v>0.4777777777777778</v>
      </c>
      <c r="J580" s="6">
        <v>0.84722222222222221</v>
      </c>
      <c r="K580" s="7" t="s">
        <v>13</v>
      </c>
      <c r="L580" s="7" t="s">
        <v>27</v>
      </c>
      <c r="M580" s="7" t="s">
        <v>15</v>
      </c>
      <c r="N580" s="7">
        <f>COUNTIFS(A:A,A580,D:D,D580,E:E,I580)</f>
        <v>0</v>
      </c>
    </row>
    <row r="581" spans="1:14" x14ac:dyDescent="0.3">
      <c r="A581" s="7" t="s">
        <v>84</v>
      </c>
      <c r="B581" s="7" t="s">
        <v>85</v>
      </c>
      <c r="C581" s="7" t="s">
        <v>64</v>
      </c>
      <c r="D581" s="8">
        <v>45352</v>
      </c>
      <c r="E581" s="8" t="str">
        <f t="shared" si="35"/>
        <v>March</v>
      </c>
      <c r="F581">
        <f t="shared" si="36"/>
        <v>2024</v>
      </c>
      <c r="G581">
        <f t="shared" si="37"/>
        <v>0</v>
      </c>
      <c r="H581">
        <f t="shared" si="38"/>
        <v>0</v>
      </c>
      <c r="I581" s="6"/>
      <c r="J581" s="6"/>
      <c r="K581" s="7" t="s">
        <v>44</v>
      </c>
      <c r="L581" s="7" t="s">
        <v>14</v>
      </c>
      <c r="M581" s="7" t="s">
        <v>15</v>
      </c>
      <c r="N581" s="7">
        <f>COUNTIFS(A:A,A581,D:D,D581,E:E,I581)</f>
        <v>0</v>
      </c>
    </row>
    <row r="582" spans="1:14" x14ac:dyDescent="0.3">
      <c r="A582" s="7" t="s">
        <v>134</v>
      </c>
      <c r="B582" s="7" t="s">
        <v>135</v>
      </c>
      <c r="C582" s="7" t="s">
        <v>42</v>
      </c>
      <c r="D582" s="8">
        <v>45336</v>
      </c>
      <c r="E582" s="8" t="str">
        <f t="shared" si="35"/>
        <v>February</v>
      </c>
      <c r="F582">
        <f t="shared" si="36"/>
        <v>2024</v>
      </c>
      <c r="G582">
        <f t="shared" si="37"/>
        <v>0</v>
      </c>
      <c r="H582">
        <f t="shared" si="38"/>
        <v>0</v>
      </c>
      <c r="I582" s="6"/>
      <c r="J582" s="6"/>
      <c r="K582" s="7" t="s">
        <v>44</v>
      </c>
      <c r="L582" s="7" t="s">
        <v>27</v>
      </c>
      <c r="M582" s="7" t="s">
        <v>21</v>
      </c>
      <c r="N582" s="7">
        <f>COUNTIFS(A:A,A582,D:D,D582,E:E,I582)</f>
        <v>0</v>
      </c>
    </row>
    <row r="583" spans="1:14" x14ac:dyDescent="0.3">
      <c r="A583" s="7" t="s">
        <v>236</v>
      </c>
      <c r="B583" s="7" t="s">
        <v>237</v>
      </c>
      <c r="C583" s="7" t="s">
        <v>64</v>
      </c>
      <c r="D583" s="8">
        <v>45337</v>
      </c>
      <c r="E583" s="8" t="str">
        <f t="shared" si="35"/>
        <v>February</v>
      </c>
      <c r="F583">
        <f t="shared" si="36"/>
        <v>2024</v>
      </c>
      <c r="G583">
        <f t="shared" si="37"/>
        <v>1</v>
      </c>
      <c r="H583">
        <f t="shared" si="38"/>
        <v>1</v>
      </c>
      <c r="I583" s="6">
        <v>0.49791666666666667</v>
      </c>
      <c r="J583" s="6">
        <v>0.70763888888888893</v>
      </c>
      <c r="K583" s="7" t="s">
        <v>26</v>
      </c>
      <c r="L583" s="7" t="s">
        <v>14</v>
      </c>
      <c r="M583" s="7" t="s">
        <v>21</v>
      </c>
      <c r="N583" s="7">
        <f>COUNTIFS(A:A,A583,D:D,D583,E:E,I583)</f>
        <v>0</v>
      </c>
    </row>
    <row r="584" spans="1:14" x14ac:dyDescent="0.3">
      <c r="A584" s="7" t="s">
        <v>338</v>
      </c>
      <c r="B584" s="7" t="s">
        <v>339</v>
      </c>
      <c r="C584" s="7" t="s">
        <v>60</v>
      </c>
      <c r="D584" s="8">
        <v>45568</v>
      </c>
      <c r="E584" s="8" t="str">
        <f t="shared" si="35"/>
        <v>October</v>
      </c>
      <c r="F584">
        <f t="shared" si="36"/>
        <v>2024</v>
      </c>
      <c r="G584">
        <f t="shared" si="37"/>
        <v>1</v>
      </c>
      <c r="H584">
        <f t="shared" si="38"/>
        <v>0</v>
      </c>
      <c r="I584" s="6">
        <v>0.37361111111111112</v>
      </c>
      <c r="J584" s="6">
        <v>0.84305555555555556</v>
      </c>
      <c r="K584" s="7" t="s">
        <v>20</v>
      </c>
      <c r="L584" s="7" t="s">
        <v>27</v>
      </c>
      <c r="M584" s="7" t="s">
        <v>21</v>
      </c>
      <c r="N584" s="7">
        <f>COUNTIFS(A:A,A584,D:D,D584,E:E,I584)</f>
        <v>0</v>
      </c>
    </row>
    <row r="585" spans="1:14" x14ac:dyDescent="0.3">
      <c r="A585" s="7" t="s">
        <v>96</v>
      </c>
      <c r="B585" s="7" t="s">
        <v>97</v>
      </c>
      <c r="C585" s="7" t="s">
        <v>426</v>
      </c>
      <c r="D585" s="8">
        <v>45307</v>
      </c>
      <c r="E585" s="8" t="str">
        <f t="shared" si="35"/>
        <v>January</v>
      </c>
      <c r="F585">
        <f t="shared" si="36"/>
        <v>2024</v>
      </c>
      <c r="G585">
        <f t="shared" si="37"/>
        <v>1</v>
      </c>
      <c r="H585">
        <f t="shared" si="38"/>
        <v>1</v>
      </c>
      <c r="I585" s="6">
        <v>0.39930555555555558</v>
      </c>
      <c r="J585" s="6">
        <v>0.87222222222222223</v>
      </c>
      <c r="K585" s="7" t="s">
        <v>26</v>
      </c>
      <c r="L585" s="7" t="s">
        <v>14</v>
      </c>
      <c r="M585" s="7" t="s">
        <v>21</v>
      </c>
      <c r="N585" s="7">
        <f>COUNTIFS(A:A,A585,D:D,D585,E:E,I585)</f>
        <v>0</v>
      </c>
    </row>
    <row r="586" spans="1:14" x14ac:dyDescent="0.3">
      <c r="A586" s="7" t="s">
        <v>62</v>
      </c>
      <c r="B586" s="7" t="s">
        <v>63</v>
      </c>
      <c r="C586" s="7" t="s">
        <v>60</v>
      </c>
      <c r="D586" s="8">
        <v>45351</v>
      </c>
      <c r="E586" s="8" t="str">
        <f t="shared" si="35"/>
        <v>February</v>
      </c>
      <c r="F586">
        <f t="shared" si="36"/>
        <v>2024</v>
      </c>
      <c r="G586">
        <f t="shared" si="37"/>
        <v>0</v>
      </c>
      <c r="H586">
        <f t="shared" si="38"/>
        <v>0</v>
      </c>
      <c r="I586" s="6"/>
      <c r="J586" s="6"/>
      <c r="K586" s="7" t="s">
        <v>44</v>
      </c>
      <c r="L586" s="7" t="s">
        <v>14</v>
      </c>
      <c r="M586" s="7" t="s">
        <v>15</v>
      </c>
      <c r="N586" s="7">
        <f>COUNTIFS(A:A,A586,D:D,D586,E:E,I586)</f>
        <v>0</v>
      </c>
    </row>
    <row r="587" spans="1:14" x14ac:dyDescent="0.3">
      <c r="A587" s="7" t="s">
        <v>96</v>
      </c>
      <c r="B587" s="7" t="s">
        <v>97</v>
      </c>
      <c r="C587" s="7" t="s">
        <v>426</v>
      </c>
      <c r="D587" s="8">
        <v>45337</v>
      </c>
      <c r="E587" s="8" t="str">
        <f t="shared" si="35"/>
        <v>February</v>
      </c>
      <c r="F587">
        <f t="shared" si="36"/>
        <v>2024</v>
      </c>
      <c r="G587">
        <f t="shared" si="37"/>
        <v>1</v>
      </c>
      <c r="H587">
        <f t="shared" si="38"/>
        <v>1</v>
      </c>
      <c r="I587" s="6">
        <v>0.36249999999999999</v>
      </c>
      <c r="J587" s="6">
        <v>0.71250000000000002</v>
      </c>
      <c r="K587" s="7" t="s">
        <v>26</v>
      </c>
      <c r="L587" s="7" t="s">
        <v>27</v>
      </c>
      <c r="M587" s="7" t="s">
        <v>21</v>
      </c>
      <c r="N587" s="7">
        <f>COUNTIFS(A:A,A587,D:D,D587,E:E,I587)</f>
        <v>0</v>
      </c>
    </row>
    <row r="588" spans="1:14" x14ac:dyDescent="0.3">
      <c r="A588" s="7" t="s">
        <v>200</v>
      </c>
      <c r="B588" s="7" t="s">
        <v>201</v>
      </c>
      <c r="C588" s="7" t="s">
        <v>64</v>
      </c>
      <c r="D588" s="8">
        <v>45319</v>
      </c>
      <c r="E588" s="8" t="str">
        <f t="shared" si="35"/>
        <v>January</v>
      </c>
      <c r="F588">
        <f t="shared" si="36"/>
        <v>2024</v>
      </c>
      <c r="G588">
        <f t="shared" si="37"/>
        <v>1</v>
      </c>
      <c r="H588">
        <f t="shared" si="38"/>
        <v>1</v>
      </c>
      <c r="I588" s="6">
        <v>0.4861111111111111</v>
      </c>
      <c r="J588" s="6">
        <v>0.82361111111111107</v>
      </c>
      <c r="K588" s="7" t="s">
        <v>26</v>
      </c>
      <c r="L588" s="7" t="s">
        <v>27</v>
      </c>
      <c r="M588" s="7" t="s">
        <v>15</v>
      </c>
      <c r="N588" s="7">
        <f>COUNTIFS(A:A,A588,D:D,D588,E:E,I588)</f>
        <v>0</v>
      </c>
    </row>
    <row r="589" spans="1:14" x14ac:dyDescent="0.3">
      <c r="A589" s="7" t="s">
        <v>90</v>
      </c>
      <c r="B589" s="7" t="s">
        <v>91</v>
      </c>
      <c r="C589" s="7" t="s">
        <v>425</v>
      </c>
      <c r="D589" s="8">
        <v>45347</v>
      </c>
      <c r="E589" s="8" t="str">
        <f t="shared" si="35"/>
        <v>February</v>
      </c>
      <c r="F589">
        <f t="shared" si="36"/>
        <v>2024</v>
      </c>
      <c r="G589">
        <f t="shared" si="37"/>
        <v>1</v>
      </c>
      <c r="H589">
        <f t="shared" si="38"/>
        <v>0</v>
      </c>
      <c r="I589" s="6">
        <v>0.48541666666666666</v>
      </c>
      <c r="J589" s="6">
        <v>0.68472222222222223</v>
      </c>
      <c r="K589" s="7" t="s">
        <v>13</v>
      </c>
      <c r="L589" s="7" t="s">
        <v>14</v>
      </c>
      <c r="M589" s="7" t="s">
        <v>21</v>
      </c>
      <c r="N589" s="7">
        <f>COUNTIFS(A:A,A589,D:D,D589,E:E,I589)</f>
        <v>0</v>
      </c>
    </row>
    <row r="590" spans="1:14" x14ac:dyDescent="0.3">
      <c r="A590" s="7" t="s">
        <v>90</v>
      </c>
      <c r="B590" s="7" t="s">
        <v>91</v>
      </c>
      <c r="C590" s="7" t="s">
        <v>426</v>
      </c>
      <c r="D590" s="8">
        <v>45298</v>
      </c>
      <c r="E590" s="8" t="str">
        <f t="shared" si="35"/>
        <v>January</v>
      </c>
      <c r="F590">
        <f t="shared" si="36"/>
        <v>2024</v>
      </c>
      <c r="G590">
        <f t="shared" si="37"/>
        <v>1</v>
      </c>
      <c r="H590">
        <f t="shared" si="38"/>
        <v>0</v>
      </c>
      <c r="I590" s="6">
        <v>0.44513888888888886</v>
      </c>
      <c r="J590" s="6">
        <v>0.71388888888888891</v>
      </c>
      <c r="K590" s="7" t="s">
        <v>13</v>
      </c>
      <c r="L590" s="7" t="s">
        <v>14</v>
      </c>
      <c r="M590" s="7" t="s">
        <v>21</v>
      </c>
      <c r="N590" s="7">
        <f>COUNTIFS(A:A,A590,D:D,D590,E:E,I590)</f>
        <v>0</v>
      </c>
    </row>
    <row r="591" spans="1:14" x14ac:dyDescent="0.3">
      <c r="A591" s="7" t="s">
        <v>16</v>
      </c>
      <c r="B591" s="7" t="s">
        <v>17</v>
      </c>
      <c r="C591" s="7" t="s">
        <v>60</v>
      </c>
      <c r="D591" s="8">
        <v>45537</v>
      </c>
      <c r="E591" s="8" t="str">
        <f t="shared" si="35"/>
        <v>September</v>
      </c>
      <c r="F591">
        <f t="shared" si="36"/>
        <v>2024</v>
      </c>
      <c r="G591">
        <f t="shared" si="37"/>
        <v>0</v>
      </c>
      <c r="H591">
        <f t="shared" si="38"/>
        <v>0</v>
      </c>
      <c r="I591" s="6"/>
      <c r="J591" s="6"/>
      <c r="K591" s="7" t="s">
        <v>44</v>
      </c>
      <c r="L591" s="7" t="s">
        <v>27</v>
      </c>
      <c r="M591" s="7" t="s">
        <v>15</v>
      </c>
      <c r="N591" s="7">
        <f>COUNTIFS(A:A,A591,D:D,D591,E:E,I591)</f>
        <v>0</v>
      </c>
    </row>
    <row r="592" spans="1:14" x14ac:dyDescent="0.3">
      <c r="A592" s="7" t="s">
        <v>187</v>
      </c>
      <c r="B592" s="7" t="s">
        <v>188</v>
      </c>
      <c r="C592" s="7" t="s">
        <v>42</v>
      </c>
      <c r="D592" s="8">
        <v>45368</v>
      </c>
      <c r="E592" s="8" t="str">
        <f t="shared" si="35"/>
        <v>March</v>
      </c>
      <c r="F592">
        <f t="shared" si="36"/>
        <v>2024</v>
      </c>
      <c r="G592">
        <f t="shared" si="37"/>
        <v>0</v>
      </c>
      <c r="H592">
        <f t="shared" si="38"/>
        <v>0</v>
      </c>
      <c r="I592" s="6"/>
      <c r="J592" s="6"/>
      <c r="K592" s="7" t="s">
        <v>44</v>
      </c>
      <c r="L592" s="7" t="s">
        <v>27</v>
      </c>
      <c r="M592" s="7" t="s">
        <v>21</v>
      </c>
      <c r="N592" s="7">
        <f>COUNTIFS(A:A,A592,D:D,D592,E:E,I592)</f>
        <v>0</v>
      </c>
    </row>
    <row r="593" spans="1:14" x14ac:dyDescent="0.3">
      <c r="A593" s="7" t="s">
        <v>134</v>
      </c>
      <c r="B593" s="7" t="s">
        <v>135</v>
      </c>
      <c r="C593" s="7" t="s">
        <v>425</v>
      </c>
      <c r="D593" s="8">
        <v>45384</v>
      </c>
      <c r="E593" s="8" t="str">
        <f t="shared" si="35"/>
        <v>April</v>
      </c>
      <c r="F593">
        <f t="shared" si="36"/>
        <v>2024</v>
      </c>
      <c r="G593">
        <f t="shared" si="37"/>
        <v>1</v>
      </c>
      <c r="H593">
        <f t="shared" si="38"/>
        <v>0</v>
      </c>
      <c r="I593" s="6">
        <v>0.40763888888888888</v>
      </c>
      <c r="J593" s="6">
        <v>0.73611111111111116</v>
      </c>
      <c r="K593" s="7" t="s">
        <v>20</v>
      </c>
      <c r="L593" s="7" t="s">
        <v>14</v>
      </c>
      <c r="M593" s="7" t="s">
        <v>21</v>
      </c>
      <c r="N593" s="7">
        <f>COUNTIFS(A:A,A593,D:D,D593,E:E,I593)</f>
        <v>0</v>
      </c>
    </row>
    <row r="594" spans="1:14" x14ac:dyDescent="0.3">
      <c r="A594" s="7" t="s">
        <v>250</v>
      </c>
      <c r="B594" s="7" t="s">
        <v>251</v>
      </c>
      <c r="C594" s="7" t="s">
        <v>426</v>
      </c>
      <c r="D594" s="8">
        <v>45380</v>
      </c>
      <c r="E594" s="8" t="str">
        <f t="shared" si="35"/>
        <v>March</v>
      </c>
      <c r="F594">
        <f t="shared" si="36"/>
        <v>2024</v>
      </c>
      <c r="G594">
        <f t="shared" si="37"/>
        <v>1</v>
      </c>
      <c r="H594">
        <f t="shared" si="38"/>
        <v>0</v>
      </c>
      <c r="I594" s="6">
        <v>0.33888888888888891</v>
      </c>
      <c r="J594" s="6">
        <v>0.7368055555555556</v>
      </c>
      <c r="K594" s="7" t="s">
        <v>13</v>
      </c>
      <c r="L594" s="7" t="s">
        <v>14</v>
      </c>
      <c r="M594" s="7" t="s">
        <v>15</v>
      </c>
      <c r="N594" s="7">
        <f>COUNTIFS(A:A,A594,D:D,D594,E:E,I594)</f>
        <v>0</v>
      </c>
    </row>
    <row r="595" spans="1:14" x14ac:dyDescent="0.3">
      <c r="A595" s="7" t="s">
        <v>75</v>
      </c>
      <c r="B595" s="7" t="s">
        <v>76</v>
      </c>
      <c r="C595" s="7" t="s">
        <v>425</v>
      </c>
      <c r="D595" s="8">
        <v>45292</v>
      </c>
      <c r="E595" s="8" t="str">
        <f t="shared" si="35"/>
        <v>January</v>
      </c>
      <c r="F595">
        <f t="shared" si="36"/>
        <v>2024</v>
      </c>
      <c r="G595">
        <f t="shared" si="37"/>
        <v>1</v>
      </c>
      <c r="H595">
        <f t="shared" si="38"/>
        <v>1</v>
      </c>
      <c r="I595" s="6">
        <v>0.47847222222222224</v>
      </c>
      <c r="J595" s="6">
        <v>0.76249999999999996</v>
      </c>
      <c r="K595" s="7" t="s">
        <v>26</v>
      </c>
      <c r="L595" s="7" t="s">
        <v>14</v>
      </c>
      <c r="M595" s="7" t="s">
        <v>21</v>
      </c>
      <c r="N595" s="7">
        <f>COUNTIFS(A:A,A595,D:D,D595,E:E,I595)</f>
        <v>0</v>
      </c>
    </row>
    <row r="596" spans="1:14" x14ac:dyDescent="0.3">
      <c r="A596" s="7" t="s">
        <v>138</v>
      </c>
      <c r="B596" s="7" t="s">
        <v>139</v>
      </c>
      <c r="C596" s="7" t="s">
        <v>425</v>
      </c>
      <c r="D596" s="8">
        <v>45325</v>
      </c>
      <c r="E596" s="8" t="str">
        <f t="shared" si="35"/>
        <v>February</v>
      </c>
      <c r="F596">
        <f t="shared" si="36"/>
        <v>2024</v>
      </c>
      <c r="G596">
        <f t="shared" si="37"/>
        <v>1</v>
      </c>
      <c r="H596">
        <f t="shared" si="38"/>
        <v>0</v>
      </c>
      <c r="I596" s="6">
        <v>0.49375000000000002</v>
      </c>
      <c r="J596" s="6">
        <v>0.78194444444444444</v>
      </c>
      <c r="K596" s="7" t="s">
        <v>20</v>
      </c>
      <c r="L596" s="7" t="s">
        <v>14</v>
      </c>
      <c r="M596" s="7" t="s">
        <v>15</v>
      </c>
      <c r="N596" s="7">
        <f>COUNTIFS(A:A,A596,D:D,D596,E:E,I596)</f>
        <v>0</v>
      </c>
    </row>
    <row r="597" spans="1:14" x14ac:dyDescent="0.3">
      <c r="A597" s="7" t="s">
        <v>315</v>
      </c>
      <c r="B597" s="7" t="s">
        <v>316</v>
      </c>
      <c r="C597" s="7" t="s">
        <v>64</v>
      </c>
      <c r="D597" s="8">
        <v>45373</v>
      </c>
      <c r="E597" s="8" t="str">
        <f t="shared" si="35"/>
        <v>March</v>
      </c>
      <c r="F597">
        <f t="shared" si="36"/>
        <v>2024</v>
      </c>
      <c r="G597">
        <f t="shared" si="37"/>
        <v>1</v>
      </c>
      <c r="H597">
        <f t="shared" si="38"/>
        <v>0</v>
      </c>
      <c r="I597" s="6">
        <v>0.34027777777777779</v>
      </c>
      <c r="J597" s="6">
        <v>0.70763888888888893</v>
      </c>
      <c r="K597" s="7" t="s">
        <v>20</v>
      </c>
      <c r="L597" s="7" t="s">
        <v>14</v>
      </c>
      <c r="M597" s="7" t="s">
        <v>21</v>
      </c>
      <c r="N597" s="7">
        <f>COUNTIFS(A:A,A597,D:D,D597,E:E,I597)</f>
        <v>0</v>
      </c>
    </row>
    <row r="598" spans="1:14" x14ac:dyDescent="0.3">
      <c r="A598" s="7" t="s">
        <v>175</v>
      </c>
      <c r="B598" s="7" t="s">
        <v>176</v>
      </c>
      <c r="C598" s="7" t="s">
        <v>42</v>
      </c>
      <c r="D598" s="8">
        <v>45340</v>
      </c>
      <c r="E598" s="8" t="str">
        <f t="shared" si="35"/>
        <v>February</v>
      </c>
      <c r="F598">
        <f t="shared" si="36"/>
        <v>2024</v>
      </c>
      <c r="G598">
        <f t="shared" si="37"/>
        <v>1</v>
      </c>
      <c r="H598">
        <f t="shared" si="38"/>
        <v>0</v>
      </c>
      <c r="I598" s="6">
        <v>0.46388888888888891</v>
      </c>
      <c r="J598" s="6">
        <v>0.87013888888888891</v>
      </c>
      <c r="K598" s="7" t="s">
        <v>13</v>
      </c>
      <c r="L598" s="7" t="s">
        <v>14</v>
      </c>
      <c r="M598" s="7" t="s">
        <v>21</v>
      </c>
      <c r="N598" s="7">
        <f>COUNTIFS(A:A,A598,D:D,D598,E:E,I598)</f>
        <v>0</v>
      </c>
    </row>
    <row r="599" spans="1:14" x14ac:dyDescent="0.3">
      <c r="A599" s="7" t="s">
        <v>146</v>
      </c>
      <c r="B599" s="7" t="s">
        <v>147</v>
      </c>
      <c r="C599" s="7" t="s">
        <v>64</v>
      </c>
      <c r="D599" s="8">
        <v>45338</v>
      </c>
      <c r="E599" s="8" t="str">
        <f t="shared" si="35"/>
        <v>February</v>
      </c>
      <c r="F599">
        <f t="shared" si="36"/>
        <v>2024</v>
      </c>
      <c r="G599">
        <f t="shared" si="37"/>
        <v>1</v>
      </c>
      <c r="H599">
        <f t="shared" si="38"/>
        <v>0</v>
      </c>
      <c r="I599" s="6">
        <v>0.34652777777777777</v>
      </c>
      <c r="J599" s="6">
        <v>0.84444444444444444</v>
      </c>
      <c r="K599" s="7" t="s">
        <v>20</v>
      </c>
      <c r="L599" s="7" t="s">
        <v>27</v>
      </c>
      <c r="M599" s="7" t="s">
        <v>15</v>
      </c>
      <c r="N599" s="7">
        <f>COUNTIFS(A:A,A599,D:D,D599,E:E,I599)</f>
        <v>0</v>
      </c>
    </row>
    <row r="600" spans="1:14" x14ac:dyDescent="0.3">
      <c r="A600" s="7" t="s">
        <v>40</v>
      </c>
      <c r="B600" s="7" t="s">
        <v>41</v>
      </c>
      <c r="C600" s="7" t="s">
        <v>60</v>
      </c>
      <c r="D600" s="8">
        <v>45629</v>
      </c>
      <c r="E600" s="8" t="str">
        <f t="shared" si="35"/>
        <v>December</v>
      </c>
      <c r="F600">
        <f t="shared" si="36"/>
        <v>2024</v>
      </c>
      <c r="G600">
        <f t="shared" si="37"/>
        <v>0</v>
      </c>
      <c r="H600">
        <f t="shared" si="38"/>
        <v>0</v>
      </c>
      <c r="I600" s="6"/>
      <c r="J600" s="6"/>
      <c r="K600" s="7" t="s">
        <v>44</v>
      </c>
      <c r="L600" s="7" t="s">
        <v>14</v>
      </c>
      <c r="M600" s="7" t="s">
        <v>21</v>
      </c>
      <c r="N600" s="7">
        <f>COUNTIFS(A:A,A600,D:D,D600,E:E,I600)</f>
        <v>0</v>
      </c>
    </row>
    <row r="601" spans="1:14" x14ac:dyDescent="0.3">
      <c r="A601" s="7" t="s">
        <v>291</v>
      </c>
      <c r="B601" s="7" t="s">
        <v>292</v>
      </c>
      <c r="C601" s="7" t="s">
        <v>425</v>
      </c>
      <c r="D601" s="8">
        <v>45344</v>
      </c>
      <c r="E601" s="8" t="str">
        <f t="shared" si="35"/>
        <v>February</v>
      </c>
      <c r="F601">
        <f t="shared" si="36"/>
        <v>2024</v>
      </c>
      <c r="G601">
        <f t="shared" si="37"/>
        <v>1</v>
      </c>
      <c r="H601">
        <f t="shared" si="38"/>
        <v>0</v>
      </c>
      <c r="I601" s="6">
        <v>0.35347222222222224</v>
      </c>
      <c r="J601" s="6">
        <v>0.69861111111111107</v>
      </c>
      <c r="K601" s="7" t="s">
        <v>13</v>
      </c>
      <c r="L601" s="7" t="s">
        <v>27</v>
      </c>
      <c r="M601" s="7" t="s">
        <v>21</v>
      </c>
      <c r="N601" s="7">
        <f>COUNTIFS(A:A,A601,D:D,D601,E:E,I601)</f>
        <v>0</v>
      </c>
    </row>
    <row r="602" spans="1:14" x14ac:dyDescent="0.3">
      <c r="A602" s="7" t="s">
        <v>171</v>
      </c>
      <c r="B602" s="7" t="s">
        <v>172</v>
      </c>
      <c r="C602" s="7" t="s">
        <v>60</v>
      </c>
      <c r="D602" s="8">
        <v>45371</v>
      </c>
      <c r="E602" s="8" t="str">
        <f t="shared" si="35"/>
        <v>March</v>
      </c>
      <c r="F602">
        <f t="shared" si="36"/>
        <v>2024</v>
      </c>
      <c r="G602">
        <f t="shared" si="37"/>
        <v>0</v>
      </c>
      <c r="H602">
        <f t="shared" si="38"/>
        <v>0</v>
      </c>
      <c r="I602" s="6"/>
      <c r="J602" s="6"/>
      <c r="K602" s="7" t="s">
        <v>44</v>
      </c>
      <c r="L602" s="7" t="s">
        <v>14</v>
      </c>
      <c r="M602" s="7" t="s">
        <v>15</v>
      </c>
      <c r="N602" s="7">
        <f>COUNTIFS(A:A,A602,D:D,D602,E:E,I602)</f>
        <v>0</v>
      </c>
    </row>
    <row r="603" spans="1:14" x14ac:dyDescent="0.3">
      <c r="A603" s="7" t="s">
        <v>22</v>
      </c>
      <c r="B603" s="7" t="s">
        <v>23</v>
      </c>
      <c r="C603" s="7" t="s">
        <v>425</v>
      </c>
      <c r="D603" s="8">
        <v>45373</v>
      </c>
      <c r="E603" s="8" t="str">
        <f t="shared" si="35"/>
        <v>March</v>
      </c>
      <c r="F603">
        <f t="shared" si="36"/>
        <v>2024</v>
      </c>
      <c r="G603">
        <f t="shared" si="37"/>
        <v>1</v>
      </c>
      <c r="H603">
        <f t="shared" si="38"/>
        <v>1</v>
      </c>
      <c r="I603" s="6">
        <v>0.3972222222222222</v>
      </c>
      <c r="J603" s="6">
        <v>0.69861111111111107</v>
      </c>
      <c r="K603" s="7" t="s">
        <v>26</v>
      </c>
      <c r="L603" s="7" t="s">
        <v>14</v>
      </c>
      <c r="M603" s="7" t="s">
        <v>21</v>
      </c>
      <c r="N603" s="7">
        <f>COUNTIFS(A:A,A603,D:D,D603,E:E,I603)</f>
        <v>0</v>
      </c>
    </row>
    <row r="604" spans="1:14" x14ac:dyDescent="0.3">
      <c r="A604" s="7" t="s">
        <v>58</v>
      </c>
      <c r="B604" s="7" t="s">
        <v>59</v>
      </c>
      <c r="C604" s="7" t="s">
        <v>426</v>
      </c>
      <c r="D604" s="8">
        <v>45338</v>
      </c>
      <c r="E604" s="8" t="str">
        <f t="shared" si="35"/>
        <v>February</v>
      </c>
      <c r="F604">
        <f t="shared" si="36"/>
        <v>2024</v>
      </c>
      <c r="G604">
        <f t="shared" si="37"/>
        <v>1</v>
      </c>
      <c r="H604">
        <f t="shared" si="38"/>
        <v>0</v>
      </c>
      <c r="I604" s="6">
        <v>0.44513888888888886</v>
      </c>
      <c r="J604" s="6">
        <v>0.79652777777777772</v>
      </c>
      <c r="K604" s="7" t="s">
        <v>20</v>
      </c>
      <c r="L604" s="7" t="s">
        <v>27</v>
      </c>
      <c r="M604" s="7" t="s">
        <v>15</v>
      </c>
      <c r="N604" s="7">
        <f>COUNTIFS(A:A,A604,D:D,D604,E:E,I604)</f>
        <v>0</v>
      </c>
    </row>
    <row r="605" spans="1:14" x14ac:dyDescent="0.3">
      <c r="A605" s="7" t="s">
        <v>112</v>
      </c>
      <c r="B605" s="7" t="s">
        <v>113</v>
      </c>
      <c r="C605" s="7" t="s">
        <v>42</v>
      </c>
      <c r="D605" s="8">
        <v>45356</v>
      </c>
      <c r="E605" s="8" t="str">
        <f t="shared" si="35"/>
        <v>March</v>
      </c>
      <c r="F605">
        <f t="shared" si="36"/>
        <v>2024</v>
      </c>
      <c r="G605">
        <f t="shared" si="37"/>
        <v>1</v>
      </c>
      <c r="H605">
        <f t="shared" si="38"/>
        <v>1</v>
      </c>
      <c r="I605" s="6">
        <v>0.35069444444444442</v>
      </c>
      <c r="J605" s="6">
        <v>0.8354166666666667</v>
      </c>
      <c r="K605" s="7" t="s">
        <v>26</v>
      </c>
      <c r="L605" s="7" t="s">
        <v>14</v>
      </c>
      <c r="M605" s="7" t="s">
        <v>15</v>
      </c>
      <c r="N605" s="7">
        <f>COUNTIFS(A:A,A605,D:D,D605,E:E,I605)</f>
        <v>0</v>
      </c>
    </row>
    <row r="606" spans="1:14" x14ac:dyDescent="0.3">
      <c r="A606" s="7" t="s">
        <v>122</v>
      </c>
      <c r="B606" s="7" t="s">
        <v>123</v>
      </c>
      <c r="C606" s="7" t="s">
        <v>42</v>
      </c>
      <c r="D606" s="8">
        <v>45319</v>
      </c>
      <c r="E606" s="8" t="str">
        <f t="shared" si="35"/>
        <v>January</v>
      </c>
      <c r="F606">
        <f t="shared" si="36"/>
        <v>2024</v>
      </c>
      <c r="G606">
        <f t="shared" si="37"/>
        <v>0</v>
      </c>
      <c r="H606">
        <f t="shared" si="38"/>
        <v>0</v>
      </c>
      <c r="I606" s="6"/>
      <c r="J606" s="6"/>
      <c r="K606" s="7" t="s">
        <v>44</v>
      </c>
      <c r="L606" s="7" t="s">
        <v>27</v>
      </c>
      <c r="M606" s="7" t="s">
        <v>15</v>
      </c>
      <c r="N606" s="7">
        <f>COUNTIFS(A:A,A606,D:D,D606,E:E,I606)</f>
        <v>0</v>
      </c>
    </row>
    <row r="607" spans="1:14" x14ac:dyDescent="0.3">
      <c r="A607" s="7" t="s">
        <v>362</v>
      </c>
      <c r="B607" s="7" t="s">
        <v>363</v>
      </c>
      <c r="C607" s="7" t="s">
        <v>64</v>
      </c>
      <c r="D607" s="8">
        <v>45307</v>
      </c>
      <c r="E607" s="8" t="str">
        <f t="shared" si="35"/>
        <v>January</v>
      </c>
      <c r="F607">
        <f t="shared" si="36"/>
        <v>2024</v>
      </c>
      <c r="G607">
        <f t="shared" si="37"/>
        <v>1</v>
      </c>
      <c r="H607">
        <f t="shared" si="38"/>
        <v>0</v>
      </c>
      <c r="I607" s="6">
        <v>0.49027777777777776</v>
      </c>
      <c r="J607" s="6">
        <v>0.69791666666666663</v>
      </c>
      <c r="K607" s="7" t="s">
        <v>13</v>
      </c>
      <c r="L607" s="7" t="s">
        <v>14</v>
      </c>
      <c r="M607" s="7" t="s">
        <v>21</v>
      </c>
      <c r="N607" s="7">
        <f>COUNTIFS(A:A,A607,D:D,D607,E:E,I607)</f>
        <v>0</v>
      </c>
    </row>
    <row r="608" spans="1:14" x14ac:dyDescent="0.3">
      <c r="A608" s="7" t="s">
        <v>130</v>
      </c>
      <c r="B608" s="7" t="s">
        <v>131</v>
      </c>
      <c r="C608" s="7" t="s">
        <v>425</v>
      </c>
      <c r="D608" s="8">
        <v>45444</v>
      </c>
      <c r="E608" s="8" t="str">
        <f t="shared" si="35"/>
        <v>June</v>
      </c>
      <c r="F608">
        <f t="shared" si="36"/>
        <v>2024</v>
      </c>
      <c r="G608">
        <f t="shared" si="37"/>
        <v>1</v>
      </c>
      <c r="H608">
        <f t="shared" si="38"/>
        <v>0</v>
      </c>
      <c r="I608" s="6">
        <v>0.39374999999999999</v>
      </c>
      <c r="J608" s="6">
        <v>0.86319444444444449</v>
      </c>
      <c r="K608" s="7" t="s">
        <v>13</v>
      </c>
      <c r="L608" s="7" t="s">
        <v>14</v>
      </c>
      <c r="M608" s="7" t="s">
        <v>15</v>
      </c>
      <c r="N608" s="7">
        <f>COUNTIFS(A:A,A608,D:D,D608,E:E,I608)</f>
        <v>0</v>
      </c>
    </row>
    <row r="609" spans="1:14" x14ac:dyDescent="0.3">
      <c r="A609" s="7" t="s">
        <v>141</v>
      </c>
      <c r="B609" s="7" t="s">
        <v>142</v>
      </c>
      <c r="C609" s="7" t="s">
        <v>42</v>
      </c>
      <c r="D609" s="8">
        <v>45385</v>
      </c>
      <c r="E609" s="8" t="str">
        <f t="shared" si="35"/>
        <v>April</v>
      </c>
      <c r="F609">
        <f t="shared" si="36"/>
        <v>2024</v>
      </c>
      <c r="G609">
        <f t="shared" si="37"/>
        <v>1</v>
      </c>
      <c r="H609">
        <f t="shared" si="38"/>
        <v>0</v>
      </c>
      <c r="I609" s="6">
        <v>0.33958333333333335</v>
      </c>
      <c r="J609" s="6">
        <v>0.85138888888888886</v>
      </c>
      <c r="K609" s="7" t="s">
        <v>13</v>
      </c>
      <c r="L609" s="7" t="s">
        <v>14</v>
      </c>
      <c r="M609" s="7" t="s">
        <v>15</v>
      </c>
      <c r="N609" s="7">
        <f>COUNTIFS(A:A,A609,D:D,D609,E:E,I609)</f>
        <v>0</v>
      </c>
    </row>
    <row r="610" spans="1:14" x14ac:dyDescent="0.3">
      <c r="A610" s="7" t="s">
        <v>291</v>
      </c>
      <c r="B610" s="7" t="s">
        <v>292</v>
      </c>
      <c r="C610" s="7" t="s">
        <v>426</v>
      </c>
      <c r="D610" s="8">
        <v>45385</v>
      </c>
      <c r="E610" s="8" t="str">
        <f t="shared" si="35"/>
        <v>April</v>
      </c>
      <c r="F610">
        <f t="shared" si="36"/>
        <v>2024</v>
      </c>
      <c r="G610">
        <f t="shared" si="37"/>
        <v>1</v>
      </c>
      <c r="H610">
        <f t="shared" si="38"/>
        <v>0</v>
      </c>
      <c r="I610" s="6">
        <v>0.43888888888888888</v>
      </c>
      <c r="J610" s="6">
        <v>0.75277777777777777</v>
      </c>
      <c r="K610" s="7" t="s">
        <v>20</v>
      </c>
      <c r="L610" s="7" t="s">
        <v>27</v>
      </c>
      <c r="M610" s="7" t="s">
        <v>21</v>
      </c>
      <c r="N610" s="7">
        <f>COUNTIFS(A:A,A610,D:D,D610,E:E,I610)</f>
        <v>0</v>
      </c>
    </row>
    <row r="611" spans="1:14" x14ac:dyDescent="0.3">
      <c r="A611" s="7" t="s">
        <v>16</v>
      </c>
      <c r="B611" s="7" t="s">
        <v>17</v>
      </c>
      <c r="C611" s="7" t="s">
        <v>64</v>
      </c>
      <c r="D611" s="8">
        <v>45360</v>
      </c>
      <c r="E611" s="8" t="str">
        <f t="shared" si="35"/>
        <v>March</v>
      </c>
      <c r="F611">
        <f t="shared" si="36"/>
        <v>2024</v>
      </c>
      <c r="G611">
        <f t="shared" si="37"/>
        <v>1</v>
      </c>
      <c r="H611">
        <f t="shared" si="38"/>
        <v>0</v>
      </c>
      <c r="I611" s="6">
        <v>0.35902777777777778</v>
      </c>
      <c r="J611" s="6">
        <v>0.76944444444444449</v>
      </c>
      <c r="K611" s="7" t="s">
        <v>13</v>
      </c>
      <c r="L611" s="7" t="s">
        <v>14</v>
      </c>
      <c r="M611" s="7" t="s">
        <v>21</v>
      </c>
      <c r="N611" s="7">
        <f>COUNTIFS(A:A,A611,D:D,D611,E:E,I611)</f>
        <v>0</v>
      </c>
    </row>
    <row r="612" spans="1:14" x14ac:dyDescent="0.3">
      <c r="A612" s="7" t="s">
        <v>269</v>
      </c>
      <c r="B612" s="7" t="s">
        <v>270</v>
      </c>
      <c r="C612" s="7" t="s">
        <v>425</v>
      </c>
      <c r="D612" s="8">
        <v>45318</v>
      </c>
      <c r="E612" s="8" t="str">
        <f t="shared" si="35"/>
        <v>January</v>
      </c>
      <c r="F612">
        <f t="shared" si="36"/>
        <v>2024</v>
      </c>
      <c r="G612">
        <f t="shared" si="37"/>
        <v>1</v>
      </c>
      <c r="H612">
        <f t="shared" si="38"/>
        <v>0</v>
      </c>
      <c r="I612" s="6">
        <v>0.36736111111111114</v>
      </c>
      <c r="J612" s="6">
        <v>0.74861111111111112</v>
      </c>
      <c r="K612" s="7" t="s">
        <v>13</v>
      </c>
      <c r="L612" s="7" t="s">
        <v>27</v>
      </c>
      <c r="M612" s="7" t="s">
        <v>15</v>
      </c>
      <c r="N612" s="7">
        <f>COUNTIFS(A:A,A612,D:D,D612,E:E,I612)</f>
        <v>0</v>
      </c>
    </row>
    <row r="613" spans="1:14" x14ac:dyDescent="0.3">
      <c r="A613" s="7" t="s">
        <v>291</v>
      </c>
      <c r="B613" s="7" t="s">
        <v>292</v>
      </c>
      <c r="C613" s="7" t="s">
        <v>425</v>
      </c>
      <c r="D613" s="8">
        <v>45341</v>
      </c>
      <c r="E613" s="8" t="str">
        <f t="shared" si="35"/>
        <v>February</v>
      </c>
      <c r="F613">
        <f t="shared" si="36"/>
        <v>2024</v>
      </c>
      <c r="G613">
        <f t="shared" si="37"/>
        <v>1</v>
      </c>
      <c r="H613">
        <f t="shared" si="38"/>
        <v>1</v>
      </c>
      <c r="I613" s="6">
        <v>0.47013888888888888</v>
      </c>
      <c r="J613" s="6">
        <v>0.67638888888888893</v>
      </c>
      <c r="K613" s="7" t="s">
        <v>26</v>
      </c>
      <c r="L613" s="7" t="s">
        <v>14</v>
      </c>
      <c r="M613" s="7" t="s">
        <v>15</v>
      </c>
      <c r="N613" s="7">
        <f>COUNTIFS(A:A,A613,D:D,D613,E:E,I613)</f>
        <v>0</v>
      </c>
    </row>
    <row r="614" spans="1:14" x14ac:dyDescent="0.3">
      <c r="A614" s="7" t="s">
        <v>66</v>
      </c>
      <c r="B614" s="7" t="s">
        <v>67</v>
      </c>
      <c r="C614" s="7" t="s">
        <v>42</v>
      </c>
      <c r="D614" s="8">
        <v>45313</v>
      </c>
      <c r="E614" s="8" t="str">
        <f t="shared" si="35"/>
        <v>January</v>
      </c>
      <c r="F614">
        <f t="shared" si="36"/>
        <v>2024</v>
      </c>
      <c r="G614">
        <f t="shared" si="37"/>
        <v>1</v>
      </c>
      <c r="H614">
        <f t="shared" si="38"/>
        <v>1</v>
      </c>
      <c r="I614" s="6">
        <v>0.46319444444444446</v>
      </c>
      <c r="J614" s="6">
        <v>0.76666666666666672</v>
      </c>
      <c r="K614" s="7" t="s">
        <v>26</v>
      </c>
      <c r="L614" s="7" t="s">
        <v>27</v>
      </c>
      <c r="M614" s="7" t="s">
        <v>21</v>
      </c>
      <c r="N614" s="7">
        <f>COUNTIFS(A:A,A614,D:D,D614,E:E,I614)</f>
        <v>0</v>
      </c>
    </row>
    <row r="615" spans="1:14" x14ac:dyDescent="0.3">
      <c r="A615" s="7" t="s">
        <v>216</v>
      </c>
      <c r="B615" s="7" t="s">
        <v>217</v>
      </c>
      <c r="C615" s="7" t="s">
        <v>60</v>
      </c>
      <c r="D615" s="8">
        <v>45339</v>
      </c>
      <c r="E615" s="8" t="str">
        <f t="shared" si="35"/>
        <v>February</v>
      </c>
      <c r="F615">
        <f t="shared" si="36"/>
        <v>2024</v>
      </c>
      <c r="G615">
        <f t="shared" si="37"/>
        <v>1</v>
      </c>
      <c r="H615">
        <f t="shared" si="38"/>
        <v>1</v>
      </c>
      <c r="I615" s="6">
        <v>0.36875000000000002</v>
      </c>
      <c r="J615" s="6">
        <v>0.77777777777777779</v>
      </c>
      <c r="K615" s="7" t="s">
        <v>26</v>
      </c>
      <c r="L615" s="7" t="s">
        <v>14</v>
      </c>
      <c r="M615" s="7" t="s">
        <v>15</v>
      </c>
      <c r="N615" s="7">
        <f>COUNTIFS(A:A,A615,D:D,D615,E:E,I615)</f>
        <v>0</v>
      </c>
    </row>
    <row r="616" spans="1:14" x14ac:dyDescent="0.3">
      <c r="A616" s="7" t="s">
        <v>141</v>
      </c>
      <c r="B616" s="7" t="s">
        <v>142</v>
      </c>
      <c r="C616" s="7" t="s">
        <v>426</v>
      </c>
      <c r="D616" s="8">
        <v>45308</v>
      </c>
      <c r="E616" s="8" t="str">
        <f t="shared" si="35"/>
        <v>January</v>
      </c>
      <c r="F616">
        <f t="shared" si="36"/>
        <v>2024</v>
      </c>
      <c r="G616">
        <f t="shared" si="37"/>
        <v>1</v>
      </c>
      <c r="H616">
        <f t="shared" si="38"/>
        <v>0</v>
      </c>
      <c r="I616" s="6">
        <v>0.4826388888888889</v>
      </c>
      <c r="J616" s="6">
        <v>0.83750000000000002</v>
      </c>
      <c r="K616" s="7" t="s">
        <v>20</v>
      </c>
      <c r="L616" s="7" t="s">
        <v>14</v>
      </c>
      <c r="M616" s="7" t="s">
        <v>21</v>
      </c>
      <c r="N616" s="7">
        <f>COUNTIFS(A:A,A616,D:D,D616,E:E,I616)</f>
        <v>0</v>
      </c>
    </row>
    <row r="617" spans="1:14" x14ac:dyDescent="0.3">
      <c r="A617" s="7" t="s">
        <v>165</v>
      </c>
      <c r="B617" s="7" t="s">
        <v>166</v>
      </c>
      <c r="C617" s="7" t="s">
        <v>64</v>
      </c>
      <c r="D617" s="8">
        <v>45315</v>
      </c>
      <c r="E617" s="8" t="str">
        <f t="shared" si="35"/>
        <v>January</v>
      </c>
      <c r="F617">
        <f t="shared" si="36"/>
        <v>2024</v>
      </c>
      <c r="G617">
        <f t="shared" si="37"/>
        <v>0</v>
      </c>
      <c r="H617">
        <f t="shared" si="38"/>
        <v>0</v>
      </c>
      <c r="I617" s="6"/>
      <c r="J617" s="6"/>
      <c r="K617" s="7" t="s">
        <v>44</v>
      </c>
      <c r="L617" s="7" t="s">
        <v>14</v>
      </c>
      <c r="M617" s="7" t="s">
        <v>15</v>
      </c>
      <c r="N617" s="7">
        <f>COUNTIFS(A:A,A617,D:D,D617,E:E,I617)</f>
        <v>0</v>
      </c>
    </row>
    <row r="618" spans="1:14" x14ac:dyDescent="0.3">
      <c r="A618" s="7" t="s">
        <v>93</v>
      </c>
      <c r="B618" s="7" t="s">
        <v>94</v>
      </c>
      <c r="C618" s="7" t="s">
        <v>426</v>
      </c>
      <c r="D618" s="8">
        <v>45329</v>
      </c>
      <c r="E618" s="8" t="str">
        <f t="shared" si="35"/>
        <v>February</v>
      </c>
      <c r="F618">
        <f t="shared" si="36"/>
        <v>2024</v>
      </c>
      <c r="G618">
        <f t="shared" si="37"/>
        <v>1</v>
      </c>
      <c r="H618">
        <f t="shared" si="38"/>
        <v>0</v>
      </c>
      <c r="I618" s="6">
        <v>0.40763888888888888</v>
      </c>
      <c r="J618" s="6">
        <v>0.7</v>
      </c>
      <c r="K618" s="7" t="s">
        <v>13</v>
      </c>
      <c r="L618" s="7" t="s">
        <v>27</v>
      </c>
      <c r="M618" s="7" t="s">
        <v>15</v>
      </c>
      <c r="N618" s="7">
        <f>COUNTIFS(A:A,A618,D:D,D618,E:E,I618)</f>
        <v>0</v>
      </c>
    </row>
    <row r="619" spans="1:14" x14ac:dyDescent="0.3">
      <c r="A619" s="7" t="s">
        <v>291</v>
      </c>
      <c r="B619" s="7" t="s">
        <v>292</v>
      </c>
      <c r="C619" s="7" t="s">
        <v>64</v>
      </c>
      <c r="D619" s="8">
        <v>45366</v>
      </c>
      <c r="E619" s="8" t="str">
        <f t="shared" si="35"/>
        <v>March</v>
      </c>
      <c r="F619">
        <f t="shared" si="36"/>
        <v>2024</v>
      </c>
      <c r="G619">
        <f t="shared" si="37"/>
        <v>1</v>
      </c>
      <c r="H619">
        <f t="shared" si="38"/>
        <v>0</v>
      </c>
      <c r="I619" s="6">
        <v>0.48958333333333331</v>
      </c>
      <c r="J619" s="6">
        <v>0.70694444444444449</v>
      </c>
      <c r="K619" s="7" t="s">
        <v>13</v>
      </c>
      <c r="L619" s="7" t="s">
        <v>14</v>
      </c>
      <c r="M619" s="7" t="s">
        <v>21</v>
      </c>
      <c r="N619" s="7">
        <f>COUNTIFS(A:A,A619,D:D,D619,E:E,I619)</f>
        <v>0</v>
      </c>
    </row>
    <row r="620" spans="1:14" x14ac:dyDescent="0.3">
      <c r="A620" s="7" t="s">
        <v>69</v>
      </c>
      <c r="B620" s="7" t="s">
        <v>70</v>
      </c>
      <c r="C620" s="7" t="s">
        <v>42</v>
      </c>
      <c r="D620" s="8">
        <v>45364</v>
      </c>
      <c r="E620" s="8" t="str">
        <f t="shared" si="35"/>
        <v>March</v>
      </c>
      <c r="F620">
        <f t="shared" si="36"/>
        <v>2024</v>
      </c>
      <c r="G620">
        <f t="shared" si="37"/>
        <v>1</v>
      </c>
      <c r="H620">
        <f t="shared" si="38"/>
        <v>1</v>
      </c>
      <c r="I620" s="6">
        <v>0.40486111111111112</v>
      </c>
      <c r="J620" s="6">
        <v>0.71597222222222223</v>
      </c>
      <c r="K620" s="7" t="s">
        <v>26</v>
      </c>
      <c r="L620" s="7" t="s">
        <v>27</v>
      </c>
      <c r="M620" s="7" t="s">
        <v>21</v>
      </c>
      <c r="N620" s="7">
        <f>COUNTIFS(A:A,A620,D:D,D620,E:E,I620)</f>
        <v>0</v>
      </c>
    </row>
    <row r="621" spans="1:14" x14ac:dyDescent="0.3">
      <c r="A621" s="7" t="s">
        <v>40</v>
      </c>
      <c r="B621" s="7" t="s">
        <v>41</v>
      </c>
      <c r="C621" s="7" t="s">
        <v>64</v>
      </c>
      <c r="D621" s="8">
        <v>45335</v>
      </c>
      <c r="E621" s="8" t="str">
        <f t="shared" si="35"/>
        <v>February</v>
      </c>
      <c r="F621">
        <f t="shared" si="36"/>
        <v>2024</v>
      </c>
      <c r="G621">
        <f t="shared" si="37"/>
        <v>1</v>
      </c>
      <c r="H621">
        <f t="shared" si="38"/>
        <v>1</v>
      </c>
      <c r="I621" s="6">
        <v>0.49027777777777776</v>
      </c>
      <c r="J621" s="6">
        <v>0.6791666666666667</v>
      </c>
      <c r="K621" s="7" t="s">
        <v>26</v>
      </c>
      <c r="L621" s="7" t="s">
        <v>14</v>
      </c>
      <c r="M621" s="7" t="s">
        <v>15</v>
      </c>
      <c r="N621" s="7">
        <f>COUNTIFS(A:A,A621,D:D,D621,E:E,I621)</f>
        <v>0</v>
      </c>
    </row>
    <row r="622" spans="1:14" x14ac:dyDescent="0.3">
      <c r="A622" s="7" t="s">
        <v>81</v>
      </c>
      <c r="B622" s="7" t="s">
        <v>82</v>
      </c>
      <c r="C622" s="7" t="s">
        <v>42</v>
      </c>
      <c r="D622" s="8">
        <v>45350</v>
      </c>
      <c r="E622" s="8" t="str">
        <f t="shared" si="35"/>
        <v>February</v>
      </c>
      <c r="F622">
        <f t="shared" si="36"/>
        <v>2024</v>
      </c>
      <c r="G622">
        <f t="shared" si="37"/>
        <v>1</v>
      </c>
      <c r="H622">
        <f t="shared" si="38"/>
        <v>0</v>
      </c>
      <c r="I622" s="6">
        <v>0.46527777777777779</v>
      </c>
      <c r="J622" s="6">
        <v>0.71736111111111112</v>
      </c>
      <c r="K622" s="7" t="s">
        <v>20</v>
      </c>
      <c r="L622" s="7" t="s">
        <v>14</v>
      </c>
      <c r="M622" s="7" t="s">
        <v>15</v>
      </c>
      <c r="N622" s="7">
        <f>COUNTIFS(A:A,A622,D:D,D622,E:E,I622)</f>
        <v>0</v>
      </c>
    </row>
    <row r="623" spans="1:14" x14ac:dyDescent="0.3">
      <c r="A623" s="7" t="s">
        <v>362</v>
      </c>
      <c r="B623" s="7" t="s">
        <v>363</v>
      </c>
      <c r="C623" s="7" t="s">
        <v>425</v>
      </c>
      <c r="D623" s="8">
        <v>45371</v>
      </c>
      <c r="E623" s="8" t="str">
        <f t="shared" si="35"/>
        <v>March</v>
      </c>
      <c r="F623">
        <f t="shared" si="36"/>
        <v>2024</v>
      </c>
      <c r="G623">
        <f t="shared" si="37"/>
        <v>1</v>
      </c>
      <c r="H623">
        <f t="shared" si="38"/>
        <v>0</v>
      </c>
      <c r="I623" s="6">
        <v>0.4236111111111111</v>
      </c>
      <c r="J623" s="6">
        <v>0.84861111111111109</v>
      </c>
      <c r="K623" s="7" t="s">
        <v>20</v>
      </c>
      <c r="L623" s="7" t="s">
        <v>14</v>
      </c>
      <c r="M623" s="7" t="s">
        <v>15</v>
      </c>
      <c r="N623" s="7">
        <f>COUNTIFS(A:A,A623,D:D,D623,E:E,I623)</f>
        <v>0</v>
      </c>
    </row>
    <row r="624" spans="1:14" x14ac:dyDescent="0.3">
      <c r="A624" s="7" t="s">
        <v>191</v>
      </c>
      <c r="B624" s="7" t="s">
        <v>192</v>
      </c>
      <c r="C624" s="7" t="s">
        <v>42</v>
      </c>
      <c r="D624" s="8">
        <v>45349</v>
      </c>
      <c r="E624" s="8" t="str">
        <f t="shared" si="35"/>
        <v>February</v>
      </c>
      <c r="F624">
        <f t="shared" si="36"/>
        <v>2024</v>
      </c>
      <c r="G624">
        <f t="shared" si="37"/>
        <v>0</v>
      </c>
      <c r="H624">
        <f t="shared" si="38"/>
        <v>0</v>
      </c>
      <c r="I624" s="6"/>
      <c r="J624" s="6"/>
      <c r="K624" s="7" t="s">
        <v>44</v>
      </c>
      <c r="L624" s="7" t="s">
        <v>27</v>
      </c>
      <c r="M624" s="7" t="s">
        <v>21</v>
      </c>
      <c r="N624" s="7">
        <f>COUNTIFS(A:A,A624,D:D,D624,E:E,I624)</f>
        <v>0</v>
      </c>
    </row>
    <row r="625" spans="1:14" x14ac:dyDescent="0.3">
      <c r="A625" s="7" t="s">
        <v>150</v>
      </c>
      <c r="B625" s="7" t="s">
        <v>151</v>
      </c>
      <c r="C625" s="7" t="s">
        <v>64</v>
      </c>
      <c r="D625" s="8">
        <v>45304</v>
      </c>
      <c r="E625" s="8" t="str">
        <f t="shared" si="35"/>
        <v>January</v>
      </c>
      <c r="F625">
        <f t="shared" si="36"/>
        <v>2024</v>
      </c>
      <c r="G625">
        <f t="shared" si="37"/>
        <v>1</v>
      </c>
      <c r="H625">
        <f t="shared" si="38"/>
        <v>0</v>
      </c>
      <c r="I625" s="6">
        <v>0.45208333333333334</v>
      </c>
      <c r="J625" s="6">
        <v>0.68472222222222223</v>
      </c>
      <c r="K625" s="7" t="s">
        <v>13</v>
      </c>
      <c r="L625" s="7" t="s">
        <v>27</v>
      </c>
      <c r="M625" s="7" t="s">
        <v>21</v>
      </c>
      <c r="N625" s="7">
        <f>COUNTIFS(A:A,A625,D:D,D625,E:E,I625)</f>
        <v>0</v>
      </c>
    </row>
    <row r="626" spans="1:14" x14ac:dyDescent="0.3">
      <c r="A626" s="7" t="s">
        <v>34</v>
      </c>
      <c r="B626" s="7" t="s">
        <v>35</v>
      </c>
      <c r="C626" s="7" t="s">
        <v>426</v>
      </c>
      <c r="D626" s="8">
        <v>45536</v>
      </c>
      <c r="E626" s="8" t="str">
        <f t="shared" si="35"/>
        <v>September</v>
      </c>
      <c r="F626">
        <f t="shared" si="36"/>
        <v>2024</v>
      </c>
      <c r="G626">
        <f t="shared" si="37"/>
        <v>1</v>
      </c>
      <c r="H626">
        <f t="shared" si="38"/>
        <v>0</v>
      </c>
      <c r="I626" s="6">
        <v>0.35</v>
      </c>
      <c r="J626" s="6">
        <v>0.68333333333333335</v>
      </c>
      <c r="K626" s="7" t="s">
        <v>13</v>
      </c>
      <c r="L626" s="7" t="s">
        <v>14</v>
      </c>
      <c r="M626" s="7" t="s">
        <v>21</v>
      </c>
      <c r="N626" s="7">
        <f>COUNTIFS(A:A,A626,D:D,D626,E:E,I626)</f>
        <v>0</v>
      </c>
    </row>
    <row r="627" spans="1:14" x14ac:dyDescent="0.3">
      <c r="A627" s="7" t="s">
        <v>48</v>
      </c>
      <c r="B627" s="7" t="s">
        <v>49</v>
      </c>
      <c r="C627" s="7" t="s">
        <v>426</v>
      </c>
      <c r="D627" s="8">
        <v>45369</v>
      </c>
      <c r="E627" s="8" t="str">
        <f t="shared" si="35"/>
        <v>March</v>
      </c>
      <c r="F627">
        <f t="shared" si="36"/>
        <v>2024</v>
      </c>
      <c r="G627">
        <f t="shared" si="37"/>
        <v>0</v>
      </c>
      <c r="H627">
        <f t="shared" si="38"/>
        <v>0</v>
      </c>
      <c r="I627" s="6"/>
      <c r="J627" s="6"/>
      <c r="K627" s="7" t="s">
        <v>44</v>
      </c>
      <c r="L627" s="7" t="s">
        <v>27</v>
      </c>
      <c r="M627" s="7" t="s">
        <v>21</v>
      </c>
      <c r="N627" s="7">
        <f>COUNTIFS(A:A,A627,D:D,D627,E:E,I627)</f>
        <v>0</v>
      </c>
    </row>
    <row r="628" spans="1:14" x14ac:dyDescent="0.3">
      <c r="A628" s="7" t="s">
        <v>52</v>
      </c>
      <c r="B628" s="7" t="s">
        <v>53</v>
      </c>
      <c r="C628" s="7" t="s">
        <v>425</v>
      </c>
      <c r="D628" s="8">
        <v>45319</v>
      </c>
      <c r="E628" s="8" t="str">
        <f t="shared" si="35"/>
        <v>January</v>
      </c>
      <c r="F628">
        <f t="shared" si="36"/>
        <v>2024</v>
      </c>
      <c r="G628">
        <f t="shared" si="37"/>
        <v>1</v>
      </c>
      <c r="H628">
        <f t="shared" si="38"/>
        <v>0</v>
      </c>
      <c r="I628" s="6">
        <v>0.47361111111111109</v>
      </c>
      <c r="J628" s="6">
        <v>0.78125</v>
      </c>
      <c r="K628" s="7" t="s">
        <v>13</v>
      </c>
      <c r="L628" s="7" t="s">
        <v>14</v>
      </c>
      <c r="M628" s="7" t="s">
        <v>15</v>
      </c>
      <c r="N628" s="7">
        <f>COUNTIFS(A:A,A628,D:D,D628,E:E,I628)</f>
        <v>0</v>
      </c>
    </row>
    <row r="629" spans="1:14" x14ac:dyDescent="0.3">
      <c r="A629" s="7" t="s">
        <v>119</v>
      </c>
      <c r="B629" s="7" t="s">
        <v>120</v>
      </c>
      <c r="C629" s="7" t="s">
        <v>64</v>
      </c>
      <c r="D629" s="8">
        <v>45320</v>
      </c>
      <c r="E629" s="8" t="str">
        <f t="shared" si="35"/>
        <v>January</v>
      </c>
      <c r="F629">
        <f t="shared" si="36"/>
        <v>2024</v>
      </c>
      <c r="G629">
        <f t="shared" si="37"/>
        <v>1</v>
      </c>
      <c r="H629">
        <f t="shared" si="38"/>
        <v>0</v>
      </c>
      <c r="I629" s="6">
        <v>0.41458333333333336</v>
      </c>
      <c r="J629" s="6">
        <v>0.86875000000000002</v>
      </c>
      <c r="K629" s="7" t="s">
        <v>13</v>
      </c>
      <c r="L629" s="7" t="s">
        <v>27</v>
      </c>
      <c r="M629" s="7" t="s">
        <v>15</v>
      </c>
      <c r="N629" s="7">
        <f>COUNTIFS(A:A,A629,D:D,D629,E:E,I629)</f>
        <v>0</v>
      </c>
    </row>
    <row r="630" spans="1:14" x14ac:dyDescent="0.3">
      <c r="A630" s="7" t="s">
        <v>31</v>
      </c>
      <c r="B630" s="7" t="s">
        <v>32</v>
      </c>
      <c r="C630" s="7" t="s">
        <v>426</v>
      </c>
      <c r="D630" s="8">
        <v>45340</v>
      </c>
      <c r="E630" s="8" t="str">
        <f t="shared" si="35"/>
        <v>February</v>
      </c>
      <c r="F630">
        <f t="shared" si="36"/>
        <v>2024</v>
      </c>
      <c r="G630">
        <f t="shared" si="37"/>
        <v>1</v>
      </c>
      <c r="H630">
        <f t="shared" si="38"/>
        <v>1</v>
      </c>
      <c r="I630" s="6">
        <v>0.4861111111111111</v>
      </c>
      <c r="J630" s="6">
        <v>0.82499999999999996</v>
      </c>
      <c r="K630" s="7" t="s">
        <v>26</v>
      </c>
      <c r="L630" s="7" t="s">
        <v>27</v>
      </c>
      <c r="M630" s="7" t="s">
        <v>15</v>
      </c>
      <c r="N630" s="7">
        <f>COUNTIFS(A:A,A630,D:D,D630,E:E,I630)</f>
        <v>0</v>
      </c>
    </row>
    <row r="631" spans="1:14" x14ac:dyDescent="0.3">
      <c r="A631" s="7" t="s">
        <v>96</v>
      </c>
      <c r="B631" s="7" t="s">
        <v>97</v>
      </c>
      <c r="C631" s="7" t="s">
        <v>64</v>
      </c>
      <c r="D631" s="8">
        <v>45352</v>
      </c>
      <c r="E631" s="8" t="str">
        <f t="shared" si="35"/>
        <v>March</v>
      </c>
      <c r="F631">
        <f t="shared" si="36"/>
        <v>2024</v>
      </c>
      <c r="G631">
        <f t="shared" si="37"/>
        <v>0</v>
      </c>
      <c r="H631">
        <f t="shared" si="38"/>
        <v>0</v>
      </c>
      <c r="I631" s="6"/>
      <c r="J631" s="6"/>
      <c r="K631" s="7" t="s">
        <v>44</v>
      </c>
      <c r="L631" s="7" t="s">
        <v>27</v>
      </c>
      <c r="M631" s="7" t="s">
        <v>21</v>
      </c>
      <c r="N631" s="7">
        <f>COUNTIFS(A:A,A631,D:D,D631,E:E,I631)</f>
        <v>0</v>
      </c>
    </row>
    <row r="632" spans="1:14" x14ac:dyDescent="0.3">
      <c r="A632" s="7" t="s">
        <v>200</v>
      </c>
      <c r="B632" s="7" t="s">
        <v>201</v>
      </c>
      <c r="C632" s="7" t="s">
        <v>42</v>
      </c>
      <c r="D632" s="8">
        <v>45505</v>
      </c>
      <c r="E632" s="8" t="str">
        <f t="shared" si="35"/>
        <v>August</v>
      </c>
      <c r="F632">
        <f t="shared" si="36"/>
        <v>2024</v>
      </c>
      <c r="G632">
        <f t="shared" si="37"/>
        <v>1</v>
      </c>
      <c r="H632">
        <f t="shared" si="38"/>
        <v>0</v>
      </c>
      <c r="I632" s="6">
        <v>0.46666666666666667</v>
      </c>
      <c r="J632" s="6">
        <v>0.82499999999999996</v>
      </c>
      <c r="K632" s="7" t="s">
        <v>13</v>
      </c>
      <c r="L632" s="7" t="s">
        <v>14</v>
      </c>
      <c r="M632" s="7" t="s">
        <v>15</v>
      </c>
      <c r="N632" s="7">
        <f>COUNTIFS(A:A,A632,D:D,D632,E:E,I632)</f>
        <v>0</v>
      </c>
    </row>
    <row r="633" spans="1:14" x14ac:dyDescent="0.3">
      <c r="A633" s="7" t="s">
        <v>204</v>
      </c>
      <c r="B633" s="7" t="s">
        <v>205</v>
      </c>
      <c r="C633" s="7" t="s">
        <v>64</v>
      </c>
      <c r="D633" s="8">
        <v>45445</v>
      </c>
      <c r="E633" s="8" t="str">
        <f t="shared" si="35"/>
        <v>June</v>
      </c>
      <c r="F633">
        <f t="shared" si="36"/>
        <v>2024</v>
      </c>
      <c r="G633">
        <f t="shared" si="37"/>
        <v>1</v>
      </c>
      <c r="H633">
        <f t="shared" si="38"/>
        <v>0</v>
      </c>
      <c r="I633" s="6">
        <v>0.37430555555555556</v>
      </c>
      <c r="J633" s="6">
        <v>0.76527777777777772</v>
      </c>
      <c r="K633" s="7" t="s">
        <v>13</v>
      </c>
      <c r="L633" s="7" t="s">
        <v>27</v>
      </c>
      <c r="M633" s="7" t="s">
        <v>21</v>
      </c>
      <c r="N633" s="7">
        <f>COUNTIFS(A:A,A633,D:D,D633,E:E,I633)</f>
        <v>0</v>
      </c>
    </row>
    <row r="634" spans="1:14" x14ac:dyDescent="0.3">
      <c r="A634" s="7" t="s">
        <v>175</v>
      </c>
      <c r="B634" s="7" t="s">
        <v>176</v>
      </c>
      <c r="C634" s="7" t="s">
        <v>426</v>
      </c>
      <c r="D634" s="8">
        <v>45378</v>
      </c>
      <c r="E634" s="8" t="str">
        <f t="shared" si="35"/>
        <v>March</v>
      </c>
      <c r="F634">
        <f t="shared" si="36"/>
        <v>2024</v>
      </c>
      <c r="G634">
        <f t="shared" si="37"/>
        <v>0</v>
      </c>
      <c r="H634">
        <f t="shared" si="38"/>
        <v>0</v>
      </c>
      <c r="I634" s="6"/>
      <c r="J634" s="6"/>
      <c r="K634" s="7" t="s">
        <v>44</v>
      </c>
      <c r="L634" s="7" t="s">
        <v>27</v>
      </c>
      <c r="M634" s="7" t="s">
        <v>21</v>
      </c>
      <c r="N634" s="7">
        <f>COUNTIFS(A:A,A634,D:D,D634,E:E,I634)</f>
        <v>0</v>
      </c>
    </row>
    <row r="635" spans="1:14" x14ac:dyDescent="0.3">
      <c r="A635" s="7" t="s">
        <v>34</v>
      </c>
      <c r="B635" s="7" t="s">
        <v>35</v>
      </c>
      <c r="C635" s="7" t="s">
        <v>426</v>
      </c>
      <c r="D635" s="8">
        <v>45351</v>
      </c>
      <c r="E635" s="8" t="str">
        <f t="shared" si="35"/>
        <v>February</v>
      </c>
      <c r="F635">
        <f t="shared" si="36"/>
        <v>2024</v>
      </c>
      <c r="G635">
        <f t="shared" si="37"/>
        <v>1</v>
      </c>
      <c r="H635">
        <f t="shared" si="38"/>
        <v>0</v>
      </c>
      <c r="I635" s="6">
        <v>0.39791666666666664</v>
      </c>
      <c r="J635" s="6">
        <v>0.74861111111111112</v>
      </c>
      <c r="K635" s="7" t="s">
        <v>20</v>
      </c>
      <c r="L635" s="7" t="s">
        <v>14</v>
      </c>
      <c r="M635" s="7" t="s">
        <v>21</v>
      </c>
      <c r="N635" s="7">
        <f>COUNTIFS(A:A,A635,D:D,D635,E:E,I635)</f>
        <v>0</v>
      </c>
    </row>
    <row r="636" spans="1:14" x14ac:dyDescent="0.3">
      <c r="A636" s="7" t="s">
        <v>40</v>
      </c>
      <c r="B636" s="7" t="s">
        <v>41</v>
      </c>
      <c r="C636" s="7" t="s">
        <v>60</v>
      </c>
      <c r="D636" s="8">
        <v>45376</v>
      </c>
      <c r="E636" s="8" t="str">
        <f t="shared" si="35"/>
        <v>March</v>
      </c>
      <c r="F636">
        <f t="shared" si="36"/>
        <v>2024</v>
      </c>
      <c r="G636">
        <f t="shared" si="37"/>
        <v>1</v>
      </c>
      <c r="H636">
        <f t="shared" si="38"/>
        <v>1</v>
      </c>
      <c r="I636" s="6">
        <v>0.37847222222222221</v>
      </c>
      <c r="J636" s="6">
        <v>0.78749999999999998</v>
      </c>
      <c r="K636" s="7" t="s">
        <v>26</v>
      </c>
      <c r="L636" s="7" t="s">
        <v>14</v>
      </c>
      <c r="M636" s="7" t="s">
        <v>21</v>
      </c>
      <c r="N636" s="7">
        <f>COUNTIFS(A:A,A636,D:D,D636,E:E,I636)</f>
        <v>0</v>
      </c>
    </row>
    <row r="637" spans="1:14" x14ac:dyDescent="0.3">
      <c r="A637" s="7" t="s">
        <v>187</v>
      </c>
      <c r="B637" s="7" t="s">
        <v>188</v>
      </c>
      <c r="C637" s="7" t="s">
        <v>425</v>
      </c>
      <c r="D637" s="8">
        <v>45335</v>
      </c>
      <c r="E637" s="8" t="str">
        <f t="shared" si="35"/>
        <v>February</v>
      </c>
      <c r="F637">
        <f t="shared" si="36"/>
        <v>2024</v>
      </c>
      <c r="G637">
        <f t="shared" si="37"/>
        <v>1</v>
      </c>
      <c r="H637">
        <f t="shared" si="38"/>
        <v>0</v>
      </c>
      <c r="I637" s="6">
        <v>0.45277777777777778</v>
      </c>
      <c r="J637" s="6">
        <v>0.84861111111111109</v>
      </c>
      <c r="K637" s="7" t="s">
        <v>13</v>
      </c>
      <c r="L637" s="7" t="s">
        <v>27</v>
      </c>
      <c r="M637" s="7" t="s">
        <v>21</v>
      </c>
      <c r="N637" s="7">
        <f>COUNTIFS(A:A,A637,D:D,D637,E:E,I637)</f>
        <v>0</v>
      </c>
    </row>
    <row r="638" spans="1:14" x14ac:dyDescent="0.3">
      <c r="A638" s="7" t="s">
        <v>250</v>
      </c>
      <c r="B638" s="7" t="s">
        <v>251</v>
      </c>
      <c r="C638" s="7" t="s">
        <v>426</v>
      </c>
      <c r="D638" s="8">
        <v>45414</v>
      </c>
      <c r="E638" s="8" t="str">
        <f t="shared" si="35"/>
        <v>May</v>
      </c>
      <c r="F638">
        <f t="shared" si="36"/>
        <v>2024</v>
      </c>
      <c r="G638">
        <f t="shared" si="37"/>
        <v>1</v>
      </c>
      <c r="H638">
        <f t="shared" si="38"/>
        <v>0</v>
      </c>
      <c r="I638" s="6">
        <v>0.36875000000000002</v>
      </c>
      <c r="J638" s="6">
        <v>0.7104166666666667</v>
      </c>
      <c r="K638" s="7" t="s">
        <v>20</v>
      </c>
      <c r="L638" s="7" t="s">
        <v>27</v>
      </c>
      <c r="M638" s="7" t="s">
        <v>15</v>
      </c>
      <c r="N638" s="7">
        <f>COUNTIFS(A:A,A638,D:D,D638,E:E,I638)</f>
        <v>0</v>
      </c>
    </row>
    <row r="639" spans="1:14" x14ac:dyDescent="0.3">
      <c r="A639" s="7" t="s">
        <v>200</v>
      </c>
      <c r="B639" s="7" t="s">
        <v>201</v>
      </c>
      <c r="C639" s="7" t="s">
        <v>60</v>
      </c>
      <c r="D639" s="8">
        <v>45320</v>
      </c>
      <c r="E639" s="8" t="str">
        <f t="shared" si="35"/>
        <v>January</v>
      </c>
      <c r="F639">
        <f t="shared" si="36"/>
        <v>2024</v>
      </c>
      <c r="G639">
        <f t="shared" si="37"/>
        <v>1</v>
      </c>
      <c r="H639">
        <f t="shared" si="38"/>
        <v>0</v>
      </c>
      <c r="I639" s="6">
        <v>0.40277777777777779</v>
      </c>
      <c r="J639" s="6">
        <v>0.79861111111111116</v>
      </c>
      <c r="K639" s="7" t="s">
        <v>13</v>
      </c>
      <c r="L639" s="7" t="s">
        <v>14</v>
      </c>
      <c r="M639" s="7" t="s">
        <v>21</v>
      </c>
      <c r="N639" s="7">
        <f>COUNTIFS(A:A,A639,D:D,D639,E:E,I639)</f>
        <v>0</v>
      </c>
    </row>
    <row r="640" spans="1:14" x14ac:dyDescent="0.3">
      <c r="A640" s="7" t="s">
        <v>338</v>
      </c>
      <c r="B640" s="7" t="s">
        <v>339</v>
      </c>
      <c r="C640" s="7" t="s">
        <v>60</v>
      </c>
      <c r="D640" s="8">
        <v>45315</v>
      </c>
      <c r="E640" s="8" t="str">
        <f t="shared" si="35"/>
        <v>January</v>
      </c>
      <c r="F640">
        <f t="shared" si="36"/>
        <v>2024</v>
      </c>
      <c r="G640">
        <f t="shared" si="37"/>
        <v>0</v>
      </c>
      <c r="H640">
        <f t="shared" si="38"/>
        <v>0</v>
      </c>
      <c r="I640" s="6"/>
      <c r="J640" s="6"/>
      <c r="K640" s="7" t="s">
        <v>44</v>
      </c>
      <c r="L640" s="7" t="s">
        <v>14</v>
      </c>
      <c r="M640" s="7" t="s">
        <v>21</v>
      </c>
      <c r="N640" s="7">
        <f>COUNTIFS(A:A,A640,D:D,D640,E:E,I640)</f>
        <v>0</v>
      </c>
    </row>
    <row r="641" spans="1:14" x14ac:dyDescent="0.3">
      <c r="A641" s="7" t="s">
        <v>16</v>
      </c>
      <c r="B641" s="7" t="s">
        <v>17</v>
      </c>
      <c r="C641" s="7" t="s">
        <v>425</v>
      </c>
      <c r="D641" s="8">
        <v>45379</v>
      </c>
      <c r="E641" s="8" t="str">
        <f t="shared" si="35"/>
        <v>March</v>
      </c>
      <c r="F641">
        <f t="shared" si="36"/>
        <v>2024</v>
      </c>
      <c r="G641">
        <f t="shared" si="37"/>
        <v>1</v>
      </c>
      <c r="H641">
        <f t="shared" si="38"/>
        <v>1</v>
      </c>
      <c r="I641" s="6">
        <v>0.46111111111111114</v>
      </c>
      <c r="J641" s="6">
        <v>0.67291666666666672</v>
      </c>
      <c r="K641" s="7" t="s">
        <v>26</v>
      </c>
      <c r="L641" s="7" t="s">
        <v>27</v>
      </c>
      <c r="M641" s="7" t="s">
        <v>21</v>
      </c>
      <c r="N641" s="7">
        <f>COUNTIFS(A:A,A641,D:D,D641,E:E,I641)</f>
        <v>0</v>
      </c>
    </row>
    <row r="642" spans="1:14" x14ac:dyDescent="0.3">
      <c r="A642" s="7" t="s">
        <v>93</v>
      </c>
      <c r="B642" s="7" t="s">
        <v>94</v>
      </c>
      <c r="C642" s="7" t="s">
        <v>60</v>
      </c>
      <c r="D642" s="8">
        <v>45319</v>
      </c>
      <c r="E642" s="8" t="str">
        <f t="shared" ref="E642:E705" si="39">TEXT(D642,"mmmm")</f>
        <v>January</v>
      </c>
      <c r="F642">
        <f t="shared" ref="F642:F705" si="40">YEAR(D642)</f>
        <v>2024</v>
      </c>
      <c r="G642">
        <f t="shared" ref="G642:G705" si="41">IF(LOWER(K642)="absent",0,1)</f>
        <v>1</v>
      </c>
      <c r="H642">
        <f t="shared" ref="H642:H705" si="42">IF(K642="Late",1,0)</f>
        <v>0</v>
      </c>
      <c r="I642" s="6">
        <v>0.36805555555555558</v>
      </c>
      <c r="J642" s="6">
        <v>0.7944444444444444</v>
      </c>
      <c r="K642" s="7" t="s">
        <v>20</v>
      </c>
      <c r="L642" s="7" t="s">
        <v>14</v>
      </c>
      <c r="M642" s="7" t="s">
        <v>15</v>
      </c>
      <c r="N642" s="7">
        <f>COUNTIFS(A:A,A642,D:D,D642,E:E,I642)</f>
        <v>0</v>
      </c>
    </row>
    <row r="643" spans="1:14" x14ac:dyDescent="0.3">
      <c r="A643" s="7" t="s">
        <v>154</v>
      </c>
      <c r="B643" s="7" t="s">
        <v>155</v>
      </c>
      <c r="C643" s="7" t="s">
        <v>64</v>
      </c>
      <c r="D643" s="8">
        <v>45353</v>
      </c>
      <c r="E643" s="8" t="str">
        <f t="shared" si="39"/>
        <v>March</v>
      </c>
      <c r="F643">
        <f t="shared" si="40"/>
        <v>2024</v>
      </c>
      <c r="G643">
        <f t="shared" si="41"/>
        <v>1</v>
      </c>
      <c r="H643">
        <f t="shared" si="42"/>
        <v>0</v>
      </c>
      <c r="I643" s="6">
        <v>0.43680555555555556</v>
      </c>
      <c r="J643" s="6">
        <v>0.84375</v>
      </c>
      <c r="K643" s="7" t="s">
        <v>13</v>
      </c>
      <c r="L643" s="7" t="s">
        <v>14</v>
      </c>
      <c r="M643" s="7" t="s">
        <v>15</v>
      </c>
      <c r="N643" s="7">
        <f>COUNTIFS(A:A,A643,D:D,D643,E:E,I643)</f>
        <v>0</v>
      </c>
    </row>
    <row r="644" spans="1:14" x14ac:dyDescent="0.3">
      <c r="A644" s="7" t="s">
        <v>213</v>
      </c>
      <c r="B644" s="7" t="s">
        <v>214</v>
      </c>
      <c r="C644" s="7" t="s">
        <v>42</v>
      </c>
      <c r="D644" s="8">
        <v>45306</v>
      </c>
      <c r="E644" s="8" t="str">
        <f t="shared" si="39"/>
        <v>January</v>
      </c>
      <c r="F644">
        <f t="shared" si="40"/>
        <v>2024</v>
      </c>
      <c r="G644">
        <f t="shared" si="41"/>
        <v>1</v>
      </c>
      <c r="H644">
        <f t="shared" si="42"/>
        <v>0</v>
      </c>
      <c r="I644" s="6">
        <v>0.47708333333333336</v>
      </c>
      <c r="J644" s="6">
        <v>0.85763888888888884</v>
      </c>
      <c r="K644" s="7" t="s">
        <v>13</v>
      </c>
      <c r="L644" s="7" t="s">
        <v>14</v>
      </c>
      <c r="M644" s="7" t="s">
        <v>21</v>
      </c>
      <c r="N644" s="7">
        <f>COUNTIFS(A:A,A644,D:D,D644,E:E,I644)</f>
        <v>0</v>
      </c>
    </row>
    <row r="645" spans="1:14" x14ac:dyDescent="0.3">
      <c r="A645" s="7" t="s">
        <v>78</v>
      </c>
      <c r="B645" s="7" t="s">
        <v>79</v>
      </c>
      <c r="C645" s="7" t="s">
        <v>64</v>
      </c>
      <c r="D645" s="8">
        <v>45345</v>
      </c>
      <c r="E645" s="8" t="str">
        <f t="shared" si="39"/>
        <v>February</v>
      </c>
      <c r="F645">
        <f t="shared" si="40"/>
        <v>2024</v>
      </c>
      <c r="G645">
        <f t="shared" si="41"/>
        <v>1</v>
      </c>
      <c r="H645">
        <f t="shared" si="42"/>
        <v>0</v>
      </c>
      <c r="I645" s="6">
        <v>0.34930555555555554</v>
      </c>
      <c r="J645" s="6">
        <v>0.68472222222222223</v>
      </c>
      <c r="K645" s="7" t="s">
        <v>20</v>
      </c>
      <c r="L645" s="7" t="s">
        <v>27</v>
      </c>
      <c r="M645" s="7" t="s">
        <v>15</v>
      </c>
      <c r="N645" s="7">
        <f>COUNTIFS(A:A,A645,D:D,D645,E:E,I645)</f>
        <v>0</v>
      </c>
    </row>
    <row r="646" spans="1:14" x14ac:dyDescent="0.3">
      <c r="A646" s="7" t="s">
        <v>69</v>
      </c>
      <c r="B646" s="7" t="s">
        <v>70</v>
      </c>
      <c r="C646" s="7" t="s">
        <v>425</v>
      </c>
      <c r="D646" s="8">
        <v>45305</v>
      </c>
      <c r="E646" s="8" t="str">
        <f t="shared" si="39"/>
        <v>January</v>
      </c>
      <c r="F646">
        <f t="shared" si="40"/>
        <v>2024</v>
      </c>
      <c r="G646">
        <f t="shared" si="41"/>
        <v>0</v>
      </c>
      <c r="H646">
        <f t="shared" si="42"/>
        <v>0</v>
      </c>
      <c r="I646" s="6"/>
      <c r="J646" s="6"/>
      <c r="K646" s="7" t="s">
        <v>44</v>
      </c>
      <c r="L646" s="7" t="s">
        <v>27</v>
      </c>
      <c r="M646" s="7" t="s">
        <v>21</v>
      </c>
      <c r="N646" s="7">
        <f>COUNTIFS(A:A,A646,D:D,D646,E:E,I646)</f>
        <v>0</v>
      </c>
    </row>
    <row r="647" spans="1:14" x14ac:dyDescent="0.3">
      <c r="A647" s="7" t="s">
        <v>93</v>
      </c>
      <c r="B647" s="7" t="s">
        <v>94</v>
      </c>
      <c r="C647" s="7" t="s">
        <v>64</v>
      </c>
      <c r="D647" s="8">
        <v>45370</v>
      </c>
      <c r="E647" s="8" t="str">
        <f t="shared" si="39"/>
        <v>March</v>
      </c>
      <c r="F647">
        <f t="shared" si="40"/>
        <v>2024</v>
      </c>
      <c r="G647">
        <f t="shared" si="41"/>
        <v>1</v>
      </c>
      <c r="H647">
        <f t="shared" si="42"/>
        <v>0</v>
      </c>
      <c r="I647" s="6">
        <v>0.38055555555555554</v>
      </c>
      <c r="J647" s="6">
        <v>0.86597222222222225</v>
      </c>
      <c r="K647" s="7" t="s">
        <v>20</v>
      </c>
      <c r="L647" s="7" t="s">
        <v>27</v>
      </c>
      <c r="M647" s="7" t="s">
        <v>21</v>
      </c>
      <c r="N647" s="7">
        <f>COUNTIFS(A:A,A647,D:D,D647,E:E,I647)</f>
        <v>0</v>
      </c>
    </row>
    <row r="648" spans="1:14" x14ac:dyDescent="0.3">
      <c r="A648" s="7" t="s">
        <v>291</v>
      </c>
      <c r="B648" s="7" t="s">
        <v>292</v>
      </c>
      <c r="C648" s="7" t="s">
        <v>42</v>
      </c>
      <c r="D648" s="8">
        <v>45304</v>
      </c>
      <c r="E648" s="8" t="str">
        <f t="shared" si="39"/>
        <v>January</v>
      </c>
      <c r="F648">
        <f t="shared" si="40"/>
        <v>2024</v>
      </c>
      <c r="G648">
        <f t="shared" si="41"/>
        <v>0</v>
      </c>
      <c r="H648">
        <f t="shared" si="42"/>
        <v>0</v>
      </c>
      <c r="I648" s="6"/>
      <c r="J648" s="6"/>
      <c r="K648" s="7" t="s">
        <v>44</v>
      </c>
      <c r="L648" s="7" t="s">
        <v>14</v>
      </c>
      <c r="M648" s="7" t="s">
        <v>21</v>
      </c>
      <c r="N648" s="7">
        <f>COUNTIFS(A:A,A648,D:D,D648,E:E,I648)</f>
        <v>0</v>
      </c>
    </row>
    <row r="649" spans="1:14" x14ac:dyDescent="0.3">
      <c r="A649" s="7" t="s">
        <v>236</v>
      </c>
      <c r="B649" s="7" t="s">
        <v>237</v>
      </c>
      <c r="C649" s="7" t="s">
        <v>60</v>
      </c>
      <c r="D649" s="8">
        <v>45446</v>
      </c>
      <c r="E649" s="8" t="str">
        <f t="shared" si="39"/>
        <v>June</v>
      </c>
      <c r="F649">
        <f t="shared" si="40"/>
        <v>2024</v>
      </c>
      <c r="G649">
        <f t="shared" si="41"/>
        <v>1</v>
      </c>
      <c r="H649">
        <f t="shared" si="42"/>
        <v>0</v>
      </c>
      <c r="I649" s="6">
        <v>0.35972222222222222</v>
      </c>
      <c r="J649" s="6">
        <v>0.73124999999999996</v>
      </c>
      <c r="K649" s="7" t="s">
        <v>13</v>
      </c>
      <c r="L649" s="7" t="s">
        <v>27</v>
      </c>
      <c r="M649" s="7" t="s">
        <v>21</v>
      </c>
      <c r="N649" s="7">
        <f>COUNTIFS(A:A,A649,D:D,D649,E:E,I649)</f>
        <v>0</v>
      </c>
    </row>
    <row r="650" spans="1:14" x14ac:dyDescent="0.3">
      <c r="A650" s="7" t="s">
        <v>250</v>
      </c>
      <c r="B650" s="7" t="s">
        <v>251</v>
      </c>
      <c r="C650" s="7" t="s">
        <v>425</v>
      </c>
      <c r="D650" s="8">
        <v>45415</v>
      </c>
      <c r="E650" s="8" t="str">
        <f t="shared" si="39"/>
        <v>May</v>
      </c>
      <c r="F650">
        <f t="shared" si="40"/>
        <v>2024</v>
      </c>
      <c r="G650">
        <f t="shared" si="41"/>
        <v>1</v>
      </c>
      <c r="H650">
        <f t="shared" si="42"/>
        <v>1</v>
      </c>
      <c r="I650" s="6">
        <v>0.34027777777777779</v>
      </c>
      <c r="J650" s="6">
        <v>0.87152777777777779</v>
      </c>
      <c r="K650" s="7" t="s">
        <v>26</v>
      </c>
      <c r="L650" s="7" t="s">
        <v>14</v>
      </c>
      <c r="M650" s="7" t="s">
        <v>21</v>
      </c>
      <c r="N650" s="7">
        <f>COUNTIFS(A:A,A650,D:D,D650,E:E,I650)</f>
        <v>0</v>
      </c>
    </row>
    <row r="651" spans="1:14" x14ac:dyDescent="0.3">
      <c r="A651" s="7" t="s">
        <v>246</v>
      </c>
      <c r="B651" s="7" t="s">
        <v>247</v>
      </c>
      <c r="C651" s="7" t="s">
        <v>60</v>
      </c>
      <c r="D651" s="8">
        <v>45506</v>
      </c>
      <c r="E651" s="8" t="str">
        <f t="shared" si="39"/>
        <v>August</v>
      </c>
      <c r="F651">
        <f t="shared" si="40"/>
        <v>2024</v>
      </c>
      <c r="G651">
        <f t="shared" si="41"/>
        <v>1</v>
      </c>
      <c r="H651">
        <f t="shared" si="42"/>
        <v>1</v>
      </c>
      <c r="I651" s="6">
        <v>0.4826388888888889</v>
      </c>
      <c r="J651" s="6">
        <v>0.73472222222222228</v>
      </c>
      <c r="K651" s="7" t="s">
        <v>26</v>
      </c>
      <c r="L651" s="7" t="s">
        <v>27</v>
      </c>
      <c r="M651" s="7" t="s">
        <v>21</v>
      </c>
      <c r="N651" s="7">
        <f>COUNTIFS(A:A,A651,D:D,D651,E:E,I651)</f>
        <v>0</v>
      </c>
    </row>
    <row r="652" spans="1:14" x14ac:dyDescent="0.3">
      <c r="A652" s="7" t="s">
        <v>34</v>
      </c>
      <c r="B652" s="7" t="s">
        <v>35</v>
      </c>
      <c r="C652" s="7" t="s">
        <v>60</v>
      </c>
      <c r="D652" s="8">
        <v>45341</v>
      </c>
      <c r="E652" s="8" t="str">
        <f t="shared" si="39"/>
        <v>February</v>
      </c>
      <c r="F652">
        <f t="shared" si="40"/>
        <v>2024</v>
      </c>
      <c r="G652">
        <f t="shared" si="41"/>
        <v>1</v>
      </c>
      <c r="H652">
        <f t="shared" si="42"/>
        <v>0</v>
      </c>
      <c r="I652" s="6">
        <v>0.45902777777777776</v>
      </c>
      <c r="J652" s="6">
        <v>0.70277777777777772</v>
      </c>
      <c r="K652" s="7" t="s">
        <v>13</v>
      </c>
      <c r="L652" s="7" t="s">
        <v>14</v>
      </c>
      <c r="M652" s="7" t="s">
        <v>15</v>
      </c>
      <c r="N652" s="7">
        <f>COUNTIFS(A:A,A652,D:D,D652,E:E,I652)</f>
        <v>0</v>
      </c>
    </row>
    <row r="653" spans="1:14" x14ac:dyDescent="0.3">
      <c r="A653" s="7" t="s">
        <v>62</v>
      </c>
      <c r="B653" s="7" t="s">
        <v>63</v>
      </c>
      <c r="C653" s="7" t="s">
        <v>64</v>
      </c>
      <c r="D653" s="8">
        <v>45309</v>
      </c>
      <c r="E653" s="8" t="str">
        <f t="shared" si="39"/>
        <v>January</v>
      </c>
      <c r="F653">
        <f t="shared" si="40"/>
        <v>2024</v>
      </c>
      <c r="G653">
        <f t="shared" si="41"/>
        <v>1</v>
      </c>
      <c r="H653">
        <f t="shared" si="42"/>
        <v>1</v>
      </c>
      <c r="I653" s="6">
        <v>0.35555555555555557</v>
      </c>
      <c r="J653" s="6">
        <v>0.8041666666666667</v>
      </c>
      <c r="K653" s="7" t="s">
        <v>26</v>
      </c>
      <c r="L653" s="7" t="s">
        <v>14</v>
      </c>
      <c r="M653" s="7" t="s">
        <v>21</v>
      </c>
      <c r="N653" s="7">
        <f>COUNTIFS(A:A,A653,D:D,D653,E:E,I653)</f>
        <v>0</v>
      </c>
    </row>
    <row r="654" spans="1:14" x14ac:dyDescent="0.3">
      <c r="A654" s="7" t="s">
        <v>112</v>
      </c>
      <c r="B654" s="7" t="s">
        <v>113</v>
      </c>
      <c r="C654" s="7" t="s">
        <v>64</v>
      </c>
      <c r="D654" s="8">
        <v>45297</v>
      </c>
      <c r="E654" s="8" t="str">
        <f t="shared" si="39"/>
        <v>January</v>
      </c>
      <c r="F654">
        <f t="shared" si="40"/>
        <v>2024</v>
      </c>
      <c r="G654">
        <f t="shared" si="41"/>
        <v>1</v>
      </c>
      <c r="H654">
        <f t="shared" si="42"/>
        <v>0</v>
      </c>
      <c r="I654" s="6">
        <v>0.37013888888888891</v>
      </c>
      <c r="J654" s="6">
        <v>0.84375</v>
      </c>
      <c r="K654" s="7" t="s">
        <v>13</v>
      </c>
      <c r="L654" s="7" t="s">
        <v>27</v>
      </c>
      <c r="M654" s="7" t="s">
        <v>15</v>
      </c>
      <c r="N654" s="7">
        <f>COUNTIFS(A:A,A654,D:D,D654,E:E,I654)</f>
        <v>0</v>
      </c>
    </row>
    <row r="655" spans="1:14" x14ac:dyDescent="0.3">
      <c r="A655" s="7" t="s">
        <v>9</v>
      </c>
      <c r="B655" s="7" t="s">
        <v>10</v>
      </c>
      <c r="C655" s="7" t="s">
        <v>425</v>
      </c>
      <c r="D655" s="8">
        <v>45376</v>
      </c>
      <c r="E655" s="8" t="str">
        <f t="shared" si="39"/>
        <v>March</v>
      </c>
      <c r="F655">
        <f t="shared" si="40"/>
        <v>2024</v>
      </c>
      <c r="G655">
        <f t="shared" si="41"/>
        <v>1</v>
      </c>
      <c r="H655">
        <f t="shared" si="42"/>
        <v>0</v>
      </c>
      <c r="I655" s="6">
        <v>0.41180555555555554</v>
      </c>
      <c r="J655" s="6">
        <v>0.77986111111111112</v>
      </c>
      <c r="K655" s="7" t="s">
        <v>20</v>
      </c>
      <c r="L655" s="7" t="s">
        <v>27</v>
      </c>
      <c r="M655" s="7" t="s">
        <v>15</v>
      </c>
      <c r="N655" s="7">
        <f>COUNTIFS(A:A,A655,D:D,D655,E:E,I655)</f>
        <v>0</v>
      </c>
    </row>
    <row r="656" spans="1:14" x14ac:dyDescent="0.3">
      <c r="A656" s="7" t="s">
        <v>16</v>
      </c>
      <c r="B656" s="7" t="s">
        <v>17</v>
      </c>
      <c r="C656" s="7" t="s">
        <v>426</v>
      </c>
      <c r="D656" s="8">
        <v>45366</v>
      </c>
      <c r="E656" s="8" t="str">
        <f t="shared" si="39"/>
        <v>March</v>
      </c>
      <c r="F656">
        <f t="shared" si="40"/>
        <v>2024</v>
      </c>
      <c r="G656">
        <f t="shared" si="41"/>
        <v>1</v>
      </c>
      <c r="H656">
        <f t="shared" si="42"/>
        <v>0</v>
      </c>
      <c r="I656" s="6">
        <v>0.39097222222222222</v>
      </c>
      <c r="J656" s="6">
        <v>0.73333333333333328</v>
      </c>
      <c r="K656" s="7" t="s">
        <v>13</v>
      </c>
      <c r="L656" s="7" t="s">
        <v>14</v>
      </c>
      <c r="M656" s="7" t="s">
        <v>21</v>
      </c>
      <c r="N656" s="7">
        <f>COUNTIFS(A:A,A656,D:D,D656,E:E,I656)</f>
        <v>0</v>
      </c>
    </row>
    <row r="657" spans="1:14" x14ac:dyDescent="0.3">
      <c r="A657" s="7" t="s">
        <v>55</v>
      </c>
      <c r="B657" s="7" t="s">
        <v>56</v>
      </c>
      <c r="C657" s="7" t="s">
        <v>60</v>
      </c>
      <c r="D657" s="8">
        <v>45305</v>
      </c>
      <c r="E657" s="8" t="str">
        <f t="shared" si="39"/>
        <v>January</v>
      </c>
      <c r="F657">
        <f t="shared" si="40"/>
        <v>2024</v>
      </c>
      <c r="G657">
        <f t="shared" si="41"/>
        <v>1</v>
      </c>
      <c r="H657">
        <f t="shared" si="42"/>
        <v>1</v>
      </c>
      <c r="I657" s="6">
        <v>0.35694444444444445</v>
      </c>
      <c r="J657" s="6">
        <v>0.67777777777777781</v>
      </c>
      <c r="K657" s="7" t="s">
        <v>26</v>
      </c>
      <c r="L657" s="7" t="s">
        <v>14</v>
      </c>
      <c r="M657" s="7" t="s">
        <v>15</v>
      </c>
      <c r="N657" s="7">
        <f>COUNTIFS(A:A,A657,D:D,D657,E:E,I657)</f>
        <v>0</v>
      </c>
    </row>
    <row r="658" spans="1:14" x14ac:dyDescent="0.3">
      <c r="A658" s="7" t="s">
        <v>52</v>
      </c>
      <c r="B658" s="7" t="s">
        <v>53</v>
      </c>
      <c r="C658" s="7" t="s">
        <v>60</v>
      </c>
      <c r="D658" s="8">
        <v>45376</v>
      </c>
      <c r="E658" s="8" t="str">
        <f t="shared" si="39"/>
        <v>March</v>
      </c>
      <c r="F658">
        <f t="shared" si="40"/>
        <v>2024</v>
      </c>
      <c r="G658">
        <f t="shared" si="41"/>
        <v>1</v>
      </c>
      <c r="H658">
        <f t="shared" si="42"/>
        <v>1</v>
      </c>
      <c r="I658" s="6">
        <v>0.4236111111111111</v>
      </c>
      <c r="J658" s="6">
        <v>0.82152777777777775</v>
      </c>
      <c r="K658" s="7" t="s">
        <v>26</v>
      </c>
      <c r="L658" s="7" t="s">
        <v>27</v>
      </c>
      <c r="M658" s="7" t="s">
        <v>21</v>
      </c>
      <c r="N658" s="7">
        <f>COUNTIFS(A:A,A658,D:D,D658,E:E,I658)</f>
        <v>0</v>
      </c>
    </row>
    <row r="659" spans="1:14" x14ac:dyDescent="0.3">
      <c r="A659" s="7" t="s">
        <v>216</v>
      </c>
      <c r="B659" s="7" t="s">
        <v>217</v>
      </c>
      <c r="C659" s="7" t="s">
        <v>60</v>
      </c>
      <c r="D659" s="8">
        <v>45350</v>
      </c>
      <c r="E659" s="8" t="str">
        <f t="shared" si="39"/>
        <v>February</v>
      </c>
      <c r="F659">
        <f t="shared" si="40"/>
        <v>2024</v>
      </c>
      <c r="G659">
        <f t="shared" si="41"/>
        <v>0</v>
      </c>
      <c r="H659">
        <f t="shared" si="42"/>
        <v>0</v>
      </c>
      <c r="I659" s="6"/>
      <c r="J659" s="6"/>
      <c r="K659" s="7" t="s">
        <v>44</v>
      </c>
      <c r="L659" s="7" t="s">
        <v>27</v>
      </c>
      <c r="M659" s="7" t="s">
        <v>21</v>
      </c>
      <c r="N659" s="7">
        <f>COUNTIFS(A:A,A659,D:D,D659,E:E,I659)</f>
        <v>0</v>
      </c>
    </row>
    <row r="660" spans="1:14" x14ac:dyDescent="0.3">
      <c r="A660" s="7" t="s">
        <v>48</v>
      </c>
      <c r="B660" s="7" t="s">
        <v>49</v>
      </c>
      <c r="C660" s="7" t="s">
        <v>426</v>
      </c>
      <c r="D660" s="8">
        <v>45358</v>
      </c>
      <c r="E660" s="8" t="str">
        <f t="shared" si="39"/>
        <v>March</v>
      </c>
      <c r="F660">
        <f t="shared" si="40"/>
        <v>2024</v>
      </c>
      <c r="G660">
        <f t="shared" si="41"/>
        <v>1</v>
      </c>
      <c r="H660">
        <f t="shared" si="42"/>
        <v>0</v>
      </c>
      <c r="I660" s="6">
        <v>0.40416666666666667</v>
      </c>
      <c r="J660" s="6">
        <v>0.83472222222222225</v>
      </c>
      <c r="K660" s="7" t="s">
        <v>13</v>
      </c>
      <c r="L660" s="7" t="s">
        <v>14</v>
      </c>
      <c r="M660" s="7" t="s">
        <v>21</v>
      </c>
      <c r="N660" s="7">
        <f>COUNTIFS(A:A,A660,D:D,D660,E:E,I660)</f>
        <v>0</v>
      </c>
    </row>
    <row r="661" spans="1:14" x14ac:dyDescent="0.3">
      <c r="A661" s="7" t="s">
        <v>84</v>
      </c>
      <c r="B661" s="7" t="s">
        <v>85</v>
      </c>
      <c r="C661" s="7" t="s">
        <v>64</v>
      </c>
      <c r="D661" s="8">
        <v>45311</v>
      </c>
      <c r="E661" s="8" t="str">
        <f t="shared" si="39"/>
        <v>January</v>
      </c>
      <c r="F661">
        <f t="shared" si="40"/>
        <v>2024</v>
      </c>
      <c r="G661">
        <f t="shared" si="41"/>
        <v>0</v>
      </c>
      <c r="H661">
        <f t="shared" si="42"/>
        <v>0</v>
      </c>
      <c r="I661" s="6"/>
      <c r="J661" s="6"/>
      <c r="K661" s="7" t="s">
        <v>44</v>
      </c>
      <c r="L661" s="7" t="s">
        <v>27</v>
      </c>
      <c r="M661" s="7" t="s">
        <v>21</v>
      </c>
      <c r="N661" s="7">
        <f>COUNTIFS(A:A,A661,D:D,D661,E:E,I661)</f>
        <v>0</v>
      </c>
    </row>
    <row r="662" spans="1:14" x14ac:dyDescent="0.3">
      <c r="A662" s="7" t="s">
        <v>87</v>
      </c>
      <c r="B662" s="7" t="s">
        <v>88</v>
      </c>
      <c r="C662" s="7" t="s">
        <v>60</v>
      </c>
      <c r="D662" s="8">
        <v>45294</v>
      </c>
      <c r="E662" s="8" t="str">
        <f t="shared" si="39"/>
        <v>January</v>
      </c>
      <c r="F662">
        <f t="shared" si="40"/>
        <v>2024</v>
      </c>
      <c r="G662">
        <f t="shared" si="41"/>
        <v>1</v>
      </c>
      <c r="H662">
        <f t="shared" si="42"/>
        <v>1</v>
      </c>
      <c r="I662" s="6">
        <v>0.47708333333333336</v>
      </c>
      <c r="J662" s="6">
        <v>0.70208333333333328</v>
      </c>
      <c r="K662" s="7" t="s">
        <v>26</v>
      </c>
      <c r="L662" s="7" t="s">
        <v>27</v>
      </c>
      <c r="M662" s="7" t="s">
        <v>21</v>
      </c>
      <c r="N662" s="7">
        <f>COUNTIFS(A:A,A662,D:D,D662,E:E,I662)</f>
        <v>0</v>
      </c>
    </row>
    <row r="663" spans="1:14" x14ac:dyDescent="0.3">
      <c r="A663" s="7" t="s">
        <v>28</v>
      </c>
      <c r="B663" s="7" t="s">
        <v>29</v>
      </c>
      <c r="C663" s="7" t="s">
        <v>64</v>
      </c>
      <c r="D663" s="8">
        <v>45328</v>
      </c>
      <c r="E663" s="8" t="str">
        <f t="shared" si="39"/>
        <v>February</v>
      </c>
      <c r="F663">
        <f t="shared" si="40"/>
        <v>2024</v>
      </c>
      <c r="G663">
        <f t="shared" si="41"/>
        <v>1</v>
      </c>
      <c r="H663">
        <f t="shared" si="42"/>
        <v>1</v>
      </c>
      <c r="I663" s="6">
        <v>0.36944444444444446</v>
      </c>
      <c r="J663" s="6">
        <v>0.87361111111111112</v>
      </c>
      <c r="K663" s="7" t="s">
        <v>26</v>
      </c>
      <c r="L663" s="7" t="s">
        <v>27</v>
      </c>
      <c r="M663" s="7" t="s">
        <v>21</v>
      </c>
      <c r="N663" s="7">
        <f>COUNTIFS(A:A,A663,D:D,D663,E:E,I663)</f>
        <v>0</v>
      </c>
    </row>
    <row r="664" spans="1:14" x14ac:dyDescent="0.3">
      <c r="A664" s="7" t="s">
        <v>96</v>
      </c>
      <c r="B664" s="7" t="s">
        <v>97</v>
      </c>
      <c r="C664" s="7" t="s">
        <v>60</v>
      </c>
      <c r="D664" s="8">
        <v>45384</v>
      </c>
      <c r="E664" s="8" t="str">
        <f t="shared" si="39"/>
        <v>April</v>
      </c>
      <c r="F664">
        <f t="shared" si="40"/>
        <v>2024</v>
      </c>
      <c r="G664">
        <f t="shared" si="41"/>
        <v>0</v>
      </c>
      <c r="H664">
        <f t="shared" si="42"/>
        <v>0</v>
      </c>
      <c r="I664" s="6"/>
      <c r="J664" s="6"/>
      <c r="K664" s="7" t="s">
        <v>44</v>
      </c>
      <c r="L664" s="7" t="s">
        <v>27</v>
      </c>
      <c r="M664" s="7" t="s">
        <v>15</v>
      </c>
      <c r="N664" s="7">
        <f>COUNTIFS(A:A,A664,D:D,D664,E:E,I664)</f>
        <v>0</v>
      </c>
    </row>
    <row r="665" spans="1:14" x14ac:dyDescent="0.3">
      <c r="A665" s="7" t="s">
        <v>224</v>
      </c>
      <c r="B665" s="7" t="s">
        <v>225</v>
      </c>
      <c r="C665" s="7" t="s">
        <v>425</v>
      </c>
      <c r="D665" s="8">
        <v>45324</v>
      </c>
      <c r="E665" s="8" t="str">
        <f t="shared" si="39"/>
        <v>February</v>
      </c>
      <c r="F665">
        <f t="shared" si="40"/>
        <v>2024</v>
      </c>
      <c r="G665">
        <f t="shared" si="41"/>
        <v>0</v>
      </c>
      <c r="H665">
        <f t="shared" si="42"/>
        <v>0</v>
      </c>
      <c r="I665" s="6"/>
      <c r="J665" s="6"/>
      <c r="K665" s="7" t="s">
        <v>44</v>
      </c>
      <c r="L665" s="7" t="s">
        <v>27</v>
      </c>
      <c r="M665" s="7" t="s">
        <v>21</v>
      </c>
      <c r="N665" s="7">
        <f>COUNTIFS(A:A,A665,D:D,D665,E:E,I665)</f>
        <v>0</v>
      </c>
    </row>
    <row r="666" spans="1:14" x14ac:dyDescent="0.3">
      <c r="A666" s="7" t="s">
        <v>130</v>
      </c>
      <c r="B666" s="7" t="s">
        <v>131</v>
      </c>
      <c r="C666" s="7" t="s">
        <v>64</v>
      </c>
      <c r="D666" s="8">
        <v>45347</v>
      </c>
      <c r="E666" s="8" t="str">
        <f t="shared" si="39"/>
        <v>February</v>
      </c>
      <c r="F666">
        <f t="shared" si="40"/>
        <v>2024</v>
      </c>
      <c r="G666">
        <f t="shared" si="41"/>
        <v>1</v>
      </c>
      <c r="H666">
        <f t="shared" si="42"/>
        <v>0</v>
      </c>
      <c r="I666" s="6">
        <v>0.42499999999999999</v>
      </c>
      <c r="J666" s="6">
        <v>0.81944444444444442</v>
      </c>
      <c r="K666" s="7" t="s">
        <v>20</v>
      </c>
      <c r="L666" s="7" t="s">
        <v>14</v>
      </c>
      <c r="M666" s="7" t="s">
        <v>21</v>
      </c>
      <c r="N666" s="7">
        <f>COUNTIFS(A:A,A666,D:D,D666,E:E,I666)</f>
        <v>0</v>
      </c>
    </row>
    <row r="667" spans="1:14" x14ac:dyDescent="0.3">
      <c r="A667" s="7" t="s">
        <v>134</v>
      </c>
      <c r="B667" s="7" t="s">
        <v>135</v>
      </c>
      <c r="C667" s="7" t="s">
        <v>42</v>
      </c>
      <c r="D667" s="8">
        <v>45315</v>
      </c>
      <c r="E667" s="8" t="str">
        <f t="shared" si="39"/>
        <v>January</v>
      </c>
      <c r="F667">
        <f t="shared" si="40"/>
        <v>2024</v>
      </c>
      <c r="G667">
        <f t="shared" si="41"/>
        <v>1</v>
      </c>
      <c r="H667">
        <f t="shared" si="42"/>
        <v>1</v>
      </c>
      <c r="I667" s="6">
        <v>0.39930555555555558</v>
      </c>
      <c r="J667" s="6">
        <v>0.78749999999999998</v>
      </c>
      <c r="K667" s="7" t="s">
        <v>26</v>
      </c>
      <c r="L667" s="7" t="s">
        <v>27</v>
      </c>
      <c r="M667" s="7" t="s">
        <v>15</v>
      </c>
      <c r="N667" s="7">
        <f>COUNTIFS(A:A,A667,D:D,D667,E:E,I667)</f>
        <v>0</v>
      </c>
    </row>
    <row r="668" spans="1:14" x14ac:dyDescent="0.3">
      <c r="A668" s="7" t="s">
        <v>90</v>
      </c>
      <c r="B668" s="7" t="s">
        <v>91</v>
      </c>
      <c r="C668" s="7" t="s">
        <v>64</v>
      </c>
      <c r="D668" s="8">
        <v>45338</v>
      </c>
      <c r="E668" s="8" t="str">
        <f t="shared" si="39"/>
        <v>February</v>
      </c>
      <c r="F668">
        <f t="shared" si="40"/>
        <v>2024</v>
      </c>
      <c r="G668">
        <f t="shared" si="41"/>
        <v>0</v>
      </c>
      <c r="H668">
        <f t="shared" si="42"/>
        <v>0</v>
      </c>
      <c r="I668" s="6"/>
      <c r="J668" s="6"/>
      <c r="K668" s="7" t="s">
        <v>44</v>
      </c>
      <c r="L668" s="7" t="s">
        <v>14</v>
      </c>
      <c r="M668" s="7" t="s">
        <v>21</v>
      </c>
      <c r="N668" s="7">
        <f>COUNTIFS(A:A,A668,D:D,D668,E:E,I668)</f>
        <v>0</v>
      </c>
    </row>
    <row r="669" spans="1:14" x14ac:dyDescent="0.3">
      <c r="A669" s="7" t="s">
        <v>72</v>
      </c>
      <c r="B669" s="7" t="s">
        <v>73</v>
      </c>
      <c r="C669" s="7" t="s">
        <v>64</v>
      </c>
      <c r="D669" s="8">
        <v>45372</v>
      </c>
      <c r="E669" s="8" t="str">
        <f t="shared" si="39"/>
        <v>March</v>
      </c>
      <c r="F669">
        <f t="shared" si="40"/>
        <v>2024</v>
      </c>
      <c r="G669">
        <f t="shared" si="41"/>
        <v>1</v>
      </c>
      <c r="H669">
        <f t="shared" si="42"/>
        <v>1</v>
      </c>
      <c r="I669" s="6">
        <v>0.36388888888888887</v>
      </c>
      <c r="J669" s="6">
        <v>0.77569444444444446</v>
      </c>
      <c r="K669" s="7" t="s">
        <v>26</v>
      </c>
      <c r="L669" s="7" t="s">
        <v>14</v>
      </c>
      <c r="M669" s="7" t="s">
        <v>21</v>
      </c>
      <c r="N669" s="7">
        <f>COUNTIFS(A:A,A669,D:D,D669,E:E,I669)</f>
        <v>0</v>
      </c>
    </row>
    <row r="670" spans="1:14" x14ac:dyDescent="0.3">
      <c r="A670" s="7" t="s">
        <v>102</v>
      </c>
      <c r="B670" s="7" t="s">
        <v>103</v>
      </c>
      <c r="C670" s="7" t="s">
        <v>425</v>
      </c>
      <c r="D670" s="8">
        <v>45333</v>
      </c>
      <c r="E670" s="8" t="str">
        <f t="shared" si="39"/>
        <v>February</v>
      </c>
      <c r="F670">
        <f t="shared" si="40"/>
        <v>2024</v>
      </c>
      <c r="G670">
        <f t="shared" si="41"/>
        <v>1</v>
      </c>
      <c r="H670">
        <f t="shared" si="42"/>
        <v>0</v>
      </c>
      <c r="I670" s="6">
        <v>0.47569444444444442</v>
      </c>
      <c r="J670" s="6">
        <v>0.72430555555555554</v>
      </c>
      <c r="K670" s="7" t="s">
        <v>20</v>
      </c>
      <c r="L670" s="7" t="s">
        <v>14</v>
      </c>
      <c r="M670" s="7" t="s">
        <v>15</v>
      </c>
      <c r="N670" s="7">
        <f>COUNTIFS(A:A,A670,D:D,D670,E:E,I670)</f>
        <v>0</v>
      </c>
    </row>
    <row r="671" spans="1:14" x14ac:dyDescent="0.3">
      <c r="A671" s="7" t="s">
        <v>102</v>
      </c>
      <c r="B671" s="7" t="s">
        <v>103</v>
      </c>
      <c r="C671" s="7" t="s">
        <v>425</v>
      </c>
      <c r="D671" s="8">
        <v>45311</v>
      </c>
      <c r="E671" s="8" t="str">
        <f t="shared" si="39"/>
        <v>January</v>
      </c>
      <c r="F671">
        <f t="shared" si="40"/>
        <v>2024</v>
      </c>
      <c r="G671">
        <f t="shared" si="41"/>
        <v>0</v>
      </c>
      <c r="H671">
        <f t="shared" si="42"/>
        <v>0</v>
      </c>
      <c r="I671" s="6"/>
      <c r="J671" s="6"/>
      <c r="K671" s="7" t="s">
        <v>44</v>
      </c>
      <c r="L671" s="7" t="s">
        <v>27</v>
      </c>
      <c r="M671" s="7" t="s">
        <v>15</v>
      </c>
      <c r="N671" s="7">
        <f>COUNTIFS(A:A,A671,D:D,D671,E:E,I671)</f>
        <v>0</v>
      </c>
    </row>
    <row r="672" spans="1:14" x14ac:dyDescent="0.3">
      <c r="A672" s="7" t="s">
        <v>236</v>
      </c>
      <c r="B672" s="7" t="s">
        <v>237</v>
      </c>
      <c r="C672" s="7" t="s">
        <v>60</v>
      </c>
      <c r="D672" s="8">
        <v>45368</v>
      </c>
      <c r="E672" s="8" t="str">
        <f t="shared" si="39"/>
        <v>March</v>
      </c>
      <c r="F672">
        <f t="shared" si="40"/>
        <v>2024</v>
      </c>
      <c r="G672">
        <f t="shared" si="41"/>
        <v>1</v>
      </c>
      <c r="H672">
        <f t="shared" si="42"/>
        <v>1</v>
      </c>
      <c r="I672" s="6">
        <v>0.3527777777777778</v>
      </c>
      <c r="J672" s="6">
        <v>0.87361111111111112</v>
      </c>
      <c r="K672" s="7" t="s">
        <v>26</v>
      </c>
      <c r="L672" s="7" t="s">
        <v>14</v>
      </c>
      <c r="M672" s="7" t="s">
        <v>15</v>
      </c>
      <c r="N672" s="7">
        <f>COUNTIFS(A:A,A672,D:D,D672,E:E,I672)</f>
        <v>0</v>
      </c>
    </row>
    <row r="673" spans="1:14" x14ac:dyDescent="0.3">
      <c r="A673" s="7" t="s">
        <v>216</v>
      </c>
      <c r="B673" s="7" t="s">
        <v>217</v>
      </c>
      <c r="C673" s="7" t="s">
        <v>60</v>
      </c>
      <c r="D673" s="8">
        <v>45335</v>
      </c>
      <c r="E673" s="8" t="str">
        <f t="shared" si="39"/>
        <v>February</v>
      </c>
      <c r="F673">
        <f t="shared" si="40"/>
        <v>2024</v>
      </c>
      <c r="G673">
        <f t="shared" si="41"/>
        <v>1</v>
      </c>
      <c r="H673">
        <f t="shared" si="42"/>
        <v>0</v>
      </c>
      <c r="I673" s="6">
        <v>0.42499999999999999</v>
      </c>
      <c r="J673" s="6">
        <v>0.68680555555555556</v>
      </c>
      <c r="K673" s="7" t="s">
        <v>20</v>
      </c>
      <c r="L673" s="7" t="s">
        <v>14</v>
      </c>
      <c r="M673" s="7" t="s">
        <v>15</v>
      </c>
      <c r="N673" s="7">
        <f>COUNTIFS(A:A,A673,D:D,D673,E:E,I673)</f>
        <v>0</v>
      </c>
    </row>
    <row r="674" spans="1:14" x14ac:dyDescent="0.3">
      <c r="A674" s="7" t="s">
        <v>87</v>
      </c>
      <c r="B674" s="7" t="s">
        <v>88</v>
      </c>
      <c r="C674" s="7" t="s">
        <v>64</v>
      </c>
      <c r="D674" s="8">
        <v>45414</v>
      </c>
      <c r="E674" s="8" t="str">
        <f t="shared" si="39"/>
        <v>May</v>
      </c>
      <c r="F674">
        <f t="shared" si="40"/>
        <v>2024</v>
      </c>
      <c r="G674">
        <f t="shared" si="41"/>
        <v>0</v>
      </c>
      <c r="H674">
        <f t="shared" si="42"/>
        <v>0</v>
      </c>
      <c r="I674" s="6"/>
      <c r="J674" s="6"/>
      <c r="K674" s="7" t="s">
        <v>44</v>
      </c>
      <c r="L674" s="7" t="s">
        <v>27</v>
      </c>
      <c r="M674" s="7" t="s">
        <v>21</v>
      </c>
      <c r="N674" s="7">
        <f>COUNTIFS(A:A,A674,D:D,D674,E:E,I674)</f>
        <v>0</v>
      </c>
    </row>
    <row r="675" spans="1:14" x14ac:dyDescent="0.3">
      <c r="A675" s="7" t="s">
        <v>171</v>
      </c>
      <c r="B675" s="7" t="s">
        <v>172</v>
      </c>
      <c r="C675" s="7" t="s">
        <v>42</v>
      </c>
      <c r="D675" s="8">
        <v>45345</v>
      </c>
      <c r="E675" s="8" t="str">
        <f t="shared" si="39"/>
        <v>February</v>
      </c>
      <c r="F675">
        <f t="shared" si="40"/>
        <v>2024</v>
      </c>
      <c r="G675">
        <f t="shared" si="41"/>
        <v>1</v>
      </c>
      <c r="H675">
        <f t="shared" si="42"/>
        <v>1</v>
      </c>
      <c r="I675" s="6">
        <v>0.42499999999999999</v>
      </c>
      <c r="J675" s="6">
        <v>0.76111111111111107</v>
      </c>
      <c r="K675" s="7" t="s">
        <v>26</v>
      </c>
      <c r="L675" s="7" t="s">
        <v>27</v>
      </c>
      <c r="M675" s="7" t="s">
        <v>21</v>
      </c>
      <c r="N675" s="7">
        <f>COUNTIFS(A:A,A675,D:D,D675,E:E,I675)</f>
        <v>0</v>
      </c>
    </row>
    <row r="676" spans="1:14" x14ac:dyDescent="0.3">
      <c r="A676" s="7" t="s">
        <v>72</v>
      </c>
      <c r="B676" s="7" t="s">
        <v>73</v>
      </c>
      <c r="C676" s="7" t="s">
        <v>42</v>
      </c>
      <c r="D676" s="8">
        <v>45310</v>
      </c>
      <c r="E676" s="8" t="str">
        <f t="shared" si="39"/>
        <v>January</v>
      </c>
      <c r="F676">
        <f t="shared" si="40"/>
        <v>2024</v>
      </c>
      <c r="G676">
        <f t="shared" si="41"/>
        <v>0</v>
      </c>
      <c r="H676">
        <f t="shared" si="42"/>
        <v>0</v>
      </c>
      <c r="I676" s="6"/>
      <c r="J676" s="6"/>
      <c r="K676" s="7" t="s">
        <v>44</v>
      </c>
      <c r="L676" s="7" t="s">
        <v>27</v>
      </c>
      <c r="M676" s="7" t="s">
        <v>15</v>
      </c>
      <c r="N676" s="7">
        <f>COUNTIFS(A:A,A676,D:D,D676,E:E,I676)</f>
        <v>0</v>
      </c>
    </row>
    <row r="677" spans="1:14" x14ac:dyDescent="0.3">
      <c r="A677" s="7" t="s">
        <v>141</v>
      </c>
      <c r="B677" s="7" t="s">
        <v>142</v>
      </c>
      <c r="C677" s="7" t="s">
        <v>425</v>
      </c>
      <c r="D677" s="8">
        <v>45347</v>
      </c>
      <c r="E677" s="8" t="str">
        <f t="shared" si="39"/>
        <v>February</v>
      </c>
      <c r="F677">
        <f t="shared" si="40"/>
        <v>2024</v>
      </c>
      <c r="G677">
        <f t="shared" si="41"/>
        <v>0</v>
      </c>
      <c r="H677">
        <f t="shared" si="42"/>
        <v>0</v>
      </c>
      <c r="I677" s="6"/>
      <c r="J677" s="6"/>
      <c r="K677" s="7" t="s">
        <v>44</v>
      </c>
      <c r="L677" s="7" t="s">
        <v>27</v>
      </c>
      <c r="M677" s="7" t="s">
        <v>21</v>
      </c>
      <c r="N677" s="7">
        <f>COUNTIFS(A:A,A677,D:D,D677,E:E,I677)</f>
        <v>0</v>
      </c>
    </row>
    <row r="678" spans="1:14" x14ac:dyDescent="0.3">
      <c r="A678" s="7" t="s">
        <v>72</v>
      </c>
      <c r="B678" s="7" t="s">
        <v>73</v>
      </c>
      <c r="C678" s="7" t="s">
        <v>42</v>
      </c>
      <c r="D678" s="8">
        <v>45372</v>
      </c>
      <c r="E678" s="8" t="str">
        <f t="shared" si="39"/>
        <v>March</v>
      </c>
      <c r="F678">
        <f t="shared" si="40"/>
        <v>2024</v>
      </c>
      <c r="G678">
        <f t="shared" si="41"/>
        <v>0</v>
      </c>
      <c r="H678">
        <f t="shared" si="42"/>
        <v>0</v>
      </c>
      <c r="I678" s="6"/>
      <c r="J678" s="6"/>
      <c r="K678" s="7" t="s">
        <v>44</v>
      </c>
      <c r="L678" s="7" t="s">
        <v>27</v>
      </c>
      <c r="M678" s="7" t="s">
        <v>15</v>
      </c>
      <c r="N678" s="7">
        <f>COUNTIFS(A:A,A678,D:D,D678,E:E,I678)</f>
        <v>0</v>
      </c>
    </row>
    <row r="679" spans="1:14" x14ac:dyDescent="0.3">
      <c r="A679" s="7" t="s">
        <v>75</v>
      </c>
      <c r="B679" s="7" t="s">
        <v>76</v>
      </c>
      <c r="C679" s="7" t="s">
        <v>426</v>
      </c>
      <c r="D679" s="8">
        <v>45305</v>
      </c>
      <c r="E679" s="8" t="str">
        <f t="shared" si="39"/>
        <v>January</v>
      </c>
      <c r="F679">
        <f t="shared" si="40"/>
        <v>2024</v>
      </c>
      <c r="G679">
        <f t="shared" si="41"/>
        <v>1</v>
      </c>
      <c r="H679">
        <f t="shared" si="42"/>
        <v>0</v>
      </c>
      <c r="I679" s="6">
        <v>0.45</v>
      </c>
      <c r="J679" s="6">
        <v>0.72777777777777775</v>
      </c>
      <c r="K679" s="7" t="s">
        <v>20</v>
      </c>
      <c r="L679" s="7" t="s">
        <v>27</v>
      </c>
      <c r="M679" s="7" t="s">
        <v>21</v>
      </c>
      <c r="N679" s="7">
        <f>COUNTIFS(A:A,A679,D:D,D679,E:E,I679)</f>
        <v>0</v>
      </c>
    </row>
    <row r="680" spans="1:14" x14ac:dyDescent="0.3">
      <c r="A680" s="7" t="s">
        <v>146</v>
      </c>
      <c r="B680" s="7" t="s">
        <v>147</v>
      </c>
      <c r="C680" s="7" t="s">
        <v>42</v>
      </c>
      <c r="D680" s="8">
        <v>45506</v>
      </c>
      <c r="E680" s="8" t="str">
        <f t="shared" si="39"/>
        <v>August</v>
      </c>
      <c r="F680">
        <f t="shared" si="40"/>
        <v>2024</v>
      </c>
      <c r="G680">
        <f t="shared" si="41"/>
        <v>1</v>
      </c>
      <c r="H680">
        <f t="shared" si="42"/>
        <v>0</v>
      </c>
      <c r="I680" s="6">
        <v>0.34166666666666667</v>
      </c>
      <c r="J680" s="6">
        <v>0.7104166666666667</v>
      </c>
      <c r="K680" s="7" t="s">
        <v>20</v>
      </c>
      <c r="L680" s="7" t="s">
        <v>14</v>
      </c>
      <c r="M680" s="7" t="s">
        <v>15</v>
      </c>
      <c r="N680" s="7">
        <f>COUNTIFS(A:A,A680,D:D,D680,E:E,I680)</f>
        <v>0</v>
      </c>
    </row>
    <row r="681" spans="1:14" x14ac:dyDescent="0.3">
      <c r="A681" s="7" t="s">
        <v>236</v>
      </c>
      <c r="B681" s="7" t="s">
        <v>237</v>
      </c>
      <c r="C681" s="7" t="s">
        <v>425</v>
      </c>
      <c r="D681" s="8">
        <v>45324</v>
      </c>
      <c r="E681" s="8" t="str">
        <f t="shared" si="39"/>
        <v>February</v>
      </c>
      <c r="F681">
        <f t="shared" si="40"/>
        <v>2024</v>
      </c>
      <c r="G681">
        <f t="shared" si="41"/>
        <v>0</v>
      </c>
      <c r="H681">
        <f t="shared" si="42"/>
        <v>0</v>
      </c>
      <c r="I681" s="6"/>
      <c r="J681" s="6"/>
      <c r="K681" s="7" t="s">
        <v>44</v>
      </c>
      <c r="L681" s="7" t="s">
        <v>27</v>
      </c>
      <c r="M681" s="7" t="s">
        <v>21</v>
      </c>
      <c r="N681" s="7">
        <f>COUNTIFS(A:A,A681,D:D,D681,E:E,I681)</f>
        <v>0</v>
      </c>
    </row>
    <row r="682" spans="1:14" x14ac:dyDescent="0.3">
      <c r="A682" s="7" t="s">
        <v>130</v>
      </c>
      <c r="B682" s="7" t="s">
        <v>131</v>
      </c>
      <c r="C682" s="7" t="s">
        <v>425</v>
      </c>
      <c r="D682" s="8">
        <v>45374</v>
      </c>
      <c r="E682" s="8" t="str">
        <f t="shared" si="39"/>
        <v>March</v>
      </c>
      <c r="F682">
        <f t="shared" si="40"/>
        <v>2024</v>
      </c>
      <c r="G682">
        <f t="shared" si="41"/>
        <v>1</v>
      </c>
      <c r="H682">
        <f t="shared" si="42"/>
        <v>0</v>
      </c>
      <c r="I682" s="6">
        <v>0.42222222222222222</v>
      </c>
      <c r="J682" s="6">
        <v>0.75902777777777775</v>
      </c>
      <c r="K682" s="7" t="s">
        <v>20</v>
      </c>
      <c r="L682" s="7" t="s">
        <v>14</v>
      </c>
      <c r="M682" s="7" t="s">
        <v>21</v>
      </c>
      <c r="N682" s="7">
        <f>COUNTIFS(A:A,A682,D:D,D682,E:E,I682)</f>
        <v>0</v>
      </c>
    </row>
    <row r="683" spans="1:14" x14ac:dyDescent="0.3">
      <c r="A683" s="7" t="s">
        <v>154</v>
      </c>
      <c r="B683" s="7" t="s">
        <v>155</v>
      </c>
      <c r="C683" s="7" t="s">
        <v>425</v>
      </c>
      <c r="D683" s="8">
        <v>45347</v>
      </c>
      <c r="E683" s="8" t="str">
        <f t="shared" si="39"/>
        <v>February</v>
      </c>
      <c r="F683">
        <f t="shared" si="40"/>
        <v>2024</v>
      </c>
      <c r="G683">
        <f t="shared" si="41"/>
        <v>0</v>
      </c>
      <c r="H683">
        <f t="shared" si="42"/>
        <v>0</v>
      </c>
      <c r="I683" s="6"/>
      <c r="J683" s="6"/>
      <c r="K683" s="7" t="s">
        <v>44</v>
      </c>
      <c r="L683" s="7" t="s">
        <v>27</v>
      </c>
      <c r="M683" s="7" t="s">
        <v>15</v>
      </c>
      <c r="N683" s="7">
        <f>COUNTIFS(A:A,A683,D:D,D683,E:E,I683)</f>
        <v>0</v>
      </c>
    </row>
    <row r="684" spans="1:14" x14ac:dyDescent="0.3">
      <c r="A684" s="7" t="s">
        <v>200</v>
      </c>
      <c r="B684" s="7" t="s">
        <v>201</v>
      </c>
      <c r="C684" s="7" t="s">
        <v>425</v>
      </c>
      <c r="D684" s="8">
        <v>45311</v>
      </c>
      <c r="E684" s="8" t="str">
        <f t="shared" si="39"/>
        <v>January</v>
      </c>
      <c r="F684">
        <f t="shared" si="40"/>
        <v>2024</v>
      </c>
      <c r="G684">
        <f t="shared" si="41"/>
        <v>0</v>
      </c>
      <c r="H684">
        <f t="shared" si="42"/>
        <v>0</v>
      </c>
      <c r="I684" s="6"/>
      <c r="J684" s="6"/>
      <c r="K684" s="7" t="s">
        <v>44</v>
      </c>
      <c r="L684" s="7" t="s">
        <v>14</v>
      </c>
      <c r="M684" s="7" t="s">
        <v>15</v>
      </c>
      <c r="N684" s="7">
        <f>COUNTIFS(A:A,A684,D:D,D684,E:E,I684)</f>
        <v>0</v>
      </c>
    </row>
    <row r="685" spans="1:14" x14ac:dyDescent="0.3">
      <c r="A685" s="7" t="s">
        <v>146</v>
      </c>
      <c r="B685" s="7" t="s">
        <v>147</v>
      </c>
      <c r="C685" s="7" t="s">
        <v>425</v>
      </c>
      <c r="D685" s="8">
        <v>45338</v>
      </c>
      <c r="E685" s="8" t="str">
        <f t="shared" si="39"/>
        <v>February</v>
      </c>
      <c r="F685">
        <f t="shared" si="40"/>
        <v>2024</v>
      </c>
      <c r="G685">
        <f t="shared" si="41"/>
        <v>1</v>
      </c>
      <c r="H685">
        <f t="shared" si="42"/>
        <v>0</v>
      </c>
      <c r="I685" s="6">
        <v>0.46736111111111112</v>
      </c>
      <c r="J685" s="6">
        <v>0.71944444444444444</v>
      </c>
      <c r="K685" s="7" t="s">
        <v>20</v>
      </c>
      <c r="L685" s="7" t="s">
        <v>14</v>
      </c>
      <c r="M685" s="7" t="s">
        <v>15</v>
      </c>
      <c r="N685" s="7">
        <f>COUNTIFS(A:A,A685,D:D,D685,E:E,I685)</f>
        <v>0</v>
      </c>
    </row>
    <row r="686" spans="1:14" x14ac:dyDescent="0.3">
      <c r="A686" s="7" t="s">
        <v>191</v>
      </c>
      <c r="B686" s="7" t="s">
        <v>192</v>
      </c>
      <c r="C686" s="7" t="s">
        <v>426</v>
      </c>
      <c r="D686" s="8">
        <v>45350</v>
      </c>
      <c r="E686" s="8" t="str">
        <f t="shared" si="39"/>
        <v>February</v>
      </c>
      <c r="F686">
        <f t="shared" si="40"/>
        <v>2024</v>
      </c>
      <c r="G686">
        <f t="shared" si="41"/>
        <v>1</v>
      </c>
      <c r="H686">
        <f t="shared" si="42"/>
        <v>1</v>
      </c>
      <c r="I686" s="6">
        <v>0.43611111111111112</v>
      </c>
      <c r="J686" s="6">
        <v>0.83611111111111114</v>
      </c>
      <c r="K686" s="7" t="s">
        <v>26</v>
      </c>
      <c r="L686" s="7" t="s">
        <v>14</v>
      </c>
      <c r="M686" s="7" t="s">
        <v>21</v>
      </c>
      <c r="N686" s="7">
        <f>COUNTIFS(A:A,A686,D:D,D686,E:E,I686)</f>
        <v>0</v>
      </c>
    </row>
    <row r="687" spans="1:14" x14ac:dyDescent="0.3">
      <c r="A687" s="7" t="s">
        <v>16</v>
      </c>
      <c r="B687" s="7" t="s">
        <v>17</v>
      </c>
      <c r="C687" s="7" t="s">
        <v>60</v>
      </c>
      <c r="D687" s="8">
        <v>45348</v>
      </c>
      <c r="E687" s="8" t="str">
        <f t="shared" si="39"/>
        <v>February</v>
      </c>
      <c r="F687">
        <f t="shared" si="40"/>
        <v>2024</v>
      </c>
      <c r="G687">
        <f t="shared" si="41"/>
        <v>1</v>
      </c>
      <c r="H687">
        <f t="shared" si="42"/>
        <v>1</v>
      </c>
      <c r="I687" s="6">
        <v>0.44027777777777777</v>
      </c>
      <c r="J687" s="6">
        <v>0.70833333333333337</v>
      </c>
      <c r="K687" s="7" t="s">
        <v>26</v>
      </c>
      <c r="L687" s="7" t="s">
        <v>27</v>
      </c>
      <c r="M687" s="7" t="s">
        <v>15</v>
      </c>
      <c r="N687" s="7">
        <f>COUNTIFS(A:A,A687,D:D,D687,E:E,I687)</f>
        <v>0</v>
      </c>
    </row>
    <row r="688" spans="1:14" x14ac:dyDescent="0.3">
      <c r="A688" s="7" t="s">
        <v>200</v>
      </c>
      <c r="B688" s="7" t="s">
        <v>201</v>
      </c>
      <c r="C688" s="7" t="s">
        <v>60</v>
      </c>
      <c r="D688" s="8">
        <v>45311</v>
      </c>
      <c r="E688" s="8" t="str">
        <f t="shared" si="39"/>
        <v>January</v>
      </c>
      <c r="F688">
        <f t="shared" si="40"/>
        <v>2024</v>
      </c>
      <c r="G688">
        <f t="shared" si="41"/>
        <v>1</v>
      </c>
      <c r="H688">
        <f t="shared" si="42"/>
        <v>0</v>
      </c>
      <c r="I688" s="6">
        <v>0.34444444444444444</v>
      </c>
      <c r="J688" s="6">
        <v>0.6791666666666667</v>
      </c>
      <c r="K688" s="7" t="s">
        <v>13</v>
      </c>
      <c r="L688" s="7" t="s">
        <v>27</v>
      </c>
      <c r="M688" s="7" t="s">
        <v>21</v>
      </c>
      <c r="N688" s="7">
        <f>COUNTIFS(A:A,A688,D:D,D688,E:E,I688)</f>
        <v>0</v>
      </c>
    </row>
    <row r="689" spans="1:14" x14ac:dyDescent="0.3">
      <c r="A689" s="7" t="s">
        <v>213</v>
      </c>
      <c r="B689" s="7" t="s">
        <v>214</v>
      </c>
      <c r="C689" s="7" t="s">
        <v>60</v>
      </c>
      <c r="D689" s="8">
        <v>45334</v>
      </c>
      <c r="E689" s="8" t="str">
        <f t="shared" si="39"/>
        <v>February</v>
      </c>
      <c r="F689">
        <f t="shared" si="40"/>
        <v>2024</v>
      </c>
      <c r="G689">
        <f t="shared" si="41"/>
        <v>1</v>
      </c>
      <c r="H689">
        <f t="shared" si="42"/>
        <v>0</v>
      </c>
      <c r="I689" s="6">
        <v>0.43541666666666667</v>
      </c>
      <c r="J689" s="6">
        <v>0.82430555555555551</v>
      </c>
      <c r="K689" s="7" t="s">
        <v>20</v>
      </c>
      <c r="L689" s="7" t="s">
        <v>27</v>
      </c>
      <c r="M689" s="7" t="s">
        <v>21</v>
      </c>
      <c r="N689" s="7">
        <f>COUNTIFS(A:A,A689,D:D,D689,E:E,I689)</f>
        <v>0</v>
      </c>
    </row>
    <row r="690" spans="1:14" x14ac:dyDescent="0.3">
      <c r="A690" s="7" t="s">
        <v>37</v>
      </c>
      <c r="B690" s="7" t="s">
        <v>38</v>
      </c>
      <c r="C690" s="7" t="s">
        <v>42</v>
      </c>
      <c r="D690" s="8">
        <v>45375</v>
      </c>
      <c r="E690" s="8" t="str">
        <f t="shared" si="39"/>
        <v>March</v>
      </c>
      <c r="F690">
        <f t="shared" si="40"/>
        <v>2024</v>
      </c>
      <c r="G690">
        <f t="shared" si="41"/>
        <v>1</v>
      </c>
      <c r="H690">
        <f t="shared" si="42"/>
        <v>1</v>
      </c>
      <c r="I690" s="6">
        <v>0.46527777777777779</v>
      </c>
      <c r="J690" s="6">
        <v>0.81319444444444444</v>
      </c>
      <c r="K690" s="7" t="s">
        <v>26</v>
      </c>
      <c r="L690" s="7" t="s">
        <v>14</v>
      </c>
      <c r="M690" s="7" t="s">
        <v>21</v>
      </c>
      <c r="N690" s="7">
        <f>COUNTIFS(A:A,A690,D:D,D690,E:E,I690)</f>
        <v>0</v>
      </c>
    </row>
    <row r="691" spans="1:14" x14ac:dyDescent="0.3">
      <c r="A691" s="7" t="s">
        <v>157</v>
      </c>
      <c r="B691" s="7" t="s">
        <v>158</v>
      </c>
      <c r="C691" s="7" t="s">
        <v>425</v>
      </c>
      <c r="D691" s="8">
        <v>45354</v>
      </c>
      <c r="E691" s="8" t="str">
        <f t="shared" si="39"/>
        <v>March</v>
      </c>
      <c r="F691">
        <f t="shared" si="40"/>
        <v>2024</v>
      </c>
      <c r="G691">
        <f t="shared" si="41"/>
        <v>1</v>
      </c>
      <c r="H691">
        <f t="shared" si="42"/>
        <v>0</v>
      </c>
      <c r="I691" s="6">
        <v>0.38124999999999998</v>
      </c>
      <c r="J691" s="6">
        <v>0.77847222222222223</v>
      </c>
      <c r="K691" s="7" t="s">
        <v>20</v>
      </c>
      <c r="L691" s="7" t="s">
        <v>27</v>
      </c>
      <c r="M691" s="7" t="s">
        <v>21</v>
      </c>
      <c r="N691" s="7">
        <f>COUNTIFS(A:A,A691,D:D,D691,E:E,I691)</f>
        <v>0</v>
      </c>
    </row>
    <row r="692" spans="1:14" x14ac:dyDescent="0.3">
      <c r="A692" s="7" t="s">
        <v>191</v>
      </c>
      <c r="B692" s="7" t="s">
        <v>192</v>
      </c>
      <c r="C692" s="7" t="s">
        <v>64</v>
      </c>
      <c r="D692" s="8">
        <v>45347</v>
      </c>
      <c r="E692" s="8" t="str">
        <f t="shared" si="39"/>
        <v>February</v>
      </c>
      <c r="F692">
        <f t="shared" si="40"/>
        <v>2024</v>
      </c>
      <c r="G692">
        <f t="shared" si="41"/>
        <v>1</v>
      </c>
      <c r="H692">
        <f t="shared" si="42"/>
        <v>0</v>
      </c>
      <c r="I692" s="6">
        <v>0.43472222222222223</v>
      </c>
      <c r="J692" s="6">
        <v>0.73750000000000004</v>
      </c>
      <c r="K692" s="7" t="s">
        <v>20</v>
      </c>
      <c r="L692" s="7" t="s">
        <v>27</v>
      </c>
      <c r="M692" s="7" t="s">
        <v>15</v>
      </c>
      <c r="N692" s="7">
        <f>COUNTIFS(A:A,A692,D:D,D692,E:E,I692)</f>
        <v>0</v>
      </c>
    </row>
    <row r="693" spans="1:14" x14ac:dyDescent="0.3">
      <c r="A693" s="7" t="s">
        <v>150</v>
      </c>
      <c r="B693" s="7" t="s">
        <v>151</v>
      </c>
      <c r="C693" s="7" t="s">
        <v>60</v>
      </c>
      <c r="D693" s="8">
        <v>45316</v>
      </c>
      <c r="E693" s="8" t="str">
        <f t="shared" si="39"/>
        <v>January</v>
      </c>
      <c r="F693">
        <f t="shared" si="40"/>
        <v>2024</v>
      </c>
      <c r="G693">
        <f t="shared" si="41"/>
        <v>1</v>
      </c>
      <c r="H693">
        <f t="shared" si="42"/>
        <v>0</v>
      </c>
      <c r="I693" s="6">
        <v>0.33541666666666664</v>
      </c>
      <c r="J693" s="6">
        <v>0.73819444444444449</v>
      </c>
      <c r="K693" s="7" t="s">
        <v>20</v>
      </c>
      <c r="L693" s="7" t="s">
        <v>14</v>
      </c>
      <c r="M693" s="7" t="s">
        <v>15</v>
      </c>
      <c r="N693" s="7">
        <f>COUNTIFS(A:A,A693,D:D,D693,E:E,I693)</f>
        <v>0</v>
      </c>
    </row>
    <row r="694" spans="1:14" x14ac:dyDescent="0.3">
      <c r="A694" s="7" t="s">
        <v>31</v>
      </c>
      <c r="B694" s="7" t="s">
        <v>32</v>
      </c>
      <c r="C694" s="7" t="s">
        <v>42</v>
      </c>
      <c r="D694" s="8">
        <v>45343</v>
      </c>
      <c r="E694" s="8" t="str">
        <f t="shared" si="39"/>
        <v>February</v>
      </c>
      <c r="F694">
        <f t="shared" si="40"/>
        <v>2024</v>
      </c>
      <c r="G694">
        <f t="shared" si="41"/>
        <v>1</v>
      </c>
      <c r="H694">
        <f t="shared" si="42"/>
        <v>1</v>
      </c>
      <c r="I694" s="6">
        <v>0.46805555555555556</v>
      </c>
      <c r="J694" s="6">
        <v>0.82291666666666663</v>
      </c>
      <c r="K694" s="7" t="s">
        <v>26</v>
      </c>
      <c r="L694" s="7" t="s">
        <v>14</v>
      </c>
      <c r="M694" s="7" t="s">
        <v>15</v>
      </c>
      <c r="N694" s="7">
        <f>COUNTIFS(A:A,A694,D:D,D694,E:E,I694)</f>
        <v>0</v>
      </c>
    </row>
    <row r="695" spans="1:14" x14ac:dyDescent="0.3">
      <c r="A695" s="7" t="s">
        <v>31</v>
      </c>
      <c r="B695" s="7" t="s">
        <v>32</v>
      </c>
      <c r="C695" s="7" t="s">
        <v>60</v>
      </c>
      <c r="D695" s="8">
        <v>45325</v>
      </c>
      <c r="E695" s="8" t="str">
        <f t="shared" si="39"/>
        <v>February</v>
      </c>
      <c r="F695">
        <f t="shared" si="40"/>
        <v>2024</v>
      </c>
      <c r="G695">
        <f t="shared" si="41"/>
        <v>1</v>
      </c>
      <c r="H695">
        <f t="shared" si="42"/>
        <v>0</v>
      </c>
      <c r="I695" s="6">
        <v>0.44236111111111109</v>
      </c>
      <c r="J695" s="6">
        <v>0.70833333333333337</v>
      </c>
      <c r="K695" s="7" t="s">
        <v>13</v>
      </c>
      <c r="L695" s="7" t="s">
        <v>27</v>
      </c>
      <c r="M695" s="7" t="s">
        <v>21</v>
      </c>
      <c r="N695" s="7">
        <f>COUNTIFS(A:A,A695,D:D,D695,E:E,I695)</f>
        <v>0</v>
      </c>
    </row>
    <row r="696" spans="1:14" x14ac:dyDescent="0.3">
      <c r="A696" s="7" t="s">
        <v>75</v>
      </c>
      <c r="B696" s="7" t="s">
        <v>76</v>
      </c>
      <c r="C696" s="7" t="s">
        <v>42</v>
      </c>
      <c r="D696" s="8">
        <v>45306</v>
      </c>
      <c r="E696" s="8" t="str">
        <f t="shared" si="39"/>
        <v>January</v>
      </c>
      <c r="F696">
        <f t="shared" si="40"/>
        <v>2024</v>
      </c>
      <c r="G696">
        <f t="shared" si="41"/>
        <v>1</v>
      </c>
      <c r="H696">
        <f t="shared" si="42"/>
        <v>1</v>
      </c>
      <c r="I696" s="6">
        <v>0.3347222222222222</v>
      </c>
      <c r="J696" s="6">
        <v>0.68888888888888888</v>
      </c>
      <c r="K696" s="7" t="s">
        <v>26</v>
      </c>
      <c r="L696" s="7" t="s">
        <v>27</v>
      </c>
      <c r="M696" s="7" t="s">
        <v>15</v>
      </c>
      <c r="N696" s="7">
        <f>COUNTIFS(A:A,A696,D:D,D696,E:E,I696)</f>
        <v>0</v>
      </c>
    </row>
    <row r="697" spans="1:14" x14ac:dyDescent="0.3">
      <c r="A697" s="7" t="s">
        <v>72</v>
      </c>
      <c r="B697" s="7" t="s">
        <v>73</v>
      </c>
      <c r="C697" s="7" t="s">
        <v>64</v>
      </c>
      <c r="D697" s="8">
        <v>45362</v>
      </c>
      <c r="E697" s="8" t="str">
        <f t="shared" si="39"/>
        <v>March</v>
      </c>
      <c r="F697">
        <f t="shared" si="40"/>
        <v>2024</v>
      </c>
      <c r="G697">
        <f t="shared" si="41"/>
        <v>1</v>
      </c>
      <c r="H697">
        <f t="shared" si="42"/>
        <v>1</v>
      </c>
      <c r="I697" s="6">
        <v>0.46597222222222223</v>
      </c>
      <c r="J697" s="6">
        <v>0.77916666666666667</v>
      </c>
      <c r="K697" s="7" t="s">
        <v>26</v>
      </c>
      <c r="L697" s="7" t="s">
        <v>27</v>
      </c>
      <c r="M697" s="7" t="s">
        <v>21</v>
      </c>
      <c r="N697" s="7">
        <f>COUNTIFS(A:A,A697,D:D,D697,E:E,I697)</f>
        <v>0</v>
      </c>
    </row>
    <row r="698" spans="1:14" x14ac:dyDescent="0.3">
      <c r="A698" s="7" t="s">
        <v>291</v>
      </c>
      <c r="B698" s="7" t="s">
        <v>292</v>
      </c>
      <c r="C698" s="7" t="s">
        <v>425</v>
      </c>
      <c r="D698" s="8">
        <v>45347</v>
      </c>
      <c r="E698" s="8" t="str">
        <f t="shared" si="39"/>
        <v>February</v>
      </c>
      <c r="F698">
        <f t="shared" si="40"/>
        <v>2024</v>
      </c>
      <c r="G698">
        <f t="shared" si="41"/>
        <v>1</v>
      </c>
      <c r="H698">
        <f t="shared" si="42"/>
        <v>0</v>
      </c>
      <c r="I698" s="6">
        <v>0.34930555555555554</v>
      </c>
      <c r="J698" s="6">
        <v>0.80208333333333337</v>
      </c>
      <c r="K698" s="7" t="s">
        <v>20</v>
      </c>
      <c r="L698" s="7" t="s">
        <v>27</v>
      </c>
      <c r="M698" s="7" t="s">
        <v>15</v>
      </c>
      <c r="N698" s="7">
        <f>COUNTIFS(A:A,A698,D:D,D698,E:E,I698)</f>
        <v>0</v>
      </c>
    </row>
    <row r="699" spans="1:14" x14ac:dyDescent="0.3">
      <c r="A699" s="7" t="s">
        <v>9</v>
      </c>
      <c r="B699" s="7" t="s">
        <v>10</v>
      </c>
      <c r="C699" s="7" t="s">
        <v>42</v>
      </c>
      <c r="D699" s="8">
        <v>45343</v>
      </c>
      <c r="E699" s="8" t="str">
        <f t="shared" si="39"/>
        <v>February</v>
      </c>
      <c r="F699">
        <f t="shared" si="40"/>
        <v>2024</v>
      </c>
      <c r="G699">
        <f t="shared" si="41"/>
        <v>1</v>
      </c>
      <c r="H699">
        <f t="shared" si="42"/>
        <v>1</v>
      </c>
      <c r="I699" s="6">
        <v>0.375</v>
      </c>
      <c r="J699" s="6">
        <v>0.87291666666666667</v>
      </c>
      <c r="K699" s="7" t="s">
        <v>26</v>
      </c>
      <c r="L699" s="7" t="s">
        <v>14</v>
      </c>
      <c r="M699" s="7" t="s">
        <v>21</v>
      </c>
      <c r="N699" s="7">
        <f>COUNTIFS(A:A,A699,D:D,D699,E:E,I699)</f>
        <v>0</v>
      </c>
    </row>
    <row r="700" spans="1:14" x14ac:dyDescent="0.3">
      <c r="A700" s="7" t="s">
        <v>55</v>
      </c>
      <c r="B700" s="7" t="s">
        <v>56</v>
      </c>
      <c r="C700" s="7" t="s">
        <v>42</v>
      </c>
      <c r="D700" s="8">
        <v>45364</v>
      </c>
      <c r="E700" s="8" t="str">
        <f t="shared" si="39"/>
        <v>March</v>
      </c>
      <c r="F700">
        <f t="shared" si="40"/>
        <v>2024</v>
      </c>
      <c r="G700">
        <f t="shared" si="41"/>
        <v>1</v>
      </c>
      <c r="H700">
        <f t="shared" si="42"/>
        <v>0</v>
      </c>
      <c r="I700" s="6">
        <v>0.44374999999999998</v>
      </c>
      <c r="J700" s="6">
        <v>0.86250000000000004</v>
      </c>
      <c r="K700" s="7" t="s">
        <v>20</v>
      </c>
      <c r="L700" s="7" t="s">
        <v>27</v>
      </c>
      <c r="M700" s="7" t="s">
        <v>21</v>
      </c>
      <c r="N700" s="7">
        <f>COUNTIFS(A:A,A700,D:D,D700,E:E,I700)</f>
        <v>0</v>
      </c>
    </row>
    <row r="701" spans="1:14" x14ac:dyDescent="0.3">
      <c r="A701" s="7" t="s">
        <v>157</v>
      </c>
      <c r="B701" s="7" t="s">
        <v>158</v>
      </c>
      <c r="C701" s="7" t="s">
        <v>60</v>
      </c>
      <c r="D701" s="8">
        <v>45377</v>
      </c>
      <c r="E701" s="8" t="str">
        <f t="shared" si="39"/>
        <v>March</v>
      </c>
      <c r="F701">
        <f t="shared" si="40"/>
        <v>2024</v>
      </c>
      <c r="G701">
        <f t="shared" si="41"/>
        <v>1</v>
      </c>
      <c r="H701">
        <f t="shared" si="42"/>
        <v>0</v>
      </c>
      <c r="I701" s="6">
        <v>0.34722222222222221</v>
      </c>
      <c r="J701" s="6">
        <v>0.70208333333333328</v>
      </c>
      <c r="K701" s="7" t="s">
        <v>13</v>
      </c>
      <c r="L701" s="7" t="s">
        <v>27</v>
      </c>
      <c r="M701" s="7" t="s">
        <v>21</v>
      </c>
      <c r="N701" s="7">
        <f>COUNTIFS(A:A,A701,D:D,D701,E:E,I701)</f>
        <v>0</v>
      </c>
    </row>
    <row r="702" spans="1:14" x14ac:dyDescent="0.3">
      <c r="A702" s="7" t="s">
        <v>224</v>
      </c>
      <c r="B702" s="7" t="s">
        <v>225</v>
      </c>
      <c r="C702" s="7" t="s">
        <v>426</v>
      </c>
      <c r="D702" s="8">
        <v>45315</v>
      </c>
      <c r="E702" s="8" t="str">
        <f t="shared" si="39"/>
        <v>January</v>
      </c>
      <c r="F702">
        <f t="shared" si="40"/>
        <v>2024</v>
      </c>
      <c r="G702">
        <f t="shared" si="41"/>
        <v>1</v>
      </c>
      <c r="H702">
        <f t="shared" si="42"/>
        <v>0</v>
      </c>
      <c r="I702" s="6">
        <v>0.38958333333333334</v>
      </c>
      <c r="J702" s="6">
        <v>0.78819444444444442</v>
      </c>
      <c r="K702" s="7" t="s">
        <v>13</v>
      </c>
      <c r="L702" s="7" t="s">
        <v>14</v>
      </c>
      <c r="M702" s="7" t="s">
        <v>21</v>
      </c>
      <c r="N702" s="7">
        <f>COUNTIFS(A:A,A702,D:D,D702,E:E,I702)</f>
        <v>0</v>
      </c>
    </row>
    <row r="703" spans="1:14" x14ac:dyDescent="0.3">
      <c r="A703" s="7" t="s">
        <v>96</v>
      </c>
      <c r="B703" s="7" t="s">
        <v>97</v>
      </c>
      <c r="C703" s="7" t="s">
        <v>42</v>
      </c>
      <c r="D703" s="8">
        <v>45362</v>
      </c>
      <c r="E703" s="8" t="str">
        <f t="shared" si="39"/>
        <v>March</v>
      </c>
      <c r="F703">
        <f t="shared" si="40"/>
        <v>2024</v>
      </c>
      <c r="G703">
        <f t="shared" si="41"/>
        <v>0</v>
      </c>
      <c r="H703">
        <f t="shared" si="42"/>
        <v>0</v>
      </c>
      <c r="I703" s="6"/>
      <c r="J703" s="6"/>
      <c r="K703" s="7" t="s">
        <v>44</v>
      </c>
      <c r="L703" s="7" t="s">
        <v>14</v>
      </c>
      <c r="M703" s="7" t="s">
        <v>15</v>
      </c>
      <c r="N703" s="7">
        <f>COUNTIFS(A:A,A703,D:D,D703,E:E,I703)</f>
        <v>0</v>
      </c>
    </row>
    <row r="704" spans="1:14" x14ac:dyDescent="0.3">
      <c r="A704" s="7" t="s">
        <v>115</v>
      </c>
      <c r="B704" s="7" t="s">
        <v>116</v>
      </c>
      <c r="C704" s="7" t="s">
        <v>60</v>
      </c>
      <c r="D704" s="8">
        <v>45325</v>
      </c>
      <c r="E704" s="8" t="str">
        <f t="shared" si="39"/>
        <v>February</v>
      </c>
      <c r="F704">
        <f t="shared" si="40"/>
        <v>2024</v>
      </c>
      <c r="G704">
        <f t="shared" si="41"/>
        <v>1</v>
      </c>
      <c r="H704">
        <f t="shared" si="42"/>
        <v>1</v>
      </c>
      <c r="I704" s="6">
        <v>0.33541666666666664</v>
      </c>
      <c r="J704" s="6">
        <v>0.81944444444444442</v>
      </c>
      <c r="K704" s="7" t="s">
        <v>26</v>
      </c>
      <c r="L704" s="7" t="s">
        <v>14</v>
      </c>
      <c r="M704" s="7" t="s">
        <v>15</v>
      </c>
      <c r="N704" s="7">
        <f>COUNTIFS(A:A,A704,D:D,D704,E:E,I704)</f>
        <v>0</v>
      </c>
    </row>
    <row r="705" spans="1:14" x14ac:dyDescent="0.3">
      <c r="A705" s="7" t="s">
        <v>191</v>
      </c>
      <c r="B705" s="7" t="s">
        <v>192</v>
      </c>
      <c r="C705" s="7" t="s">
        <v>60</v>
      </c>
      <c r="D705" s="8">
        <v>45315</v>
      </c>
      <c r="E705" s="8" t="str">
        <f t="shared" si="39"/>
        <v>January</v>
      </c>
      <c r="F705">
        <f t="shared" si="40"/>
        <v>2024</v>
      </c>
      <c r="G705">
        <f t="shared" si="41"/>
        <v>1</v>
      </c>
      <c r="H705">
        <f t="shared" si="42"/>
        <v>0</v>
      </c>
      <c r="I705" s="6">
        <v>0.47499999999999998</v>
      </c>
      <c r="J705" s="6">
        <v>0.86736111111111114</v>
      </c>
      <c r="K705" s="7" t="s">
        <v>20</v>
      </c>
      <c r="L705" s="7" t="s">
        <v>27</v>
      </c>
      <c r="M705" s="7" t="s">
        <v>15</v>
      </c>
      <c r="N705" s="7">
        <f>COUNTIFS(A:A,A705,D:D,D705,E:E,I705)</f>
        <v>0</v>
      </c>
    </row>
    <row r="706" spans="1:14" x14ac:dyDescent="0.3">
      <c r="A706" s="7" t="s">
        <v>213</v>
      </c>
      <c r="B706" s="7" t="s">
        <v>214</v>
      </c>
      <c r="C706" s="7" t="s">
        <v>42</v>
      </c>
      <c r="D706" s="8">
        <v>45379</v>
      </c>
      <c r="E706" s="8" t="str">
        <f t="shared" ref="E706:E769" si="43">TEXT(D706,"mmmm")</f>
        <v>March</v>
      </c>
      <c r="F706">
        <f t="shared" ref="F706:F769" si="44">YEAR(D706)</f>
        <v>2024</v>
      </c>
      <c r="G706">
        <f t="shared" ref="G706:G769" si="45">IF(LOWER(K706)="absent",0,1)</f>
        <v>1</v>
      </c>
      <c r="H706">
        <f t="shared" ref="H706:H769" si="46">IF(K706="Late",1,0)</f>
        <v>1</v>
      </c>
      <c r="I706" s="6">
        <v>0.36944444444444446</v>
      </c>
      <c r="J706" s="6">
        <v>0.83333333333333337</v>
      </c>
      <c r="K706" s="7" t="s">
        <v>26</v>
      </c>
      <c r="L706" s="7" t="s">
        <v>27</v>
      </c>
      <c r="M706" s="7" t="s">
        <v>21</v>
      </c>
      <c r="N706" s="7">
        <f>COUNTIFS(A:A,A706,D:D,D706,E:E,I706)</f>
        <v>0</v>
      </c>
    </row>
    <row r="707" spans="1:14" x14ac:dyDescent="0.3">
      <c r="A707" s="7" t="s">
        <v>58</v>
      </c>
      <c r="B707" s="7" t="s">
        <v>59</v>
      </c>
      <c r="C707" s="7" t="s">
        <v>42</v>
      </c>
      <c r="D707" s="8">
        <v>45536</v>
      </c>
      <c r="E707" s="8" t="str">
        <f t="shared" si="43"/>
        <v>September</v>
      </c>
      <c r="F707">
        <f t="shared" si="44"/>
        <v>2024</v>
      </c>
      <c r="G707">
        <f t="shared" si="45"/>
        <v>1</v>
      </c>
      <c r="H707">
        <f t="shared" si="46"/>
        <v>1</v>
      </c>
      <c r="I707" s="6">
        <v>0.46041666666666664</v>
      </c>
      <c r="J707" s="6">
        <v>0.85555555555555551</v>
      </c>
      <c r="K707" s="7" t="s">
        <v>26</v>
      </c>
      <c r="L707" s="7" t="s">
        <v>14</v>
      </c>
      <c r="M707" s="7" t="s">
        <v>21</v>
      </c>
      <c r="N707" s="7">
        <f>COUNTIFS(A:A,A707,D:D,D707,E:E,I707)</f>
        <v>0</v>
      </c>
    </row>
    <row r="708" spans="1:14" x14ac:dyDescent="0.3">
      <c r="A708" s="7" t="s">
        <v>45</v>
      </c>
      <c r="B708" s="7" t="s">
        <v>46</v>
      </c>
      <c r="C708" s="7" t="s">
        <v>42</v>
      </c>
      <c r="D708" s="8">
        <v>45341</v>
      </c>
      <c r="E708" s="8" t="str">
        <f t="shared" si="43"/>
        <v>February</v>
      </c>
      <c r="F708">
        <f t="shared" si="44"/>
        <v>2024</v>
      </c>
      <c r="G708">
        <f t="shared" si="45"/>
        <v>1</v>
      </c>
      <c r="H708">
        <f t="shared" si="46"/>
        <v>0</v>
      </c>
      <c r="I708" s="6">
        <v>0.47638888888888886</v>
      </c>
      <c r="J708" s="6">
        <v>0.72638888888888886</v>
      </c>
      <c r="K708" s="7" t="s">
        <v>13</v>
      </c>
      <c r="L708" s="7" t="s">
        <v>14</v>
      </c>
      <c r="M708" s="7" t="s">
        <v>15</v>
      </c>
      <c r="N708" s="7">
        <f>COUNTIFS(A:A,A708,D:D,D708,E:E,I708)</f>
        <v>0</v>
      </c>
    </row>
    <row r="709" spans="1:14" x14ac:dyDescent="0.3">
      <c r="A709" s="7" t="s">
        <v>315</v>
      </c>
      <c r="B709" s="7" t="s">
        <v>316</v>
      </c>
      <c r="C709" s="7" t="s">
        <v>426</v>
      </c>
      <c r="D709" s="8">
        <v>45372</v>
      </c>
      <c r="E709" s="8" t="str">
        <f t="shared" si="43"/>
        <v>March</v>
      </c>
      <c r="F709">
        <f t="shared" si="44"/>
        <v>2024</v>
      </c>
      <c r="G709">
        <f t="shared" si="45"/>
        <v>1</v>
      </c>
      <c r="H709">
        <f t="shared" si="46"/>
        <v>0</v>
      </c>
      <c r="I709" s="6">
        <v>0.37152777777777779</v>
      </c>
      <c r="J709" s="6">
        <v>0.81944444444444442</v>
      </c>
      <c r="K709" s="7" t="s">
        <v>13</v>
      </c>
      <c r="L709" s="7" t="s">
        <v>27</v>
      </c>
      <c r="M709" s="7" t="s">
        <v>15</v>
      </c>
      <c r="N709" s="7">
        <f>COUNTIFS(A:A,A709,D:D,D709,E:E,I709)</f>
        <v>0</v>
      </c>
    </row>
    <row r="710" spans="1:14" x14ac:dyDescent="0.3">
      <c r="A710" s="7" t="s">
        <v>146</v>
      </c>
      <c r="B710" s="7" t="s">
        <v>147</v>
      </c>
      <c r="C710" s="7" t="s">
        <v>42</v>
      </c>
      <c r="D710" s="8">
        <v>45334</v>
      </c>
      <c r="E710" s="8" t="str">
        <f t="shared" si="43"/>
        <v>February</v>
      </c>
      <c r="F710">
        <f t="shared" si="44"/>
        <v>2024</v>
      </c>
      <c r="G710">
        <f t="shared" si="45"/>
        <v>0</v>
      </c>
      <c r="H710">
        <f t="shared" si="46"/>
        <v>0</v>
      </c>
      <c r="I710" s="6"/>
      <c r="J710" s="6"/>
      <c r="K710" s="7" t="s">
        <v>44</v>
      </c>
      <c r="L710" s="7" t="s">
        <v>27</v>
      </c>
      <c r="M710" s="7" t="s">
        <v>15</v>
      </c>
      <c r="N710" s="7">
        <f>COUNTIFS(A:A,A710,D:D,D710,E:E,I710)</f>
        <v>0</v>
      </c>
    </row>
    <row r="711" spans="1:14" x14ac:dyDescent="0.3">
      <c r="A711" s="7" t="s">
        <v>119</v>
      </c>
      <c r="B711" s="7" t="s">
        <v>120</v>
      </c>
      <c r="C711" s="7" t="s">
        <v>64</v>
      </c>
      <c r="D711" s="8">
        <v>45628</v>
      </c>
      <c r="E711" s="8" t="str">
        <f t="shared" si="43"/>
        <v>December</v>
      </c>
      <c r="F711">
        <f t="shared" si="44"/>
        <v>2024</v>
      </c>
      <c r="G711">
        <f t="shared" si="45"/>
        <v>1</v>
      </c>
      <c r="H711">
        <f t="shared" si="46"/>
        <v>0</v>
      </c>
      <c r="I711" s="6">
        <v>0.41180555555555554</v>
      </c>
      <c r="J711" s="6">
        <v>0.79722222222222228</v>
      </c>
      <c r="K711" s="7" t="s">
        <v>13</v>
      </c>
      <c r="L711" s="7" t="s">
        <v>14</v>
      </c>
      <c r="M711" s="7" t="s">
        <v>15</v>
      </c>
      <c r="N711" s="7">
        <f>COUNTIFS(A:A,A711,D:D,D711,E:E,I711)</f>
        <v>0</v>
      </c>
    </row>
    <row r="712" spans="1:14" x14ac:dyDescent="0.3">
      <c r="A712" s="7" t="s">
        <v>84</v>
      </c>
      <c r="B712" s="7" t="s">
        <v>85</v>
      </c>
      <c r="C712" s="7" t="s">
        <v>60</v>
      </c>
      <c r="D712" s="8">
        <v>45354</v>
      </c>
      <c r="E712" s="8" t="str">
        <f t="shared" si="43"/>
        <v>March</v>
      </c>
      <c r="F712">
        <f t="shared" si="44"/>
        <v>2024</v>
      </c>
      <c r="G712">
        <f t="shared" si="45"/>
        <v>1</v>
      </c>
      <c r="H712">
        <f t="shared" si="46"/>
        <v>1</v>
      </c>
      <c r="I712" s="6">
        <v>0.38333333333333336</v>
      </c>
      <c r="J712" s="6">
        <v>0.87083333333333335</v>
      </c>
      <c r="K712" s="7" t="s">
        <v>26</v>
      </c>
      <c r="L712" s="7" t="s">
        <v>14</v>
      </c>
      <c r="M712" s="7" t="s">
        <v>21</v>
      </c>
      <c r="N712" s="7">
        <f>COUNTIFS(A:A,A712,D:D,D712,E:E,I712)</f>
        <v>0</v>
      </c>
    </row>
    <row r="713" spans="1:14" x14ac:dyDescent="0.3">
      <c r="A713" s="7" t="s">
        <v>122</v>
      </c>
      <c r="B713" s="7" t="s">
        <v>123</v>
      </c>
      <c r="C713" s="7" t="s">
        <v>426</v>
      </c>
      <c r="D713" s="8">
        <v>45328</v>
      </c>
      <c r="E713" s="8" t="str">
        <f t="shared" si="43"/>
        <v>February</v>
      </c>
      <c r="F713">
        <f t="shared" si="44"/>
        <v>2024</v>
      </c>
      <c r="G713">
        <f t="shared" si="45"/>
        <v>1</v>
      </c>
      <c r="H713">
        <f t="shared" si="46"/>
        <v>1</v>
      </c>
      <c r="I713" s="6">
        <v>0.4777777777777778</v>
      </c>
      <c r="J713" s="6">
        <v>0.81041666666666667</v>
      </c>
      <c r="K713" s="7" t="s">
        <v>26</v>
      </c>
      <c r="L713" s="7" t="s">
        <v>27</v>
      </c>
      <c r="M713" s="7" t="s">
        <v>21</v>
      </c>
      <c r="N713" s="7">
        <f>COUNTIFS(A:A,A713,D:D,D713,E:E,I713)</f>
        <v>0</v>
      </c>
    </row>
    <row r="714" spans="1:14" x14ac:dyDescent="0.3">
      <c r="A714" s="7" t="s">
        <v>22</v>
      </c>
      <c r="B714" s="7" t="s">
        <v>23</v>
      </c>
      <c r="C714" s="7" t="s">
        <v>64</v>
      </c>
      <c r="D714" s="8">
        <v>45318</v>
      </c>
      <c r="E714" s="8" t="str">
        <f t="shared" si="43"/>
        <v>January</v>
      </c>
      <c r="F714">
        <f t="shared" si="44"/>
        <v>2024</v>
      </c>
      <c r="G714">
        <f t="shared" si="45"/>
        <v>1</v>
      </c>
      <c r="H714">
        <f t="shared" si="46"/>
        <v>0</v>
      </c>
      <c r="I714" s="6">
        <v>0.33819444444444446</v>
      </c>
      <c r="J714" s="6">
        <v>0.72222222222222221</v>
      </c>
      <c r="K714" s="7" t="s">
        <v>20</v>
      </c>
      <c r="L714" s="7" t="s">
        <v>27</v>
      </c>
      <c r="M714" s="7" t="s">
        <v>21</v>
      </c>
      <c r="N714" s="7">
        <f>COUNTIFS(A:A,A714,D:D,D714,E:E,I714)</f>
        <v>0</v>
      </c>
    </row>
    <row r="715" spans="1:14" x14ac:dyDescent="0.3">
      <c r="A715" s="7" t="s">
        <v>246</v>
      </c>
      <c r="B715" s="7" t="s">
        <v>247</v>
      </c>
      <c r="C715" s="7" t="s">
        <v>426</v>
      </c>
      <c r="D715" s="8">
        <v>45598</v>
      </c>
      <c r="E715" s="8" t="str">
        <f t="shared" si="43"/>
        <v>November</v>
      </c>
      <c r="F715">
        <f t="shared" si="44"/>
        <v>2024</v>
      </c>
      <c r="G715">
        <f t="shared" si="45"/>
        <v>1</v>
      </c>
      <c r="H715">
        <f t="shared" si="46"/>
        <v>0</v>
      </c>
      <c r="I715" s="6">
        <v>0.42569444444444443</v>
      </c>
      <c r="J715" s="6">
        <v>0.76597222222222228</v>
      </c>
      <c r="K715" s="7" t="s">
        <v>20</v>
      </c>
      <c r="L715" s="7" t="s">
        <v>27</v>
      </c>
      <c r="M715" s="7" t="s">
        <v>21</v>
      </c>
      <c r="N715" s="7">
        <f>COUNTIFS(A:A,A715,D:D,D715,E:E,I715)</f>
        <v>0</v>
      </c>
    </row>
    <row r="716" spans="1:14" x14ac:dyDescent="0.3">
      <c r="A716" s="7" t="s">
        <v>90</v>
      </c>
      <c r="B716" s="7" t="s">
        <v>91</v>
      </c>
      <c r="C716" s="7" t="s">
        <v>42</v>
      </c>
      <c r="D716" s="8">
        <v>45384</v>
      </c>
      <c r="E716" s="8" t="str">
        <f t="shared" si="43"/>
        <v>April</v>
      </c>
      <c r="F716">
        <f t="shared" si="44"/>
        <v>2024</v>
      </c>
      <c r="G716">
        <f t="shared" si="45"/>
        <v>0</v>
      </c>
      <c r="H716">
        <f t="shared" si="46"/>
        <v>0</v>
      </c>
      <c r="I716" s="6"/>
      <c r="J716" s="6"/>
      <c r="K716" s="7" t="s">
        <v>44</v>
      </c>
      <c r="L716" s="7" t="s">
        <v>27</v>
      </c>
      <c r="M716" s="7" t="s">
        <v>15</v>
      </c>
      <c r="N716" s="7">
        <f>COUNTIFS(A:A,A716,D:D,D716,E:E,I716)</f>
        <v>0</v>
      </c>
    </row>
    <row r="717" spans="1:14" x14ac:dyDescent="0.3">
      <c r="A717" s="7" t="s">
        <v>146</v>
      </c>
      <c r="B717" s="7" t="s">
        <v>147</v>
      </c>
      <c r="C717" s="7" t="s">
        <v>425</v>
      </c>
      <c r="D717" s="8">
        <v>45338</v>
      </c>
      <c r="E717" s="8" t="str">
        <f t="shared" si="43"/>
        <v>February</v>
      </c>
      <c r="F717">
        <f t="shared" si="44"/>
        <v>2024</v>
      </c>
      <c r="G717">
        <f t="shared" si="45"/>
        <v>1</v>
      </c>
      <c r="H717">
        <f t="shared" si="46"/>
        <v>0</v>
      </c>
      <c r="I717" s="6">
        <v>0.41666666666666669</v>
      </c>
      <c r="J717" s="6">
        <v>0.7993055555555556</v>
      </c>
      <c r="K717" s="7" t="s">
        <v>20</v>
      </c>
      <c r="L717" s="7" t="s">
        <v>27</v>
      </c>
      <c r="M717" s="7" t="s">
        <v>15</v>
      </c>
      <c r="N717" s="7">
        <f>COUNTIFS(A:A,A717,D:D,D717,E:E,I717)</f>
        <v>0</v>
      </c>
    </row>
    <row r="718" spans="1:14" x14ac:dyDescent="0.3">
      <c r="A718" s="7" t="s">
        <v>90</v>
      </c>
      <c r="B718" s="7" t="s">
        <v>91</v>
      </c>
      <c r="C718" s="7" t="s">
        <v>60</v>
      </c>
      <c r="D718" s="8">
        <v>45313</v>
      </c>
      <c r="E718" s="8" t="str">
        <f t="shared" si="43"/>
        <v>January</v>
      </c>
      <c r="F718">
        <f t="shared" si="44"/>
        <v>2024</v>
      </c>
      <c r="G718">
        <f t="shared" si="45"/>
        <v>1</v>
      </c>
      <c r="H718">
        <f t="shared" si="46"/>
        <v>0</v>
      </c>
      <c r="I718" s="6">
        <v>0.38819444444444445</v>
      </c>
      <c r="J718" s="6">
        <v>0.83194444444444449</v>
      </c>
      <c r="K718" s="7" t="s">
        <v>13</v>
      </c>
      <c r="L718" s="7" t="s">
        <v>14</v>
      </c>
      <c r="M718" s="7" t="s">
        <v>21</v>
      </c>
      <c r="N718" s="7">
        <f>COUNTIFS(A:A,A718,D:D,D718,E:E,I718)</f>
        <v>0</v>
      </c>
    </row>
    <row r="719" spans="1:14" x14ac:dyDescent="0.3">
      <c r="A719" s="7" t="s">
        <v>115</v>
      </c>
      <c r="B719" s="7" t="s">
        <v>116</v>
      </c>
      <c r="C719" s="7" t="s">
        <v>425</v>
      </c>
      <c r="D719" s="8">
        <v>45308</v>
      </c>
      <c r="E719" s="8" t="str">
        <f t="shared" si="43"/>
        <v>January</v>
      </c>
      <c r="F719">
        <f t="shared" si="44"/>
        <v>2024</v>
      </c>
      <c r="G719">
        <f t="shared" si="45"/>
        <v>1</v>
      </c>
      <c r="H719">
        <f t="shared" si="46"/>
        <v>0</v>
      </c>
      <c r="I719" s="6">
        <v>0.43611111111111112</v>
      </c>
      <c r="J719" s="6">
        <v>0.82013888888888886</v>
      </c>
      <c r="K719" s="7" t="s">
        <v>13</v>
      </c>
      <c r="L719" s="7" t="s">
        <v>27</v>
      </c>
      <c r="M719" s="7" t="s">
        <v>21</v>
      </c>
      <c r="N719" s="7">
        <f>COUNTIFS(A:A,A719,D:D,D719,E:E,I719)</f>
        <v>0</v>
      </c>
    </row>
    <row r="720" spans="1:14" x14ac:dyDescent="0.3">
      <c r="A720" s="7" t="s">
        <v>69</v>
      </c>
      <c r="B720" s="7" t="s">
        <v>70</v>
      </c>
      <c r="C720" s="7" t="s">
        <v>425</v>
      </c>
      <c r="D720" s="8">
        <v>45414</v>
      </c>
      <c r="E720" s="8" t="str">
        <f t="shared" si="43"/>
        <v>May</v>
      </c>
      <c r="F720">
        <f t="shared" si="44"/>
        <v>2024</v>
      </c>
      <c r="G720">
        <f t="shared" si="45"/>
        <v>1</v>
      </c>
      <c r="H720">
        <f t="shared" si="46"/>
        <v>1</v>
      </c>
      <c r="I720" s="6">
        <v>0.45694444444444443</v>
      </c>
      <c r="J720" s="6">
        <v>0.81388888888888888</v>
      </c>
      <c r="K720" s="7" t="s">
        <v>26</v>
      </c>
      <c r="L720" s="7" t="s">
        <v>27</v>
      </c>
      <c r="M720" s="7" t="s">
        <v>15</v>
      </c>
      <c r="N720" s="7">
        <f>COUNTIFS(A:A,A720,D:D,D720,E:E,I720)</f>
        <v>0</v>
      </c>
    </row>
    <row r="721" spans="1:14" x14ac:dyDescent="0.3">
      <c r="A721" s="7" t="s">
        <v>250</v>
      </c>
      <c r="B721" s="7" t="s">
        <v>251</v>
      </c>
      <c r="C721" s="7" t="s">
        <v>426</v>
      </c>
      <c r="D721" s="8">
        <v>45343</v>
      </c>
      <c r="E721" s="8" t="str">
        <f t="shared" si="43"/>
        <v>February</v>
      </c>
      <c r="F721">
        <f t="shared" si="44"/>
        <v>2024</v>
      </c>
      <c r="G721">
        <f t="shared" si="45"/>
        <v>1</v>
      </c>
      <c r="H721">
        <f t="shared" si="46"/>
        <v>0</v>
      </c>
      <c r="I721" s="6">
        <v>0.41805555555555557</v>
      </c>
      <c r="J721" s="6">
        <v>0.70486111111111116</v>
      </c>
      <c r="K721" s="7" t="s">
        <v>13</v>
      </c>
      <c r="L721" s="7" t="s">
        <v>14</v>
      </c>
      <c r="M721" s="7" t="s">
        <v>15</v>
      </c>
      <c r="N721" s="7">
        <f>COUNTIFS(A:A,A721,D:D,D721,E:E,I721)</f>
        <v>0</v>
      </c>
    </row>
    <row r="722" spans="1:14" x14ac:dyDescent="0.3">
      <c r="A722" s="7" t="s">
        <v>55</v>
      </c>
      <c r="B722" s="7" t="s">
        <v>56</v>
      </c>
      <c r="C722" s="7" t="s">
        <v>42</v>
      </c>
      <c r="D722" s="8">
        <v>45375</v>
      </c>
      <c r="E722" s="8" t="str">
        <f t="shared" si="43"/>
        <v>March</v>
      </c>
      <c r="F722">
        <f t="shared" si="44"/>
        <v>2024</v>
      </c>
      <c r="G722">
        <f t="shared" si="45"/>
        <v>1</v>
      </c>
      <c r="H722">
        <f t="shared" si="46"/>
        <v>1</v>
      </c>
      <c r="I722" s="6">
        <v>0.36944444444444446</v>
      </c>
      <c r="J722" s="6">
        <v>0.67638888888888893</v>
      </c>
      <c r="K722" s="7" t="s">
        <v>26</v>
      </c>
      <c r="L722" s="7" t="s">
        <v>27</v>
      </c>
      <c r="M722" s="7" t="s">
        <v>15</v>
      </c>
      <c r="N722" s="7">
        <f>COUNTIFS(A:A,A722,D:D,D722,E:E,I722)</f>
        <v>0</v>
      </c>
    </row>
    <row r="723" spans="1:14" x14ac:dyDescent="0.3">
      <c r="A723" s="7" t="s">
        <v>194</v>
      </c>
      <c r="B723" s="7" t="s">
        <v>195</v>
      </c>
      <c r="C723" s="7" t="s">
        <v>60</v>
      </c>
      <c r="D723" s="8">
        <v>45354</v>
      </c>
      <c r="E723" s="8" t="str">
        <f t="shared" si="43"/>
        <v>March</v>
      </c>
      <c r="F723">
        <f t="shared" si="44"/>
        <v>2024</v>
      </c>
      <c r="G723">
        <f t="shared" si="45"/>
        <v>1</v>
      </c>
      <c r="H723">
        <f t="shared" si="46"/>
        <v>0</v>
      </c>
      <c r="I723" s="6">
        <v>0.36875000000000002</v>
      </c>
      <c r="J723" s="6">
        <v>0.84930555555555554</v>
      </c>
      <c r="K723" s="7" t="s">
        <v>13</v>
      </c>
      <c r="L723" s="7" t="s">
        <v>27</v>
      </c>
      <c r="M723" s="7" t="s">
        <v>15</v>
      </c>
      <c r="N723" s="7">
        <f>COUNTIFS(A:A,A723,D:D,D723,E:E,I723)</f>
        <v>0</v>
      </c>
    </row>
    <row r="724" spans="1:14" x14ac:dyDescent="0.3">
      <c r="A724" s="7" t="s">
        <v>130</v>
      </c>
      <c r="B724" s="7" t="s">
        <v>131</v>
      </c>
      <c r="C724" s="7" t="s">
        <v>64</v>
      </c>
      <c r="D724" s="8">
        <v>45343</v>
      </c>
      <c r="E724" s="8" t="str">
        <f t="shared" si="43"/>
        <v>February</v>
      </c>
      <c r="F724">
        <f t="shared" si="44"/>
        <v>2024</v>
      </c>
      <c r="G724">
        <f t="shared" si="45"/>
        <v>0</v>
      </c>
      <c r="H724">
        <f t="shared" si="46"/>
        <v>0</v>
      </c>
      <c r="I724" s="6"/>
      <c r="J724" s="6"/>
      <c r="K724" s="7" t="s">
        <v>44</v>
      </c>
      <c r="L724" s="7" t="s">
        <v>27</v>
      </c>
      <c r="M724" s="7" t="s">
        <v>21</v>
      </c>
      <c r="N724" s="7">
        <f>COUNTIFS(A:A,A724,D:D,D724,E:E,I724)</f>
        <v>0</v>
      </c>
    </row>
    <row r="725" spans="1:14" x14ac:dyDescent="0.3">
      <c r="A725" s="7" t="s">
        <v>52</v>
      </c>
      <c r="B725" s="7" t="s">
        <v>53</v>
      </c>
      <c r="C725" s="7" t="s">
        <v>42</v>
      </c>
      <c r="D725" s="8">
        <v>45598</v>
      </c>
      <c r="E725" s="8" t="str">
        <f t="shared" si="43"/>
        <v>November</v>
      </c>
      <c r="F725">
        <f t="shared" si="44"/>
        <v>2024</v>
      </c>
      <c r="G725">
        <f t="shared" si="45"/>
        <v>1</v>
      </c>
      <c r="H725">
        <f t="shared" si="46"/>
        <v>0</v>
      </c>
      <c r="I725" s="6">
        <v>0.44166666666666665</v>
      </c>
      <c r="J725" s="6">
        <v>0.85277777777777775</v>
      </c>
      <c r="K725" s="7" t="s">
        <v>13</v>
      </c>
      <c r="L725" s="7" t="s">
        <v>14</v>
      </c>
      <c r="M725" s="7" t="s">
        <v>15</v>
      </c>
      <c r="N725" s="7">
        <f>COUNTIFS(A:A,A725,D:D,D725,E:E,I725)</f>
        <v>0</v>
      </c>
    </row>
    <row r="726" spans="1:14" x14ac:dyDescent="0.3">
      <c r="A726" s="7" t="s">
        <v>130</v>
      </c>
      <c r="B726" s="7" t="s">
        <v>131</v>
      </c>
      <c r="C726" s="7" t="s">
        <v>64</v>
      </c>
      <c r="D726" s="8">
        <v>45292</v>
      </c>
      <c r="E726" s="8" t="str">
        <f t="shared" si="43"/>
        <v>January</v>
      </c>
      <c r="F726">
        <f t="shared" si="44"/>
        <v>2024</v>
      </c>
      <c r="G726">
        <f t="shared" si="45"/>
        <v>0</v>
      </c>
      <c r="H726">
        <f t="shared" si="46"/>
        <v>0</v>
      </c>
      <c r="I726" s="6"/>
      <c r="J726" s="6"/>
      <c r="K726" s="7" t="s">
        <v>44</v>
      </c>
      <c r="L726" s="7" t="s">
        <v>27</v>
      </c>
      <c r="M726" s="7" t="s">
        <v>15</v>
      </c>
      <c r="N726" s="7">
        <f>COUNTIFS(A:A,A726,D:D,D726,E:E,I726)</f>
        <v>0</v>
      </c>
    </row>
    <row r="727" spans="1:14" x14ac:dyDescent="0.3">
      <c r="A727" s="7" t="s">
        <v>109</v>
      </c>
      <c r="B727" s="7" t="s">
        <v>110</v>
      </c>
      <c r="C727" s="7" t="s">
        <v>64</v>
      </c>
      <c r="D727" s="8">
        <v>45364</v>
      </c>
      <c r="E727" s="8" t="str">
        <f t="shared" si="43"/>
        <v>March</v>
      </c>
      <c r="F727">
        <f t="shared" si="44"/>
        <v>2024</v>
      </c>
      <c r="G727">
        <f t="shared" si="45"/>
        <v>1</v>
      </c>
      <c r="H727">
        <f t="shared" si="46"/>
        <v>1</v>
      </c>
      <c r="I727" s="6">
        <v>0.44166666666666665</v>
      </c>
      <c r="J727" s="6">
        <v>0.86736111111111114</v>
      </c>
      <c r="K727" s="7" t="s">
        <v>26</v>
      </c>
      <c r="L727" s="7" t="s">
        <v>14</v>
      </c>
      <c r="M727" s="7" t="s">
        <v>15</v>
      </c>
      <c r="N727" s="7">
        <f>COUNTIFS(A:A,A727,D:D,D727,E:E,I727)</f>
        <v>0</v>
      </c>
    </row>
    <row r="728" spans="1:14" x14ac:dyDescent="0.3">
      <c r="A728" s="7" t="s">
        <v>48</v>
      </c>
      <c r="B728" s="7" t="s">
        <v>49</v>
      </c>
      <c r="C728" s="7" t="s">
        <v>426</v>
      </c>
      <c r="D728" s="8">
        <v>45373</v>
      </c>
      <c r="E728" s="8" t="str">
        <f t="shared" si="43"/>
        <v>March</v>
      </c>
      <c r="F728">
        <f t="shared" si="44"/>
        <v>2024</v>
      </c>
      <c r="G728">
        <f t="shared" si="45"/>
        <v>1</v>
      </c>
      <c r="H728">
        <f t="shared" si="46"/>
        <v>1</v>
      </c>
      <c r="I728" s="6">
        <v>0.37708333333333333</v>
      </c>
      <c r="J728" s="6">
        <v>0.68819444444444444</v>
      </c>
      <c r="K728" s="7" t="s">
        <v>26</v>
      </c>
      <c r="L728" s="7" t="s">
        <v>14</v>
      </c>
      <c r="M728" s="7" t="s">
        <v>15</v>
      </c>
      <c r="N728" s="7">
        <f>COUNTIFS(A:A,A728,D:D,D728,E:E,I728)</f>
        <v>0</v>
      </c>
    </row>
    <row r="729" spans="1:14" x14ac:dyDescent="0.3">
      <c r="A729" s="7" t="s">
        <v>90</v>
      </c>
      <c r="B729" s="7" t="s">
        <v>91</v>
      </c>
      <c r="C729" s="7" t="s">
        <v>425</v>
      </c>
      <c r="D729" s="8">
        <v>45566</v>
      </c>
      <c r="E729" s="8" t="str">
        <f t="shared" si="43"/>
        <v>October</v>
      </c>
      <c r="F729">
        <f t="shared" si="44"/>
        <v>2024</v>
      </c>
      <c r="G729">
        <f t="shared" si="45"/>
        <v>1</v>
      </c>
      <c r="H729">
        <f t="shared" si="46"/>
        <v>1</v>
      </c>
      <c r="I729" s="6">
        <v>0.46180555555555558</v>
      </c>
      <c r="J729" s="6">
        <v>0.66736111111111107</v>
      </c>
      <c r="K729" s="7" t="s">
        <v>26</v>
      </c>
      <c r="L729" s="7" t="s">
        <v>27</v>
      </c>
      <c r="M729" s="7" t="s">
        <v>15</v>
      </c>
      <c r="N729" s="7">
        <f>COUNTIFS(A:A,A729,D:D,D729,E:E,I729)</f>
        <v>0</v>
      </c>
    </row>
    <row r="730" spans="1:14" x14ac:dyDescent="0.3">
      <c r="A730" s="7" t="s">
        <v>34</v>
      </c>
      <c r="B730" s="7" t="s">
        <v>35</v>
      </c>
      <c r="C730" s="7" t="s">
        <v>60</v>
      </c>
      <c r="D730" s="8">
        <v>45331</v>
      </c>
      <c r="E730" s="8" t="str">
        <f t="shared" si="43"/>
        <v>February</v>
      </c>
      <c r="F730">
        <f t="shared" si="44"/>
        <v>2024</v>
      </c>
      <c r="G730">
        <f t="shared" si="45"/>
        <v>1</v>
      </c>
      <c r="H730">
        <f t="shared" si="46"/>
        <v>1</v>
      </c>
      <c r="I730" s="6">
        <v>0.35347222222222224</v>
      </c>
      <c r="J730" s="6">
        <v>0.86736111111111114</v>
      </c>
      <c r="K730" s="7" t="s">
        <v>26</v>
      </c>
      <c r="L730" s="7" t="s">
        <v>14</v>
      </c>
      <c r="M730" s="7" t="s">
        <v>21</v>
      </c>
      <c r="N730" s="7">
        <f>COUNTIFS(A:A,A730,D:D,D730,E:E,I730)</f>
        <v>0</v>
      </c>
    </row>
    <row r="731" spans="1:14" x14ac:dyDescent="0.3">
      <c r="A731" s="7" t="s">
        <v>213</v>
      </c>
      <c r="B731" s="7" t="s">
        <v>214</v>
      </c>
      <c r="C731" s="7" t="s">
        <v>426</v>
      </c>
      <c r="D731" s="8">
        <v>45294</v>
      </c>
      <c r="E731" s="8" t="str">
        <f t="shared" si="43"/>
        <v>January</v>
      </c>
      <c r="F731">
        <f t="shared" si="44"/>
        <v>2024</v>
      </c>
      <c r="G731">
        <f t="shared" si="45"/>
        <v>1</v>
      </c>
      <c r="H731">
        <f t="shared" si="46"/>
        <v>0</v>
      </c>
      <c r="I731" s="6">
        <v>0.48888888888888887</v>
      </c>
      <c r="J731" s="6">
        <v>0.74930555555555556</v>
      </c>
      <c r="K731" s="7" t="s">
        <v>20</v>
      </c>
      <c r="L731" s="7" t="s">
        <v>14</v>
      </c>
      <c r="M731" s="7" t="s">
        <v>21</v>
      </c>
      <c r="N731" s="7">
        <f>COUNTIFS(A:A,A731,D:D,D731,E:E,I731)</f>
        <v>0</v>
      </c>
    </row>
    <row r="732" spans="1:14" x14ac:dyDescent="0.3">
      <c r="A732" s="7" t="s">
        <v>112</v>
      </c>
      <c r="B732" s="7" t="s">
        <v>113</v>
      </c>
      <c r="C732" s="7" t="s">
        <v>42</v>
      </c>
      <c r="D732" s="8">
        <v>45340</v>
      </c>
      <c r="E732" s="8" t="str">
        <f t="shared" si="43"/>
        <v>February</v>
      </c>
      <c r="F732">
        <f t="shared" si="44"/>
        <v>2024</v>
      </c>
      <c r="G732">
        <f t="shared" si="45"/>
        <v>1</v>
      </c>
      <c r="H732">
        <f t="shared" si="46"/>
        <v>1</v>
      </c>
      <c r="I732" s="6">
        <v>0.39097222222222222</v>
      </c>
      <c r="J732" s="6">
        <v>0.85</v>
      </c>
      <c r="K732" s="7" t="s">
        <v>26</v>
      </c>
      <c r="L732" s="7" t="s">
        <v>14</v>
      </c>
      <c r="M732" s="7" t="s">
        <v>15</v>
      </c>
      <c r="N732" s="7">
        <f>COUNTIFS(A:A,A732,D:D,D732,E:E,I732)</f>
        <v>0</v>
      </c>
    </row>
    <row r="733" spans="1:14" x14ac:dyDescent="0.3">
      <c r="A733" s="7" t="s">
        <v>81</v>
      </c>
      <c r="B733" s="7" t="s">
        <v>82</v>
      </c>
      <c r="C733" s="7" t="s">
        <v>60</v>
      </c>
      <c r="D733" s="8">
        <v>45381</v>
      </c>
      <c r="E733" s="8" t="str">
        <f t="shared" si="43"/>
        <v>March</v>
      </c>
      <c r="F733">
        <f t="shared" si="44"/>
        <v>2024</v>
      </c>
      <c r="G733">
        <f t="shared" si="45"/>
        <v>1</v>
      </c>
      <c r="H733">
        <f t="shared" si="46"/>
        <v>0</v>
      </c>
      <c r="I733" s="6">
        <v>0.39583333333333331</v>
      </c>
      <c r="J733" s="6">
        <v>0.84027777777777779</v>
      </c>
      <c r="K733" s="7" t="s">
        <v>20</v>
      </c>
      <c r="L733" s="7" t="s">
        <v>27</v>
      </c>
      <c r="M733" s="7" t="s">
        <v>21</v>
      </c>
      <c r="N733" s="7">
        <f>COUNTIFS(A:A,A733,D:D,D733,E:E,I733)</f>
        <v>0</v>
      </c>
    </row>
    <row r="734" spans="1:14" x14ac:dyDescent="0.3">
      <c r="A734" s="7" t="s">
        <v>187</v>
      </c>
      <c r="B734" s="7" t="s">
        <v>188</v>
      </c>
      <c r="C734" s="7" t="s">
        <v>60</v>
      </c>
      <c r="D734" s="8">
        <v>45321</v>
      </c>
      <c r="E734" s="8" t="str">
        <f t="shared" si="43"/>
        <v>January</v>
      </c>
      <c r="F734">
        <f t="shared" si="44"/>
        <v>2024</v>
      </c>
      <c r="G734">
        <f t="shared" si="45"/>
        <v>1</v>
      </c>
      <c r="H734">
        <f t="shared" si="46"/>
        <v>1</v>
      </c>
      <c r="I734" s="6">
        <v>0.35416666666666669</v>
      </c>
      <c r="J734" s="6">
        <v>0.75</v>
      </c>
      <c r="K734" s="7" t="s">
        <v>26</v>
      </c>
      <c r="L734" s="7" t="s">
        <v>14</v>
      </c>
      <c r="M734" s="7" t="s">
        <v>15</v>
      </c>
      <c r="N734" s="7">
        <f>COUNTIFS(A:A,A734,D:D,D734,E:E,I734)</f>
        <v>0</v>
      </c>
    </row>
    <row r="735" spans="1:14" x14ac:dyDescent="0.3">
      <c r="A735" s="7" t="s">
        <v>75</v>
      </c>
      <c r="B735" s="7" t="s">
        <v>76</v>
      </c>
      <c r="C735" s="7" t="s">
        <v>425</v>
      </c>
      <c r="D735" s="8">
        <v>45343</v>
      </c>
      <c r="E735" s="8" t="str">
        <f t="shared" si="43"/>
        <v>February</v>
      </c>
      <c r="F735">
        <f t="shared" si="44"/>
        <v>2024</v>
      </c>
      <c r="G735">
        <f t="shared" si="45"/>
        <v>1</v>
      </c>
      <c r="H735">
        <f t="shared" si="46"/>
        <v>0</v>
      </c>
      <c r="I735" s="6">
        <v>0.47499999999999998</v>
      </c>
      <c r="J735" s="6">
        <v>0.75347222222222221</v>
      </c>
      <c r="K735" s="7" t="s">
        <v>20</v>
      </c>
      <c r="L735" s="7" t="s">
        <v>14</v>
      </c>
      <c r="M735" s="7" t="s">
        <v>21</v>
      </c>
      <c r="N735" s="7">
        <f>COUNTIFS(A:A,A735,D:D,D735,E:E,I735)</f>
        <v>0</v>
      </c>
    </row>
    <row r="736" spans="1:14" x14ac:dyDescent="0.3">
      <c r="A736" s="7" t="s">
        <v>134</v>
      </c>
      <c r="B736" s="7" t="s">
        <v>135</v>
      </c>
      <c r="C736" s="7" t="s">
        <v>425</v>
      </c>
      <c r="D736" s="8">
        <v>45348</v>
      </c>
      <c r="E736" s="8" t="str">
        <f t="shared" si="43"/>
        <v>February</v>
      </c>
      <c r="F736">
        <f t="shared" si="44"/>
        <v>2024</v>
      </c>
      <c r="G736">
        <f t="shared" si="45"/>
        <v>1</v>
      </c>
      <c r="H736">
        <f t="shared" si="46"/>
        <v>0</v>
      </c>
      <c r="I736" s="6">
        <v>0.35416666666666669</v>
      </c>
      <c r="J736" s="6">
        <v>0.78680555555555554</v>
      </c>
      <c r="K736" s="7" t="s">
        <v>13</v>
      </c>
      <c r="L736" s="7" t="s">
        <v>14</v>
      </c>
      <c r="M736" s="7" t="s">
        <v>15</v>
      </c>
      <c r="N736" s="7">
        <f>COUNTIFS(A:A,A736,D:D,D736,E:E,I736)</f>
        <v>0</v>
      </c>
    </row>
    <row r="737" spans="1:14" x14ac:dyDescent="0.3">
      <c r="A737" s="7" t="s">
        <v>112</v>
      </c>
      <c r="B737" s="7" t="s">
        <v>113</v>
      </c>
      <c r="C737" s="7" t="s">
        <v>426</v>
      </c>
      <c r="D737" s="8">
        <v>45305</v>
      </c>
      <c r="E737" s="8" t="str">
        <f t="shared" si="43"/>
        <v>January</v>
      </c>
      <c r="F737">
        <f t="shared" si="44"/>
        <v>2024</v>
      </c>
      <c r="G737">
        <f t="shared" si="45"/>
        <v>1</v>
      </c>
      <c r="H737">
        <f t="shared" si="46"/>
        <v>0</v>
      </c>
      <c r="I737" s="6">
        <v>0.40625</v>
      </c>
      <c r="J737" s="6">
        <v>0.83333333333333337</v>
      </c>
      <c r="K737" s="7" t="s">
        <v>20</v>
      </c>
      <c r="L737" s="7" t="s">
        <v>27</v>
      </c>
      <c r="M737" s="7" t="s">
        <v>21</v>
      </c>
      <c r="N737" s="7">
        <f>COUNTIFS(A:A,A737,D:D,D737,E:E,I737)</f>
        <v>0</v>
      </c>
    </row>
    <row r="738" spans="1:14" x14ac:dyDescent="0.3">
      <c r="A738" s="7" t="s">
        <v>45</v>
      </c>
      <c r="B738" s="7" t="s">
        <v>46</v>
      </c>
      <c r="C738" s="7" t="s">
        <v>426</v>
      </c>
      <c r="D738" s="8">
        <v>45322</v>
      </c>
      <c r="E738" s="8" t="str">
        <f t="shared" si="43"/>
        <v>January</v>
      </c>
      <c r="F738">
        <f t="shared" si="44"/>
        <v>2024</v>
      </c>
      <c r="G738">
        <f t="shared" si="45"/>
        <v>1</v>
      </c>
      <c r="H738">
        <f t="shared" si="46"/>
        <v>0</v>
      </c>
      <c r="I738" s="6">
        <v>0.48194444444444445</v>
      </c>
      <c r="J738" s="6">
        <v>0.8618055555555556</v>
      </c>
      <c r="K738" s="7" t="s">
        <v>13</v>
      </c>
      <c r="L738" s="7" t="s">
        <v>27</v>
      </c>
      <c r="M738" s="7" t="s">
        <v>21</v>
      </c>
      <c r="N738" s="7">
        <f>COUNTIFS(A:A,A738,D:D,D738,E:E,I738)</f>
        <v>0</v>
      </c>
    </row>
    <row r="739" spans="1:14" x14ac:dyDescent="0.3">
      <c r="A739" s="7" t="s">
        <v>37</v>
      </c>
      <c r="B739" s="7" t="s">
        <v>38</v>
      </c>
      <c r="C739" s="7" t="s">
        <v>425</v>
      </c>
      <c r="D739" s="8">
        <v>45444</v>
      </c>
      <c r="E739" s="8" t="str">
        <f t="shared" si="43"/>
        <v>June</v>
      </c>
      <c r="F739">
        <f t="shared" si="44"/>
        <v>2024</v>
      </c>
      <c r="G739">
        <f t="shared" si="45"/>
        <v>0</v>
      </c>
      <c r="H739">
        <f t="shared" si="46"/>
        <v>0</v>
      </c>
      <c r="I739" s="6"/>
      <c r="J739" s="6"/>
      <c r="K739" s="7" t="s">
        <v>44</v>
      </c>
      <c r="L739" s="7" t="s">
        <v>27</v>
      </c>
      <c r="M739" s="7" t="s">
        <v>15</v>
      </c>
      <c r="N739" s="7">
        <f>COUNTIFS(A:A,A739,D:D,D739,E:E,I739)</f>
        <v>0</v>
      </c>
    </row>
    <row r="740" spans="1:14" x14ac:dyDescent="0.3">
      <c r="A740" s="7" t="s">
        <v>40</v>
      </c>
      <c r="B740" s="7" t="s">
        <v>41</v>
      </c>
      <c r="C740" s="7" t="s">
        <v>42</v>
      </c>
      <c r="D740" s="8">
        <v>45446</v>
      </c>
      <c r="E740" s="8" t="str">
        <f t="shared" si="43"/>
        <v>June</v>
      </c>
      <c r="F740">
        <f t="shared" si="44"/>
        <v>2024</v>
      </c>
      <c r="G740">
        <f t="shared" si="45"/>
        <v>1</v>
      </c>
      <c r="H740">
        <f t="shared" si="46"/>
        <v>0</v>
      </c>
      <c r="I740" s="6">
        <v>0.47847222222222224</v>
      </c>
      <c r="J740" s="6">
        <v>0.87361111111111112</v>
      </c>
      <c r="K740" s="7" t="s">
        <v>20</v>
      </c>
      <c r="L740" s="7" t="s">
        <v>27</v>
      </c>
      <c r="M740" s="7" t="s">
        <v>21</v>
      </c>
      <c r="N740" s="7">
        <f>COUNTIFS(A:A,A740,D:D,D740,E:E,I740)</f>
        <v>0</v>
      </c>
    </row>
    <row r="741" spans="1:14" x14ac:dyDescent="0.3">
      <c r="A741" s="7" t="s">
        <v>40</v>
      </c>
      <c r="B741" s="7" t="s">
        <v>41</v>
      </c>
      <c r="C741" s="7" t="s">
        <v>64</v>
      </c>
      <c r="D741" s="8">
        <v>45306</v>
      </c>
      <c r="E741" s="8" t="str">
        <f t="shared" si="43"/>
        <v>January</v>
      </c>
      <c r="F741">
        <f t="shared" si="44"/>
        <v>2024</v>
      </c>
      <c r="G741">
        <f t="shared" si="45"/>
        <v>0</v>
      </c>
      <c r="H741">
        <f t="shared" si="46"/>
        <v>0</v>
      </c>
      <c r="I741" s="6"/>
      <c r="J741" s="6"/>
      <c r="K741" s="7" t="s">
        <v>44</v>
      </c>
      <c r="L741" s="7" t="s">
        <v>14</v>
      </c>
      <c r="M741" s="7" t="s">
        <v>15</v>
      </c>
      <c r="N741" s="7">
        <f>COUNTIFS(A:A,A741,D:D,D741,E:E,I741)</f>
        <v>0</v>
      </c>
    </row>
    <row r="742" spans="1:14" x14ac:dyDescent="0.3">
      <c r="A742" s="7" t="s">
        <v>52</v>
      </c>
      <c r="B742" s="7" t="s">
        <v>53</v>
      </c>
      <c r="C742" s="7" t="s">
        <v>425</v>
      </c>
      <c r="D742" s="8">
        <v>45375</v>
      </c>
      <c r="E742" s="8" t="str">
        <f t="shared" si="43"/>
        <v>March</v>
      </c>
      <c r="F742">
        <f t="shared" si="44"/>
        <v>2024</v>
      </c>
      <c r="G742">
        <f t="shared" si="45"/>
        <v>1</v>
      </c>
      <c r="H742">
        <f t="shared" si="46"/>
        <v>1</v>
      </c>
      <c r="I742" s="6">
        <v>0.34583333333333333</v>
      </c>
      <c r="J742" s="6">
        <v>0.7583333333333333</v>
      </c>
      <c r="K742" s="7" t="s">
        <v>26</v>
      </c>
      <c r="L742" s="7" t="s">
        <v>14</v>
      </c>
      <c r="M742" s="7" t="s">
        <v>21</v>
      </c>
      <c r="N742" s="7">
        <f>COUNTIFS(A:A,A742,D:D,D742,E:E,I742)</f>
        <v>0</v>
      </c>
    </row>
    <row r="743" spans="1:14" x14ac:dyDescent="0.3">
      <c r="A743" s="7" t="s">
        <v>78</v>
      </c>
      <c r="B743" s="7" t="s">
        <v>79</v>
      </c>
      <c r="C743" s="7" t="s">
        <v>42</v>
      </c>
      <c r="D743" s="8">
        <v>45318</v>
      </c>
      <c r="E743" s="8" t="str">
        <f t="shared" si="43"/>
        <v>January</v>
      </c>
      <c r="F743">
        <f t="shared" si="44"/>
        <v>2024</v>
      </c>
      <c r="G743">
        <f t="shared" si="45"/>
        <v>1</v>
      </c>
      <c r="H743">
        <f t="shared" si="46"/>
        <v>1</v>
      </c>
      <c r="I743" s="6">
        <v>0.40902777777777777</v>
      </c>
      <c r="J743" s="6">
        <v>0.77361111111111114</v>
      </c>
      <c r="K743" s="7" t="s">
        <v>26</v>
      </c>
      <c r="L743" s="7" t="s">
        <v>27</v>
      </c>
      <c r="M743" s="7" t="s">
        <v>15</v>
      </c>
      <c r="N743" s="7">
        <f>COUNTIFS(A:A,A743,D:D,D743,E:E,I743)</f>
        <v>0</v>
      </c>
    </row>
    <row r="744" spans="1:14" x14ac:dyDescent="0.3">
      <c r="A744" s="7" t="s">
        <v>146</v>
      </c>
      <c r="B744" s="7" t="s">
        <v>147</v>
      </c>
      <c r="C744" s="7" t="s">
        <v>64</v>
      </c>
      <c r="D744" s="8">
        <v>45413</v>
      </c>
      <c r="E744" s="8" t="str">
        <f t="shared" si="43"/>
        <v>May</v>
      </c>
      <c r="F744">
        <f t="shared" si="44"/>
        <v>2024</v>
      </c>
      <c r="G744">
        <f t="shared" si="45"/>
        <v>1</v>
      </c>
      <c r="H744">
        <f t="shared" si="46"/>
        <v>0</v>
      </c>
      <c r="I744" s="6">
        <v>0.42499999999999999</v>
      </c>
      <c r="J744" s="6">
        <v>0.69930555555555551</v>
      </c>
      <c r="K744" s="7" t="s">
        <v>13</v>
      </c>
      <c r="L744" s="7" t="s">
        <v>27</v>
      </c>
      <c r="M744" s="7" t="s">
        <v>15</v>
      </c>
      <c r="N744" s="7">
        <f>COUNTIFS(A:A,A744,D:D,D744,E:E,I744)</f>
        <v>0</v>
      </c>
    </row>
    <row r="745" spans="1:14" x14ac:dyDescent="0.3">
      <c r="A745" s="7" t="s">
        <v>22</v>
      </c>
      <c r="B745" s="7" t="s">
        <v>23</v>
      </c>
      <c r="C745" s="7" t="s">
        <v>60</v>
      </c>
      <c r="D745" s="8">
        <v>45375</v>
      </c>
      <c r="E745" s="8" t="str">
        <f t="shared" si="43"/>
        <v>March</v>
      </c>
      <c r="F745">
        <f t="shared" si="44"/>
        <v>2024</v>
      </c>
      <c r="G745">
        <f t="shared" si="45"/>
        <v>1</v>
      </c>
      <c r="H745">
        <f t="shared" si="46"/>
        <v>0</v>
      </c>
      <c r="I745" s="6">
        <v>0.42569444444444443</v>
      </c>
      <c r="J745" s="6">
        <v>0.74791666666666667</v>
      </c>
      <c r="K745" s="7" t="s">
        <v>20</v>
      </c>
      <c r="L745" s="7" t="s">
        <v>14</v>
      </c>
      <c r="M745" s="7" t="s">
        <v>21</v>
      </c>
      <c r="N745" s="7">
        <f>COUNTIFS(A:A,A745,D:D,D745,E:E,I745)</f>
        <v>0</v>
      </c>
    </row>
    <row r="746" spans="1:14" x14ac:dyDescent="0.3">
      <c r="A746" s="7" t="s">
        <v>112</v>
      </c>
      <c r="B746" s="7" t="s">
        <v>113</v>
      </c>
      <c r="C746" s="7" t="s">
        <v>426</v>
      </c>
      <c r="D746" s="8">
        <v>45352</v>
      </c>
      <c r="E746" s="8" t="str">
        <f t="shared" si="43"/>
        <v>March</v>
      </c>
      <c r="F746">
        <f t="shared" si="44"/>
        <v>2024</v>
      </c>
      <c r="G746">
        <f t="shared" si="45"/>
        <v>0</v>
      </c>
      <c r="H746">
        <f t="shared" si="46"/>
        <v>0</v>
      </c>
      <c r="I746" s="6"/>
      <c r="J746" s="6"/>
      <c r="K746" s="7" t="s">
        <v>44</v>
      </c>
      <c r="L746" s="7" t="s">
        <v>27</v>
      </c>
      <c r="M746" s="7" t="s">
        <v>21</v>
      </c>
      <c r="N746" s="7">
        <f>COUNTIFS(A:A,A746,D:D,D746,E:E,I746)</f>
        <v>0</v>
      </c>
    </row>
    <row r="747" spans="1:14" x14ac:dyDescent="0.3">
      <c r="A747" s="7" t="s">
        <v>216</v>
      </c>
      <c r="B747" s="7" t="s">
        <v>217</v>
      </c>
      <c r="C747" s="7" t="s">
        <v>426</v>
      </c>
      <c r="D747" s="8">
        <v>45378</v>
      </c>
      <c r="E747" s="8" t="str">
        <f t="shared" si="43"/>
        <v>March</v>
      </c>
      <c r="F747">
        <f t="shared" si="44"/>
        <v>2024</v>
      </c>
      <c r="G747">
        <f t="shared" si="45"/>
        <v>1</v>
      </c>
      <c r="H747">
        <f t="shared" si="46"/>
        <v>1</v>
      </c>
      <c r="I747" s="6">
        <v>0.47013888888888888</v>
      </c>
      <c r="J747" s="6">
        <v>0.7631944444444444</v>
      </c>
      <c r="K747" s="7" t="s">
        <v>26</v>
      </c>
      <c r="L747" s="7" t="s">
        <v>27</v>
      </c>
      <c r="M747" s="7" t="s">
        <v>15</v>
      </c>
      <c r="N747" s="7">
        <f>COUNTIFS(A:A,A747,D:D,D747,E:E,I747)</f>
        <v>0</v>
      </c>
    </row>
    <row r="748" spans="1:14" x14ac:dyDescent="0.3">
      <c r="A748" s="7" t="s">
        <v>224</v>
      </c>
      <c r="B748" s="7" t="s">
        <v>225</v>
      </c>
      <c r="C748" s="7" t="s">
        <v>60</v>
      </c>
      <c r="D748" s="8">
        <v>45536</v>
      </c>
      <c r="E748" s="8" t="str">
        <f t="shared" si="43"/>
        <v>September</v>
      </c>
      <c r="F748">
        <f t="shared" si="44"/>
        <v>2024</v>
      </c>
      <c r="G748">
        <f t="shared" si="45"/>
        <v>1</v>
      </c>
      <c r="H748">
        <f t="shared" si="46"/>
        <v>0</v>
      </c>
      <c r="I748" s="6">
        <v>0.41805555555555557</v>
      </c>
      <c r="J748" s="6">
        <v>0.73263888888888884</v>
      </c>
      <c r="K748" s="7" t="s">
        <v>20</v>
      </c>
      <c r="L748" s="7" t="s">
        <v>14</v>
      </c>
      <c r="M748" s="7" t="s">
        <v>21</v>
      </c>
      <c r="N748" s="7">
        <f>COUNTIFS(A:A,A748,D:D,D748,E:E,I748)</f>
        <v>0</v>
      </c>
    </row>
    <row r="749" spans="1:14" x14ac:dyDescent="0.3">
      <c r="A749" s="7" t="s">
        <v>69</v>
      </c>
      <c r="B749" s="7" t="s">
        <v>70</v>
      </c>
      <c r="C749" s="7" t="s">
        <v>64</v>
      </c>
      <c r="D749" s="8">
        <v>45372</v>
      </c>
      <c r="E749" s="8" t="str">
        <f t="shared" si="43"/>
        <v>March</v>
      </c>
      <c r="F749">
        <f t="shared" si="44"/>
        <v>2024</v>
      </c>
      <c r="G749">
        <f t="shared" si="45"/>
        <v>0</v>
      </c>
      <c r="H749">
        <f t="shared" si="46"/>
        <v>0</v>
      </c>
      <c r="I749" s="6"/>
      <c r="J749" s="6"/>
      <c r="K749" s="7" t="s">
        <v>44</v>
      </c>
      <c r="L749" s="7" t="s">
        <v>27</v>
      </c>
      <c r="M749" s="7" t="s">
        <v>21</v>
      </c>
      <c r="N749" s="7">
        <f>COUNTIFS(A:A,A749,D:D,D749,E:E,I749)</f>
        <v>0</v>
      </c>
    </row>
    <row r="750" spans="1:14" x14ac:dyDescent="0.3">
      <c r="A750" s="7" t="s">
        <v>22</v>
      </c>
      <c r="B750" s="7" t="s">
        <v>23</v>
      </c>
      <c r="C750" s="7" t="s">
        <v>64</v>
      </c>
      <c r="D750" s="8">
        <v>45330</v>
      </c>
      <c r="E750" s="8" t="str">
        <f t="shared" si="43"/>
        <v>February</v>
      </c>
      <c r="F750">
        <f t="shared" si="44"/>
        <v>2024</v>
      </c>
      <c r="G750">
        <f t="shared" si="45"/>
        <v>1</v>
      </c>
      <c r="H750">
        <f t="shared" si="46"/>
        <v>1</v>
      </c>
      <c r="I750" s="6">
        <v>0.44236111111111109</v>
      </c>
      <c r="J750" s="6">
        <v>0.68402777777777779</v>
      </c>
      <c r="K750" s="7" t="s">
        <v>26</v>
      </c>
      <c r="L750" s="7" t="s">
        <v>14</v>
      </c>
      <c r="M750" s="7" t="s">
        <v>15</v>
      </c>
      <c r="N750" s="7">
        <f>COUNTIFS(A:A,A750,D:D,D750,E:E,I750)</f>
        <v>0</v>
      </c>
    </row>
    <row r="751" spans="1:14" x14ac:dyDescent="0.3">
      <c r="A751" s="7" t="s">
        <v>204</v>
      </c>
      <c r="B751" s="7" t="s">
        <v>205</v>
      </c>
      <c r="C751" s="7" t="s">
        <v>425</v>
      </c>
      <c r="D751" s="8">
        <v>45568</v>
      </c>
      <c r="E751" s="8" t="str">
        <f t="shared" si="43"/>
        <v>October</v>
      </c>
      <c r="F751">
        <f t="shared" si="44"/>
        <v>2024</v>
      </c>
      <c r="G751">
        <f t="shared" si="45"/>
        <v>1</v>
      </c>
      <c r="H751">
        <f t="shared" si="46"/>
        <v>1</v>
      </c>
      <c r="I751" s="6">
        <v>0.36249999999999999</v>
      </c>
      <c r="J751" s="6">
        <v>0.87430555555555556</v>
      </c>
      <c r="K751" s="7" t="s">
        <v>26</v>
      </c>
      <c r="L751" s="7" t="s">
        <v>14</v>
      </c>
      <c r="M751" s="7" t="s">
        <v>15</v>
      </c>
      <c r="N751" s="7">
        <f>COUNTIFS(A:A,A751,D:D,D751,E:E,I751)</f>
        <v>0</v>
      </c>
    </row>
    <row r="752" spans="1:14" x14ac:dyDescent="0.3">
      <c r="A752" s="7" t="s">
        <v>96</v>
      </c>
      <c r="B752" s="7" t="s">
        <v>97</v>
      </c>
      <c r="C752" s="7" t="s">
        <v>426</v>
      </c>
      <c r="D752" s="8">
        <v>45318</v>
      </c>
      <c r="E752" s="8" t="str">
        <f t="shared" si="43"/>
        <v>January</v>
      </c>
      <c r="F752">
        <f t="shared" si="44"/>
        <v>2024</v>
      </c>
      <c r="G752">
        <f t="shared" si="45"/>
        <v>1</v>
      </c>
      <c r="H752">
        <f t="shared" si="46"/>
        <v>0</v>
      </c>
      <c r="I752" s="6">
        <v>0.45694444444444443</v>
      </c>
      <c r="J752" s="6">
        <v>0.85902777777777772</v>
      </c>
      <c r="K752" s="7" t="s">
        <v>20</v>
      </c>
      <c r="L752" s="7" t="s">
        <v>27</v>
      </c>
      <c r="M752" s="7" t="s">
        <v>21</v>
      </c>
      <c r="N752" s="7">
        <f>COUNTIFS(A:A,A752,D:D,D752,E:E,I752)</f>
        <v>0</v>
      </c>
    </row>
    <row r="753" spans="1:14" x14ac:dyDescent="0.3">
      <c r="A753" s="7" t="s">
        <v>224</v>
      </c>
      <c r="B753" s="7" t="s">
        <v>225</v>
      </c>
      <c r="C753" s="7" t="s">
        <v>60</v>
      </c>
      <c r="D753" s="8">
        <v>45359</v>
      </c>
      <c r="E753" s="8" t="str">
        <f t="shared" si="43"/>
        <v>March</v>
      </c>
      <c r="F753">
        <f t="shared" si="44"/>
        <v>2024</v>
      </c>
      <c r="G753">
        <f t="shared" si="45"/>
        <v>0</v>
      </c>
      <c r="H753">
        <f t="shared" si="46"/>
        <v>0</v>
      </c>
      <c r="I753" s="6"/>
      <c r="J753" s="6"/>
      <c r="K753" s="7" t="s">
        <v>44</v>
      </c>
      <c r="L753" s="7" t="s">
        <v>14</v>
      </c>
      <c r="M753" s="7" t="s">
        <v>15</v>
      </c>
      <c r="N753" s="7">
        <f>COUNTIFS(A:A,A753,D:D,D753,E:E,I753)</f>
        <v>0</v>
      </c>
    </row>
    <row r="754" spans="1:14" x14ac:dyDescent="0.3">
      <c r="A754" s="7" t="s">
        <v>134</v>
      </c>
      <c r="B754" s="7" t="s">
        <v>135</v>
      </c>
      <c r="C754" s="7" t="s">
        <v>426</v>
      </c>
      <c r="D754" s="8">
        <v>45312</v>
      </c>
      <c r="E754" s="8" t="str">
        <f t="shared" si="43"/>
        <v>January</v>
      </c>
      <c r="F754">
        <f t="shared" si="44"/>
        <v>2024</v>
      </c>
      <c r="G754">
        <f t="shared" si="45"/>
        <v>1</v>
      </c>
      <c r="H754">
        <f t="shared" si="46"/>
        <v>0</v>
      </c>
      <c r="I754" s="6">
        <v>0.36736111111111114</v>
      </c>
      <c r="J754" s="6">
        <v>0.68819444444444444</v>
      </c>
      <c r="K754" s="7" t="s">
        <v>13</v>
      </c>
      <c r="L754" s="7" t="s">
        <v>27</v>
      </c>
      <c r="M754" s="7" t="s">
        <v>21</v>
      </c>
      <c r="N754" s="7">
        <f>COUNTIFS(A:A,A754,D:D,D754,E:E,I754)</f>
        <v>0</v>
      </c>
    </row>
    <row r="755" spans="1:14" x14ac:dyDescent="0.3">
      <c r="A755" s="7" t="s">
        <v>22</v>
      </c>
      <c r="B755" s="7" t="s">
        <v>23</v>
      </c>
      <c r="C755" s="7" t="s">
        <v>64</v>
      </c>
      <c r="D755" s="8">
        <v>45341</v>
      </c>
      <c r="E755" s="8" t="str">
        <f t="shared" si="43"/>
        <v>February</v>
      </c>
      <c r="F755">
        <f t="shared" si="44"/>
        <v>2024</v>
      </c>
      <c r="G755">
        <f t="shared" si="45"/>
        <v>1</v>
      </c>
      <c r="H755">
        <f t="shared" si="46"/>
        <v>1</v>
      </c>
      <c r="I755" s="6">
        <v>0.36180555555555555</v>
      </c>
      <c r="J755" s="6">
        <v>0.78055555555555556</v>
      </c>
      <c r="K755" s="7" t="s">
        <v>26</v>
      </c>
      <c r="L755" s="7" t="s">
        <v>27</v>
      </c>
      <c r="M755" s="7" t="s">
        <v>15</v>
      </c>
      <c r="N755" s="7">
        <f>COUNTIFS(A:A,A755,D:D,D755,E:E,I755)</f>
        <v>0</v>
      </c>
    </row>
    <row r="756" spans="1:14" x14ac:dyDescent="0.3">
      <c r="A756" s="7" t="s">
        <v>55</v>
      </c>
      <c r="B756" s="7" t="s">
        <v>56</v>
      </c>
      <c r="C756" s="7" t="s">
        <v>64</v>
      </c>
      <c r="D756" s="8">
        <v>45315</v>
      </c>
      <c r="E756" s="8" t="str">
        <f t="shared" si="43"/>
        <v>January</v>
      </c>
      <c r="F756">
        <f t="shared" si="44"/>
        <v>2024</v>
      </c>
      <c r="G756">
        <f t="shared" si="45"/>
        <v>1</v>
      </c>
      <c r="H756">
        <f t="shared" si="46"/>
        <v>1</v>
      </c>
      <c r="I756" s="6">
        <v>0.4826388888888889</v>
      </c>
      <c r="J756" s="6">
        <v>0.85763888888888884</v>
      </c>
      <c r="K756" s="7" t="s">
        <v>26</v>
      </c>
      <c r="L756" s="7" t="s">
        <v>27</v>
      </c>
      <c r="M756" s="7" t="s">
        <v>15</v>
      </c>
      <c r="N756" s="7">
        <f>COUNTIFS(A:A,A756,D:D,D756,E:E,I756)</f>
        <v>0</v>
      </c>
    </row>
    <row r="757" spans="1:14" x14ac:dyDescent="0.3">
      <c r="A757" s="7" t="s">
        <v>9</v>
      </c>
      <c r="B757" s="7" t="s">
        <v>10</v>
      </c>
      <c r="C757" s="7" t="s">
        <v>42</v>
      </c>
      <c r="D757" s="8">
        <v>45376</v>
      </c>
      <c r="E757" s="8" t="str">
        <f t="shared" si="43"/>
        <v>March</v>
      </c>
      <c r="F757">
        <f t="shared" si="44"/>
        <v>2024</v>
      </c>
      <c r="G757">
        <f t="shared" si="45"/>
        <v>0</v>
      </c>
      <c r="H757">
        <f t="shared" si="46"/>
        <v>0</v>
      </c>
      <c r="I757" s="6"/>
      <c r="J757" s="6"/>
      <c r="K757" s="7" t="s">
        <v>44</v>
      </c>
      <c r="L757" s="7" t="s">
        <v>27</v>
      </c>
      <c r="M757" s="7" t="s">
        <v>21</v>
      </c>
      <c r="N757" s="7">
        <f>COUNTIFS(A:A,A757,D:D,D757,E:E,I757)</f>
        <v>0</v>
      </c>
    </row>
    <row r="758" spans="1:14" x14ac:dyDescent="0.3">
      <c r="A758" s="7" t="s">
        <v>191</v>
      </c>
      <c r="B758" s="7" t="s">
        <v>192</v>
      </c>
      <c r="C758" s="7" t="s">
        <v>425</v>
      </c>
      <c r="D758" s="8">
        <v>45369</v>
      </c>
      <c r="E758" s="8" t="str">
        <f t="shared" si="43"/>
        <v>March</v>
      </c>
      <c r="F758">
        <f t="shared" si="44"/>
        <v>2024</v>
      </c>
      <c r="G758">
        <f t="shared" si="45"/>
        <v>0</v>
      </c>
      <c r="H758">
        <f t="shared" si="46"/>
        <v>0</v>
      </c>
      <c r="I758" s="6"/>
      <c r="J758" s="6"/>
      <c r="K758" s="7" t="s">
        <v>44</v>
      </c>
      <c r="L758" s="7" t="s">
        <v>14</v>
      </c>
      <c r="M758" s="7" t="s">
        <v>15</v>
      </c>
      <c r="N758" s="7">
        <f>COUNTIFS(A:A,A758,D:D,D758,E:E,I758)</f>
        <v>0</v>
      </c>
    </row>
    <row r="759" spans="1:14" x14ac:dyDescent="0.3">
      <c r="A759" s="7" t="s">
        <v>138</v>
      </c>
      <c r="B759" s="7" t="s">
        <v>139</v>
      </c>
      <c r="C759" s="7" t="s">
        <v>60</v>
      </c>
      <c r="D759" s="8">
        <v>45357</v>
      </c>
      <c r="E759" s="8" t="str">
        <f t="shared" si="43"/>
        <v>March</v>
      </c>
      <c r="F759">
        <f t="shared" si="44"/>
        <v>2024</v>
      </c>
      <c r="G759">
        <f t="shared" si="45"/>
        <v>1</v>
      </c>
      <c r="H759">
        <f t="shared" si="46"/>
        <v>0</v>
      </c>
      <c r="I759" s="6">
        <v>0.38750000000000001</v>
      </c>
      <c r="J759" s="6">
        <v>0.74930555555555556</v>
      </c>
      <c r="K759" s="7" t="s">
        <v>13</v>
      </c>
      <c r="L759" s="7" t="s">
        <v>14</v>
      </c>
      <c r="M759" s="7" t="s">
        <v>15</v>
      </c>
      <c r="N759" s="7">
        <f>COUNTIFS(A:A,A759,D:D,D759,E:E,I759)</f>
        <v>0</v>
      </c>
    </row>
    <row r="760" spans="1:14" x14ac:dyDescent="0.3">
      <c r="A760" s="7" t="s">
        <v>130</v>
      </c>
      <c r="B760" s="7" t="s">
        <v>131</v>
      </c>
      <c r="C760" s="7" t="s">
        <v>42</v>
      </c>
      <c r="D760" s="8">
        <v>45322</v>
      </c>
      <c r="E760" s="8" t="str">
        <f t="shared" si="43"/>
        <v>January</v>
      </c>
      <c r="F760">
        <f t="shared" si="44"/>
        <v>2024</v>
      </c>
      <c r="G760">
        <f t="shared" si="45"/>
        <v>0</v>
      </c>
      <c r="H760">
        <f t="shared" si="46"/>
        <v>0</v>
      </c>
      <c r="I760" s="6"/>
      <c r="J760" s="6"/>
      <c r="K760" s="7" t="s">
        <v>44</v>
      </c>
      <c r="L760" s="7" t="s">
        <v>14</v>
      </c>
      <c r="M760" s="7" t="s">
        <v>21</v>
      </c>
      <c r="N760" s="7">
        <f>COUNTIFS(A:A,A760,D:D,D760,E:E,I760)</f>
        <v>0</v>
      </c>
    </row>
    <row r="761" spans="1:14" x14ac:dyDescent="0.3">
      <c r="A761" s="7" t="s">
        <v>213</v>
      </c>
      <c r="B761" s="7" t="s">
        <v>214</v>
      </c>
      <c r="C761" s="7" t="s">
        <v>425</v>
      </c>
      <c r="D761" s="8">
        <v>45338</v>
      </c>
      <c r="E761" s="8" t="str">
        <f t="shared" si="43"/>
        <v>February</v>
      </c>
      <c r="F761">
        <f t="shared" si="44"/>
        <v>2024</v>
      </c>
      <c r="G761">
        <f t="shared" si="45"/>
        <v>1</v>
      </c>
      <c r="H761">
        <f t="shared" si="46"/>
        <v>1</v>
      </c>
      <c r="I761" s="6">
        <v>0.36944444444444446</v>
      </c>
      <c r="J761" s="6">
        <v>0.68194444444444446</v>
      </c>
      <c r="K761" s="7" t="s">
        <v>26</v>
      </c>
      <c r="L761" s="7" t="s">
        <v>27</v>
      </c>
      <c r="M761" s="7" t="s">
        <v>21</v>
      </c>
      <c r="N761" s="7">
        <f>COUNTIFS(A:A,A761,D:D,D761,E:E,I761)</f>
        <v>0</v>
      </c>
    </row>
    <row r="762" spans="1:14" x14ac:dyDescent="0.3">
      <c r="A762" s="7" t="s">
        <v>141</v>
      </c>
      <c r="B762" s="7" t="s">
        <v>142</v>
      </c>
      <c r="C762" s="7" t="s">
        <v>425</v>
      </c>
      <c r="D762" s="8">
        <v>45346</v>
      </c>
      <c r="E762" s="8" t="str">
        <f t="shared" si="43"/>
        <v>February</v>
      </c>
      <c r="F762">
        <f t="shared" si="44"/>
        <v>2024</v>
      </c>
      <c r="G762">
        <f t="shared" si="45"/>
        <v>1</v>
      </c>
      <c r="H762">
        <f t="shared" si="46"/>
        <v>1</v>
      </c>
      <c r="I762" s="6">
        <v>0.4152777777777778</v>
      </c>
      <c r="J762" s="6">
        <v>0.86944444444444446</v>
      </c>
      <c r="K762" s="7" t="s">
        <v>26</v>
      </c>
      <c r="L762" s="7" t="s">
        <v>14</v>
      </c>
      <c r="M762" s="7" t="s">
        <v>15</v>
      </c>
      <c r="N762" s="7">
        <f>COUNTIFS(A:A,A762,D:D,D762,E:E,I762)</f>
        <v>0</v>
      </c>
    </row>
    <row r="763" spans="1:14" x14ac:dyDescent="0.3">
      <c r="A763" s="7" t="s">
        <v>204</v>
      </c>
      <c r="B763" s="7" t="s">
        <v>205</v>
      </c>
      <c r="C763" s="7" t="s">
        <v>60</v>
      </c>
      <c r="D763" s="8">
        <v>45316</v>
      </c>
      <c r="E763" s="8" t="str">
        <f t="shared" si="43"/>
        <v>January</v>
      </c>
      <c r="F763">
        <f t="shared" si="44"/>
        <v>2024</v>
      </c>
      <c r="G763">
        <f t="shared" si="45"/>
        <v>1</v>
      </c>
      <c r="H763">
        <f t="shared" si="46"/>
        <v>0</v>
      </c>
      <c r="I763" s="6">
        <v>0.43888888888888888</v>
      </c>
      <c r="J763" s="6">
        <v>0.74305555555555558</v>
      </c>
      <c r="K763" s="7" t="s">
        <v>20</v>
      </c>
      <c r="L763" s="7" t="s">
        <v>14</v>
      </c>
      <c r="M763" s="7" t="s">
        <v>15</v>
      </c>
      <c r="N763" s="7">
        <f>COUNTIFS(A:A,A763,D:D,D763,E:E,I763)</f>
        <v>0</v>
      </c>
    </row>
    <row r="764" spans="1:14" x14ac:dyDescent="0.3">
      <c r="A764" s="7" t="s">
        <v>291</v>
      </c>
      <c r="B764" s="7" t="s">
        <v>292</v>
      </c>
      <c r="C764" s="7" t="s">
        <v>425</v>
      </c>
      <c r="D764" s="8">
        <v>45322</v>
      </c>
      <c r="E764" s="8" t="str">
        <f t="shared" si="43"/>
        <v>January</v>
      </c>
      <c r="F764">
        <f t="shared" si="44"/>
        <v>2024</v>
      </c>
      <c r="G764">
        <f t="shared" si="45"/>
        <v>1</v>
      </c>
      <c r="H764">
        <f t="shared" si="46"/>
        <v>1</v>
      </c>
      <c r="I764" s="6">
        <v>0.37708333333333333</v>
      </c>
      <c r="J764" s="6">
        <v>0.84027777777777779</v>
      </c>
      <c r="K764" s="7" t="s">
        <v>26</v>
      </c>
      <c r="L764" s="7" t="s">
        <v>27</v>
      </c>
      <c r="M764" s="7" t="s">
        <v>21</v>
      </c>
      <c r="N764" s="7">
        <f>COUNTIFS(A:A,A764,D:D,D764,E:E,I764)</f>
        <v>0</v>
      </c>
    </row>
    <row r="765" spans="1:14" x14ac:dyDescent="0.3">
      <c r="A765" s="7" t="s">
        <v>150</v>
      </c>
      <c r="B765" s="7" t="s">
        <v>151</v>
      </c>
      <c r="C765" s="7" t="s">
        <v>60</v>
      </c>
      <c r="D765" s="8">
        <v>45371</v>
      </c>
      <c r="E765" s="8" t="str">
        <f t="shared" si="43"/>
        <v>March</v>
      </c>
      <c r="F765">
        <f t="shared" si="44"/>
        <v>2024</v>
      </c>
      <c r="G765">
        <f t="shared" si="45"/>
        <v>1</v>
      </c>
      <c r="H765">
        <f t="shared" si="46"/>
        <v>0</v>
      </c>
      <c r="I765" s="6">
        <v>0.43680555555555556</v>
      </c>
      <c r="J765" s="6">
        <v>0.79027777777777775</v>
      </c>
      <c r="K765" s="7" t="s">
        <v>20</v>
      </c>
      <c r="L765" s="7" t="s">
        <v>27</v>
      </c>
      <c r="M765" s="7" t="s">
        <v>15</v>
      </c>
      <c r="N765" s="7">
        <f>COUNTIFS(A:A,A765,D:D,D765,E:E,I765)</f>
        <v>0</v>
      </c>
    </row>
    <row r="766" spans="1:14" x14ac:dyDescent="0.3">
      <c r="A766" s="7" t="s">
        <v>87</v>
      </c>
      <c r="B766" s="7" t="s">
        <v>88</v>
      </c>
      <c r="C766" s="7" t="s">
        <v>425</v>
      </c>
      <c r="D766" s="8">
        <v>45308</v>
      </c>
      <c r="E766" s="8" t="str">
        <f t="shared" si="43"/>
        <v>January</v>
      </c>
      <c r="F766">
        <f t="shared" si="44"/>
        <v>2024</v>
      </c>
      <c r="G766">
        <f t="shared" si="45"/>
        <v>0</v>
      </c>
      <c r="H766">
        <f t="shared" si="46"/>
        <v>0</v>
      </c>
      <c r="I766" s="6"/>
      <c r="J766" s="6"/>
      <c r="K766" s="7" t="s">
        <v>44</v>
      </c>
      <c r="L766" s="7" t="s">
        <v>14</v>
      </c>
      <c r="M766" s="7" t="s">
        <v>21</v>
      </c>
      <c r="N766" s="7">
        <f>COUNTIFS(A:A,A766,D:D,D766,E:E,I766)</f>
        <v>0</v>
      </c>
    </row>
    <row r="767" spans="1:14" x14ac:dyDescent="0.3">
      <c r="A767" s="7" t="s">
        <v>102</v>
      </c>
      <c r="B767" s="7" t="s">
        <v>103</v>
      </c>
      <c r="C767" s="7" t="s">
        <v>425</v>
      </c>
      <c r="D767" s="8">
        <v>45333</v>
      </c>
      <c r="E767" s="8" t="str">
        <f t="shared" si="43"/>
        <v>February</v>
      </c>
      <c r="F767">
        <f t="shared" si="44"/>
        <v>2024</v>
      </c>
      <c r="G767">
        <f t="shared" si="45"/>
        <v>1</v>
      </c>
      <c r="H767">
        <f t="shared" si="46"/>
        <v>0</v>
      </c>
      <c r="I767" s="6">
        <v>0.48749999999999999</v>
      </c>
      <c r="J767" s="6">
        <v>0.73402777777777772</v>
      </c>
      <c r="K767" s="7" t="s">
        <v>20</v>
      </c>
      <c r="L767" s="7" t="s">
        <v>14</v>
      </c>
      <c r="M767" s="7" t="s">
        <v>21</v>
      </c>
      <c r="N767" s="7">
        <f>COUNTIFS(A:A,A767,D:D,D767,E:E,I767)</f>
        <v>0</v>
      </c>
    </row>
    <row r="768" spans="1:14" x14ac:dyDescent="0.3">
      <c r="A768" s="7" t="s">
        <v>62</v>
      </c>
      <c r="B768" s="7" t="s">
        <v>63</v>
      </c>
      <c r="C768" s="7" t="s">
        <v>426</v>
      </c>
      <c r="D768" s="8">
        <v>45319</v>
      </c>
      <c r="E768" s="8" t="str">
        <f t="shared" si="43"/>
        <v>January</v>
      </c>
      <c r="F768">
        <f t="shared" si="44"/>
        <v>2024</v>
      </c>
      <c r="G768">
        <f t="shared" si="45"/>
        <v>1</v>
      </c>
      <c r="H768">
        <f t="shared" si="46"/>
        <v>0</v>
      </c>
      <c r="I768" s="6">
        <v>0.35833333333333334</v>
      </c>
      <c r="J768" s="6">
        <v>0.85902777777777772</v>
      </c>
      <c r="K768" s="7" t="s">
        <v>13</v>
      </c>
      <c r="L768" s="7" t="s">
        <v>14</v>
      </c>
      <c r="M768" s="7" t="s">
        <v>21</v>
      </c>
      <c r="N768" s="7">
        <f>COUNTIFS(A:A,A768,D:D,D768,E:E,I768)</f>
        <v>0</v>
      </c>
    </row>
    <row r="769" spans="1:14" x14ac:dyDescent="0.3">
      <c r="A769" s="7" t="s">
        <v>66</v>
      </c>
      <c r="B769" s="7" t="s">
        <v>67</v>
      </c>
      <c r="C769" s="7" t="s">
        <v>425</v>
      </c>
      <c r="D769" s="8">
        <v>45324</v>
      </c>
      <c r="E769" s="8" t="str">
        <f t="shared" si="43"/>
        <v>February</v>
      </c>
      <c r="F769">
        <f t="shared" si="44"/>
        <v>2024</v>
      </c>
      <c r="G769">
        <f t="shared" si="45"/>
        <v>1</v>
      </c>
      <c r="H769">
        <f t="shared" si="46"/>
        <v>1</v>
      </c>
      <c r="I769" s="6">
        <v>0.41736111111111113</v>
      </c>
      <c r="J769" s="6">
        <v>0.69374999999999998</v>
      </c>
      <c r="K769" s="7" t="s">
        <v>26</v>
      </c>
      <c r="L769" s="7" t="s">
        <v>27</v>
      </c>
      <c r="M769" s="7" t="s">
        <v>15</v>
      </c>
      <c r="N769" s="7">
        <f>COUNTIFS(A:A,A769,D:D,D769,E:E,I769)</f>
        <v>0</v>
      </c>
    </row>
    <row r="770" spans="1:14" x14ac:dyDescent="0.3">
      <c r="A770" s="7" t="s">
        <v>96</v>
      </c>
      <c r="B770" s="7" t="s">
        <v>97</v>
      </c>
      <c r="C770" s="7" t="s">
        <v>64</v>
      </c>
      <c r="D770" s="8">
        <v>45314</v>
      </c>
      <c r="E770" s="8" t="str">
        <f t="shared" ref="E770:E833" si="47">TEXT(D770,"mmmm")</f>
        <v>January</v>
      </c>
      <c r="F770">
        <f t="shared" ref="F770:F833" si="48">YEAR(D770)</f>
        <v>2024</v>
      </c>
      <c r="G770">
        <f t="shared" ref="G770:G833" si="49">IF(LOWER(K770)="absent",0,1)</f>
        <v>0</v>
      </c>
      <c r="H770">
        <f t="shared" ref="H770:H833" si="50">IF(K770="Late",1,0)</f>
        <v>0</v>
      </c>
      <c r="I770" s="6"/>
      <c r="J770" s="6"/>
      <c r="K770" s="7" t="s">
        <v>44</v>
      </c>
      <c r="L770" s="7" t="s">
        <v>14</v>
      </c>
      <c r="M770" s="7" t="s">
        <v>15</v>
      </c>
      <c r="N770" s="7">
        <f>COUNTIFS(A:A,A770,D:D,D770,E:E,I770)</f>
        <v>0</v>
      </c>
    </row>
    <row r="771" spans="1:14" x14ac:dyDescent="0.3">
      <c r="A771" s="7" t="s">
        <v>141</v>
      </c>
      <c r="B771" s="7" t="s">
        <v>142</v>
      </c>
      <c r="C771" s="7" t="s">
        <v>425</v>
      </c>
      <c r="D771" s="8">
        <v>45378</v>
      </c>
      <c r="E771" s="8" t="str">
        <f t="shared" si="47"/>
        <v>March</v>
      </c>
      <c r="F771">
        <f t="shared" si="48"/>
        <v>2024</v>
      </c>
      <c r="G771">
        <f t="shared" si="49"/>
        <v>1</v>
      </c>
      <c r="H771">
        <f t="shared" si="50"/>
        <v>0</v>
      </c>
      <c r="I771" s="6">
        <v>0.36249999999999999</v>
      </c>
      <c r="J771" s="6">
        <v>0.82916666666666672</v>
      </c>
      <c r="K771" s="7" t="s">
        <v>20</v>
      </c>
      <c r="L771" s="7" t="s">
        <v>27</v>
      </c>
      <c r="M771" s="7" t="s">
        <v>21</v>
      </c>
      <c r="N771" s="7">
        <f>COUNTIFS(A:A,A771,D:D,D771,E:E,I771)</f>
        <v>0</v>
      </c>
    </row>
    <row r="772" spans="1:14" x14ac:dyDescent="0.3">
      <c r="A772" s="7" t="s">
        <v>16</v>
      </c>
      <c r="B772" s="7" t="s">
        <v>17</v>
      </c>
      <c r="C772" s="7" t="s">
        <v>42</v>
      </c>
      <c r="D772" s="8">
        <v>45323</v>
      </c>
      <c r="E772" s="8" t="str">
        <f t="shared" si="47"/>
        <v>February</v>
      </c>
      <c r="F772">
        <f t="shared" si="48"/>
        <v>2024</v>
      </c>
      <c r="G772">
        <f t="shared" si="49"/>
        <v>1</v>
      </c>
      <c r="H772">
        <f t="shared" si="50"/>
        <v>1</v>
      </c>
      <c r="I772" s="6">
        <v>0.38680555555555557</v>
      </c>
      <c r="J772" s="6">
        <v>0.76944444444444449</v>
      </c>
      <c r="K772" s="7" t="s">
        <v>26</v>
      </c>
      <c r="L772" s="7" t="s">
        <v>14</v>
      </c>
      <c r="M772" s="7" t="s">
        <v>21</v>
      </c>
      <c r="N772" s="7">
        <f>COUNTIFS(A:A,A772,D:D,D772,E:E,I772)</f>
        <v>0</v>
      </c>
    </row>
    <row r="773" spans="1:14" x14ac:dyDescent="0.3">
      <c r="A773" s="7" t="s">
        <v>37</v>
      </c>
      <c r="B773" s="7" t="s">
        <v>38</v>
      </c>
      <c r="C773" s="7" t="s">
        <v>64</v>
      </c>
      <c r="D773" s="8">
        <v>45380</v>
      </c>
      <c r="E773" s="8" t="str">
        <f t="shared" si="47"/>
        <v>March</v>
      </c>
      <c r="F773">
        <f t="shared" si="48"/>
        <v>2024</v>
      </c>
      <c r="G773">
        <f t="shared" si="49"/>
        <v>1</v>
      </c>
      <c r="H773">
        <f t="shared" si="50"/>
        <v>0</v>
      </c>
      <c r="I773" s="6">
        <v>0.45416666666666666</v>
      </c>
      <c r="J773" s="6">
        <v>0.79861111111111116</v>
      </c>
      <c r="K773" s="7" t="s">
        <v>13</v>
      </c>
      <c r="L773" s="7" t="s">
        <v>14</v>
      </c>
      <c r="M773" s="7" t="s">
        <v>15</v>
      </c>
      <c r="N773" s="7">
        <f>COUNTIFS(A:A,A773,D:D,D773,E:E,I773)</f>
        <v>0</v>
      </c>
    </row>
    <row r="774" spans="1:14" x14ac:dyDescent="0.3">
      <c r="A774" s="7" t="s">
        <v>250</v>
      </c>
      <c r="B774" s="7" t="s">
        <v>251</v>
      </c>
      <c r="C774" s="7" t="s">
        <v>426</v>
      </c>
      <c r="D774" s="8">
        <v>45316</v>
      </c>
      <c r="E774" s="8" t="str">
        <f t="shared" si="47"/>
        <v>January</v>
      </c>
      <c r="F774">
        <f t="shared" si="48"/>
        <v>2024</v>
      </c>
      <c r="G774">
        <f t="shared" si="49"/>
        <v>1</v>
      </c>
      <c r="H774">
        <f t="shared" si="50"/>
        <v>1</v>
      </c>
      <c r="I774" s="6">
        <v>0.4548611111111111</v>
      </c>
      <c r="J774" s="6">
        <v>0.87083333333333335</v>
      </c>
      <c r="K774" s="7" t="s">
        <v>26</v>
      </c>
      <c r="L774" s="7" t="s">
        <v>27</v>
      </c>
      <c r="M774" s="7" t="s">
        <v>21</v>
      </c>
      <c r="N774" s="7">
        <f>COUNTIFS(A:A,A774,D:D,D774,E:E,I774)</f>
        <v>0</v>
      </c>
    </row>
    <row r="775" spans="1:14" x14ac:dyDescent="0.3">
      <c r="A775" s="7" t="s">
        <v>99</v>
      </c>
      <c r="B775" s="7" t="s">
        <v>100</v>
      </c>
      <c r="C775" s="7" t="s">
        <v>64</v>
      </c>
      <c r="D775" s="8">
        <v>45343</v>
      </c>
      <c r="E775" s="8" t="str">
        <f t="shared" si="47"/>
        <v>February</v>
      </c>
      <c r="F775">
        <f t="shared" si="48"/>
        <v>2024</v>
      </c>
      <c r="G775">
        <f t="shared" si="49"/>
        <v>1</v>
      </c>
      <c r="H775">
        <f t="shared" si="50"/>
        <v>0</v>
      </c>
      <c r="I775" s="6">
        <v>0.34027777777777779</v>
      </c>
      <c r="J775" s="6">
        <v>0.80625000000000002</v>
      </c>
      <c r="K775" s="7" t="s">
        <v>20</v>
      </c>
      <c r="L775" s="7" t="s">
        <v>14</v>
      </c>
      <c r="M775" s="7" t="s">
        <v>21</v>
      </c>
      <c r="N775" s="7">
        <f>COUNTIFS(A:A,A775,D:D,D775,E:E,I775)</f>
        <v>0</v>
      </c>
    </row>
    <row r="776" spans="1:14" x14ac:dyDescent="0.3">
      <c r="A776" s="7" t="s">
        <v>96</v>
      </c>
      <c r="B776" s="7" t="s">
        <v>97</v>
      </c>
      <c r="C776" s="7" t="s">
        <v>425</v>
      </c>
      <c r="D776" s="8">
        <v>45376</v>
      </c>
      <c r="E776" s="8" t="str">
        <f t="shared" si="47"/>
        <v>March</v>
      </c>
      <c r="F776">
        <f t="shared" si="48"/>
        <v>2024</v>
      </c>
      <c r="G776">
        <f t="shared" si="49"/>
        <v>1</v>
      </c>
      <c r="H776">
        <f t="shared" si="50"/>
        <v>0</v>
      </c>
      <c r="I776" s="6">
        <v>0.40069444444444446</v>
      </c>
      <c r="J776" s="6">
        <v>0.79097222222222219</v>
      </c>
      <c r="K776" s="7" t="s">
        <v>13</v>
      </c>
      <c r="L776" s="7" t="s">
        <v>27</v>
      </c>
      <c r="M776" s="7" t="s">
        <v>21</v>
      </c>
      <c r="N776" s="7">
        <f>COUNTIFS(A:A,A776,D:D,D776,E:E,I776)</f>
        <v>0</v>
      </c>
    </row>
    <row r="777" spans="1:14" x14ac:dyDescent="0.3">
      <c r="A777" s="7" t="s">
        <v>157</v>
      </c>
      <c r="B777" s="7" t="s">
        <v>158</v>
      </c>
      <c r="C777" s="7" t="s">
        <v>64</v>
      </c>
      <c r="D777" s="8">
        <v>45354</v>
      </c>
      <c r="E777" s="8" t="str">
        <f t="shared" si="47"/>
        <v>March</v>
      </c>
      <c r="F777">
        <f t="shared" si="48"/>
        <v>2024</v>
      </c>
      <c r="G777">
        <f t="shared" si="49"/>
        <v>1</v>
      </c>
      <c r="H777">
        <f t="shared" si="50"/>
        <v>0</v>
      </c>
      <c r="I777" s="6">
        <v>0.49791666666666667</v>
      </c>
      <c r="J777" s="6">
        <v>0.82430555555555551</v>
      </c>
      <c r="K777" s="7" t="s">
        <v>13</v>
      </c>
      <c r="L777" s="7" t="s">
        <v>14</v>
      </c>
      <c r="M777" s="7" t="s">
        <v>15</v>
      </c>
      <c r="N777" s="7">
        <f>COUNTIFS(A:A,A777,D:D,D777,E:E,I777)</f>
        <v>0</v>
      </c>
    </row>
    <row r="778" spans="1:14" x14ac:dyDescent="0.3">
      <c r="A778" s="7" t="s">
        <v>315</v>
      </c>
      <c r="B778" s="7" t="s">
        <v>316</v>
      </c>
      <c r="C778" s="7" t="s">
        <v>426</v>
      </c>
      <c r="D778" s="8">
        <v>45378</v>
      </c>
      <c r="E778" s="8" t="str">
        <f t="shared" si="47"/>
        <v>March</v>
      </c>
      <c r="F778">
        <f t="shared" si="48"/>
        <v>2024</v>
      </c>
      <c r="G778">
        <f t="shared" si="49"/>
        <v>1</v>
      </c>
      <c r="H778">
        <f t="shared" si="50"/>
        <v>0</v>
      </c>
      <c r="I778" s="6">
        <v>0.46250000000000002</v>
      </c>
      <c r="J778" s="6">
        <v>0.85555555555555551</v>
      </c>
      <c r="K778" s="7" t="s">
        <v>20</v>
      </c>
      <c r="L778" s="7" t="s">
        <v>27</v>
      </c>
      <c r="M778" s="7" t="s">
        <v>15</v>
      </c>
      <c r="N778" s="7">
        <f>COUNTIFS(A:A,A778,D:D,D778,E:E,I778)</f>
        <v>0</v>
      </c>
    </row>
    <row r="779" spans="1:14" x14ac:dyDescent="0.3">
      <c r="A779" s="7" t="s">
        <v>246</v>
      </c>
      <c r="B779" s="7" t="s">
        <v>247</v>
      </c>
      <c r="C779" s="7" t="s">
        <v>64</v>
      </c>
      <c r="D779" s="8">
        <v>45342</v>
      </c>
      <c r="E779" s="8" t="str">
        <f t="shared" si="47"/>
        <v>February</v>
      </c>
      <c r="F779">
        <f t="shared" si="48"/>
        <v>2024</v>
      </c>
      <c r="G779">
        <f t="shared" si="49"/>
        <v>1</v>
      </c>
      <c r="H779">
        <f t="shared" si="50"/>
        <v>1</v>
      </c>
      <c r="I779" s="6">
        <v>0.41597222222222224</v>
      </c>
      <c r="J779" s="6">
        <v>0.82222222222222219</v>
      </c>
      <c r="K779" s="7" t="s">
        <v>26</v>
      </c>
      <c r="L779" s="7" t="s">
        <v>27</v>
      </c>
      <c r="M779" s="7" t="s">
        <v>21</v>
      </c>
      <c r="N779" s="7">
        <f>COUNTIFS(A:A,A779,D:D,D779,E:E,I779)</f>
        <v>0</v>
      </c>
    </row>
    <row r="780" spans="1:14" x14ac:dyDescent="0.3">
      <c r="A780" s="7" t="s">
        <v>40</v>
      </c>
      <c r="B780" s="7" t="s">
        <v>41</v>
      </c>
      <c r="C780" s="7" t="s">
        <v>425</v>
      </c>
      <c r="D780" s="8">
        <v>45536</v>
      </c>
      <c r="E780" s="8" t="str">
        <f t="shared" si="47"/>
        <v>September</v>
      </c>
      <c r="F780">
        <f t="shared" si="48"/>
        <v>2024</v>
      </c>
      <c r="G780">
        <f t="shared" si="49"/>
        <v>1</v>
      </c>
      <c r="H780">
        <f t="shared" si="50"/>
        <v>0</v>
      </c>
      <c r="I780" s="6">
        <v>0.39097222222222222</v>
      </c>
      <c r="J780" s="6">
        <v>0.85624999999999996</v>
      </c>
      <c r="K780" s="7" t="s">
        <v>13</v>
      </c>
      <c r="L780" s="7" t="s">
        <v>27</v>
      </c>
      <c r="M780" s="7" t="s">
        <v>15</v>
      </c>
      <c r="N780" s="7">
        <f>COUNTIFS(A:A,A780,D:D,D780,E:E,I780)</f>
        <v>0</v>
      </c>
    </row>
    <row r="781" spans="1:14" x14ac:dyDescent="0.3">
      <c r="A781" s="7" t="s">
        <v>213</v>
      </c>
      <c r="B781" s="7" t="s">
        <v>214</v>
      </c>
      <c r="C781" s="7" t="s">
        <v>60</v>
      </c>
      <c r="D781" s="8">
        <v>45307</v>
      </c>
      <c r="E781" s="8" t="str">
        <f t="shared" si="47"/>
        <v>January</v>
      </c>
      <c r="F781">
        <f t="shared" si="48"/>
        <v>2024</v>
      </c>
      <c r="G781">
        <f t="shared" si="49"/>
        <v>1</v>
      </c>
      <c r="H781">
        <f t="shared" si="50"/>
        <v>0</v>
      </c>
      <c r="I781" s="6">
        <v>0.4826388888888889</v>
      </c>
      <c r="J781" s="6">
        <v>0.75763888888888886</v>
      </c>
      <c r="K781" s="7" t="s">
        <v>20</v>
      </c>
      <c r="L781" s="7" t="s">
        <v>27</v>
      </c>
      <c r="M781" s="7" t="s">
        <v>15</v>
      </c>
      <c r="N781" s="7">
        <f>COUNTIFS(A:A,A781,D:D,D781,E:E,I781)</f>
        <v>0</v>
      </c>
    </row>
    <row r="782" spans="1:14" x14ac:dyDescent="0.3">
      <c r="A782" s="7" t="s">
        <v>122</v>
      </c>
      <c r="B782" s="7" t="s">
        <v>123</v>
      </c>
      <c r="C782" s="7" t="s">
        <v>64</v>
      </c>
      <c r="D782" s="8">
        <v>45444</v>
      </c>
      <c r="E782" s="8" t="str">
        <f t="shared" si="47"/>
        <v>June</v>
      </c>
      <c r="F782">
        <f t="shared" si="48"/>
        <v>2024</v>
      </c>
      <c r="G782">
        <f t="shared" si="49"/>
        <v>1</v>
      </c>
      <c r="H782">
        <f t="shared" si="50"/>
        <v>0</v>
      </c>
      <c r="I782" s="6">
        <v>0.45277777777777778</v>
      </c>
      <c r="J782" s="6">
        <v>0.7</v>
      </c>
      <c r="K782" s="7" t="s">
        <v>20</v>
      </c>
      <c r="L782" s="7" t="s">
        <v>27</v>
      </c>
      <c r="M782" s="7" t="s">
        <v>21</v>
      </c>
      <c r="N782" s="7">
        <f>COUNTIFS(A:A,A782,D:D,D782,E:E,I782)</f>
        <v>0</v>
      </c>
    </row>
    <row r="783" spans="1:14" x14ac:dyDescent="0.3">
      <c r="A783" s="7" t="s">
        <v>40</v>
      </c>
      <c r="B783" s="7" t="s">
        <v>41</v>
      </c>
      <c r="C783" s="7" t="s">
        <v>42</v>
      </c>
      <c r="D783" s="8">
        <v>45310</v>
      </c>
      <c r="E783" s="8" t="str">
        <f t="shared" si="47"/>
        <v>January</v>
      </c>
      <c r="F783">
        <f t="shared" si="48"/>
        <v>2024</v>
      </c>
      <c r="G783">
        <f t="shared" si="49"/>
        <v>1</v>
      </c>
      <c r="H783">
        <f t="shared" si="50"/>
        <v>0</v>
      </c>
      <c r="I783" s="6">
        <v>0.34722222222222221</v>
      </c>
      <c r="J783" s="6">
        <v>0.72222222222222221</v>
      </c>
      <c r="K783" s="7" t="s">
        <v>13</v>
      </c>
      <c r="L783" s="7" t="s">
        <v>14</v>
      </c>
      <c r="M783" s="7" t="s">
        <v>15</v>
      </c>
      <c r="N783" s="7">
        <f>COUNTIFS(A:A,A783,D:D,D783,E:E,I783)</f>
        <v>0</v>
      </c>
    </row>
    <row r="784" spans="1:14" x14ac:dyDescent="0.3">
      <c r="A784" s="7" t="s">
        <v>146</v>
      </c>
      <c r="B784" s="7" t="s">
        <v>147</v>
      </c>
      <c r="C784" s="7" t="s">
        <v>426</v>
      </c>
      <c r="D784" s="8">
        <v>45628</v>
      </c>
      <c r="E784" s="8" t="str">
        <f t="shared" si="47"/>
        <v>December</v>
      </c>
      <c r="F784">
        <f t="shared" si="48"/>
        <v>2024</v>
      </c>
      <c r="G784">
        <f t="shared" si="49"/>
        <v>1</v>
      </c>
      <c r="H784">
        <f t="shared" si="50"/>
        <v>0</v>
      </c>
      <c r="I784" s="6">
        <v>0.43194444444444446</v>
      </c>
      <c r="J784" s="6">
        <v>0.69513888888888886</v>
      </c>
      <c r="K784" s="7" t="s">
        <v>20</v>
      </c>
      <c r="L784" s="7" t="s">
        <v>14</v>
      </c>
      <c r="M784" s="7" t="s">
        <v>21</v>
      </c>
      <c r="N784" s="7">
        <f>COUNTIFS(A:A,A784,D:D,D784,E:E,I784)</f>
        <v>0</v>
      </c>
    </row>
    <row r="785" spans="1:14" x14ac:dyDescent="0.3">
      <c r="A785" s="7" t="s">
        <v>72</v>
      </c>
      <c r="B785" s="7" t="s">
        <v>73</v>
      </c>
      <c r="C785" s="7" t="s">
        <v>425</v>
      </c>
      <c r="D785" s="8">
        <v>45310</v>
      </c>
      <c r="E785" s="8" t="str">
        <f t="shared" si="47"/>
        <v>January</v>
      </c>
      <c r="F785">
        <f t="shared" si="48"/>
        <v>2024</v>
      </c>
      <c r="G785">
        <f t="shared" si="49"/>
        <v>1</v>
      </c>
      <c r="H785">
        <f t="shared" si="50"/>
        <v>0</v>
      </c>
      <c r="I785" s="6">
        <v>0.39097222222222222</v>
      </c>
      <c r="J785" s="6">
        <v>0.77152777777777781</v>
      </c>
      <c r="K785" s="7" t="s">
        <v>13</v>
      </c>
      <c r="L785" s="7" t="s">
        <v>14</v>
      </c>
      <c r="M785" s="7" t="s">
        <v>15</v>
      </c>
      <c r="N785" s="7">
        <f>COUNTIFS(A:A,A785,D:D,D785,E:E,I785)</f>
        <v>0</v>
      </c>
    </row>
    <row r="786" spans="1:14" x14ac:dyDescent="0.3">
      <c r="A786" s="7" t="s">
        <v>146</v>
      </c>
      <c r="B786" s="7" t="s">
        <v>147</v>
      </c>
      <c r="C786" s="7" t="s">
        <v>60</v>
      </c>
      <c r="D786" s="8">
        <v>45628</v>
      </c>
      <c r="E786" s="8" t="str">
        <f t="shared" si="47"/>
        <v>December</v>
      </c>
      <c r="F786">
        <f t="shared" si="48"/>
        <v>2024</v>
      </c>
      <c r="G786">
        <f t="shared" si="49"/>
        <v>1</v>
      </c>
      <c r="H786">
        <f t="shared" si="50"/>
        <v>1</v>
      </c>
      <c r="I786" s="6">
        <v>0.41388888888888886</v>
      </c>
      <c r="J786" s="6">
        <v>0.83333333333333337</v>
      </c>
      <c r="K786" s="7" t="s">
        <v>26</v>
      </c>
      <c r="L786" s="7" t="s">
        <v>27</v>
      </c>
      <c r="M786" s="7" t="s">
        <v>15</v>
      </c>
      <c r="N786" s="7">
        <f>COUNTIFS(A:A,A786,D:D,D786,E:E,I786)</f>
        <v>0</v>
      </c>
    </row>
    <row r="787" spans="1:14" x14ac:dyDescent="0.3">
      <c r="A787" s="7" t="s">
        <v>109</v>
      </c>
      <c r="B787" s="7" t="s">
        <v>110</v>
      </c>
      <c r="C787" s="7" t="s">
        <v>426</v>
      </c>
      <c r="D787" s="8">
        <v>45314</v>
      </c>
      <c r="E787" s="8" t="str">
        <f t="shared" si="47"/>
        <v>January</v>
      </c>
      <c r="F787">
        <f t="shared" si="48"/>
        <v>2024</v>
      </c>
      <c r="G787">
        <f t="shared" si="49"/>
        <v>1</v>
      </c>
      <c r="H787">
        <f t="shared" si="50"/>
        <v>0</v>
      </c>
      <c r="I787" s="6">
        <v>0.43611111111111112</v>
      </c>
      <c r="J787" s="6">
        <v>0.69166666666666665</v>
      </c>
      <c r="K787" s="7" t="s">
        <v>13</v>
      </c>
      <c r="L787" s="7" t="s">
        <v>27</v>
      </c>
      <c r="M787" s="7" t="s">
        <v>21</v>
      </c>
      <c r="N787" s="7">
        <f>COUNTIFS(A:A,A787,D:D,D787,E:E,I787)</f>
        <v>0</v>
      </c>
    </row>
    <row r="788" spans="1:14" x14ac:dyDescent="0.3">
      <c r="A788" s="7" t="s">
        <v>315</v>
      </c>
      <c r="B788" s="7" t="s">
        <v>316</v>
      </c>
      <c r="C788" s="7" t="s">
        <v>426</v>
      </c>
      <c r="D788" s="8">
        <v>45415</v>
      </c>
      <c r="E788" s="8" t="str">
        <f t="shared" si="47"/>
        <v>May</v>
      </c>
      <c r="F788">
        <f t="shared" si="48"/>
        <v>2024</v>
      </c>
      <c r="G788">
        <f t="shared" si="49"/>
        <v>1</v>
      </c>
      <c r="H788">
        <f t="shared" si="50"/>
        <v>1</v>
      </c>
      <c r="I788" s="6">
        <v>0.46111111111111114</v>
      </c>
      <c r="J788" s="6">
        <v>0.77152777777777781</v>
      </c>
      <c r="K788" s="7" t="s">
        <v>26</v>
      </c>
      <c r="L788" s="7" t="s">
        <v>14</v>
      </c>
      <c r="M788" s="7" t="s">
        <v>15</v>
      </c>
      <c r="N788" s="7">
        <f>COUNTIFS(A:A,A788,D:D,D788,E:E,I788)</f>
        <v>0</v>
      </c>
    </row>
    <row r="789" spans="1:14" x14ac:dyDescent="0.3">
      <c r="A789" s="7" t="s">
        <v>62</v>
      </c>
      <c r="B789" s="7" t="s">
        <v>63</v>
      </c>
      <c r="C789" s="7" t="s">
        <v>426</v>
      </c>
      <c r="D789" s="8">
        <v>45343</v>
      </c>
      <c r="E789" s="8" t="str">
        <f t="shared" si="47"/>
        <v>February</v>
      </c>
      <c r="F789">
        <f t="shared" si="48"/>
        <v>2024</v>
      </c>
      <c r="G789">
        <f t="shared" si="49"/>
        <v>1</v>
      </c>
      <c r="H789">
        <f t="shared" si="50"/>
        <v>0</v>
      </c>
      <c r="I789" s="6">
        <v>0.48194444444444445</v>
      </c>
      <c r="J789" s="6">
        <v>0.86944444444444446</v>
      </c>
      <c r="K789" s="7" t="s">
        <v>20</v>
      </c>
      <c r="L789" s="7" t="s">
        <v>27</v>
      </c>
      <c r="M789" s="7" t="s">
        <v>21</v>
      </c>
      <c r="N789" s="7">
        <f>COUNTIFS(A:A,A789,D:D,D789,E:E,I789)</f>
        <v>0</v>
      </c>
    </row>
    <row r="790" spans="1:14" x14ac:dyDescent="0.3">
      <c r="A790" s="7" t="s">
        <v>115</v>
      </c>
      <c r="B790" s="7" t="s">
        <v>116</v>
      </c>
      <c r="C790" s="7" t="s">
        <v>426</v>
      </c>
      <c r="D790" s="8">
        <v>45357</v>
      </c>
      <c r="E790" s="8" t="str">
        <f t="shared" si="47"/>
        <v>March</v>
      </c>
      <c r="F790">
        <f t="shared" si="48"/>
        <v>2024</v>
      </c>
      <c r="G790">
        <f t="shared" si="49"/>
        <v>1</v>
      </c>
      <c r="H790">
        <f t="shared" si="50"/>
        <v>0</v>
      </c>
      <c r="I790" s="6">
        <v>0.39513888888888887</v>
      </c>
      <c r="J790" s="6">
        <v>0.69513888888888886</v>
      </c>
      <c r="K790" s="7" t="s">
        <v>20</v>
      </c>
      <c r="L790" s="7" t="s">
        <v>14</v>
      </c>
      <c r="M790" s="7" t="s">
        <v>21</v>
      </c>
      <c r="N790" s="7">
        <f>COUNTIFS(A:A,A790,D:D,D790,E:E,I790)</f>
        <v>0</v>
      </c>
    </row>
    <row r="791" spans="1:14" x14ac:dyDescent="0.3">
      <c r="A791" s="7" t="s">
        <v>224</v>
      </c>
      <c r="B791" s="7" t="s">
        <v>225</v>
      </c>
      <c r="C791" s="7" t="s">
        <v>60</v>
      </c>
      <c r="D791" s="8">
        <v>45305</v>
      </c>
      <c r="E791" s="8" t="str">
        <f t="shared" si="47"/>
        <v>January</v>
      </c>
      <c r="F791">
        <f t="shared" si="48"/>
        <v>2024</v>
      </c>
      <c r="G791">
        <f t="shared" si="49"/>
        <v>0</v>
      </c>
      <c r="H791">
        <f t="shared" si="50"/>
        <v>0</v>
      </c>
      <c r="I791" s="6"/>
      <c r="J791" s="6"/>
      <c r="K791" s="7" t="s">
        <v>44</v>
      </c>
      <c r="L791" s="7" t="s">
        <v>14</v>
      </c>
      <c r="M791" s="7" t="s">
        <v>21</v>
      </c>
      <c r="N791" s="7">
        <f>COUNTIFS(A:A,A791,D:D,D791,E:E,I791)</f>
        <v>0</v>
      </c>
    </row>
    <row r="792" spans="1:14" x14ac:dyDescent="0.3">
      <c r="A792" s="7" t="s">
        <v>93</v>
      </c>
      <c r="B792" s="7" t="s">
        <v>94</v>
      </c>
      <c r="C792" s="7" t="s">
        <v>425</v>
      </c>
      <c r="D792" s="8">
        <v>45295</v>
      </c>
      <c r="E792" s="8" t="str">
        <f t="shared" si="47"/>
        <v>January</v>
      </c>
      <c r="F792">
        <f t="shared" si="48"/>
        <v>2024</v>
      </c>
      <c r="G792">
        <f t="shared" si="49"/>
        <v>1</v>
      </c>
      <c r="H792">
        <f t="shared" si="50"/>
        <v>0</v>
      </c>
      <c r="I792" s="6">
        <v>0.48541666666666666</v>
      </c>
      <c r="J792" s="6">
        <v>0.84791666666666665</v>
      </c>
      <c r="K792" s="7" t="s">
        <v>13</v>
      </c>
      <c r="L792" s="7" t="s">
        <v>27</v>
      </c>
      <c r="M792" s="7" t="s">
        <v>21</v>
      </c>
      <c r="N792" s="7">
        <f>COUNTIFS(A:A,A792,D:D,D792,E:E,I792)</f>
        <v>0</v>
      </c>
    </row>
    <row r="793" spans="1:14" x14ac:dyDescent="0.3">
      <c r="A793" s="7" t="s">
        <v>122</v>
      </c>
      <c r="B793" s="7" t="s">
        <v>123</v>
      </c>
      <c r="C793" s="7" t="s">
        <v>60</v>
      </c>
      <c r="D793" s="8">
        <v>45346</v>
      </c>
      <c r="E793" s="8" t="str">
        <f t="shared" si="47"/>
        <v>February</v>
      </c>
      <c r="F793">
        <f t="shared" si="48"/>
        <v>2024</v>
      </c>
      <c r="G793">
        <f t="shared" si="49"/>
        <v>1</v>
      </c>
      <c r="H793">
        <f t="shared" si="50"/>
        <v>0</v>
      </c>
      <c r="I793" s="6">
        <v>0.44236111111111109</v>
      </c>
      <c r="J793" s="6">
        <v>0.6958333333333333</v>
      </c>
      <c r="K793" s="7" t="s">
        <v>20</v>
      </c>
      <c r="L793" s="7" t="s">
        <v>27</v>
      </c>
      <c r="M793" s="7" t="s">
        <v>15</v>
      </c>
      <c r="N793" s="7">
        <f>COUNTIFS(A:A,A793,D:D,D793,E:E,I793)</f>
        <v>0</v>
      </c>
    </row>
    <row r="794" spans="1:14" x14ac:dyDescent="0.3">
      <c r="A794" s="7" t="s">
        <v>102</v>
      </c>
      <c r="B794" s="7" t="s">
        <v>103</v>
      </c>
      <c r="C794" s="7" t="s">
        <v>42</v>
      </c>
      <c r="D794" s="8">
        <v>45357</v>
      </c>
      <c r="E794" s="8" t="str">
        <f t="shared" si="47"/>
        <v>March</v>
      </c>
      <c r="F794">
        <f t="shared" si="48"/>
        <v>2024</v>
      </c>
      <c r="G794">
        <f t="shared" si="49"/>
        <v>0</v>
      </c>
      <c r="H794">
        <f t="shared" si="50"/>
        <v>0</v>
      </c>
      <c r="I794" s="6"/>
      <c r="J794" s="6"/>
      <c r="K794" s="7" t="s">
        <v>44</v>
      </c>
      <c r="L794" s="7" t="s">
        <v>27</v>
      </c>
      <c r="M794" s="7" t="s">
        <v>15</v>
      </c>
      <c r="N794" s="7">
        <f>COUNTIFS(A:A,A794,D:D,D794,E:E,I794)</f>
        <v>0</v>
      </c>
    </row>
    <row r="795" spans="1:14" x14ac:dyDescent="0.3">
      <c r="A795" s="7" t="s">
        <v>115</v>
      </c>
      <c r="B795" s="7" t="s">
        <v>116</v>
      </c>
      <c r="C795" s="7" t="s">
        <v>64</v>
      </c>
      <c r="D795" s="8">
        <v>45444</v>
      </c>
      <c r="E795" s="8" t="str">
        <f t="shared" si="47"/>
        <v>June</v>
      </c>
      <c r="F795">
        <f t="shared" si="48"/>
        <v>2024</v>
      </c>
      <c r="G795">
        <f t="shared" si="49"/>
        <v>1</v>
      </c>
      <c r="H795">
        <f t="shared" si="50"/>
        <v>0</v>
      </c>
      <c r="I795" s="6">
        <v>0.40069444444444446</v>
      </c>
      <c r="J795" s="6">
        <v>0.76736111111111116</v>
      </c>
      <c r="K795" s="7" t="s">
        <v>13</v>
      </c>
      <c r="L795" s="7" t="s">
        <v>14</v>
      </c>
      <c r="M795" s="7" t="s">
        <v>15</v>
      </c>
      <c r="N795" s="7">
        <f>COUNTIFS(A:A,A795,D:D,D795,E:E,I795)</f>
        <v>0</v>
      </c>
    </row>
    <row r="796" spans="1:14" x14ac:dyDescent="0.3">
      <c r="A796" s="7" t="s">
        <v>130</v>
      </c>
      <c r="B796" s="7" t="s">
        <v>131</v>
      </c>
      <c r="C796" s="7" t="s">
        <v>42</v>
      </c>
      <c r="D796" s="8">
        <v>45373</v>
      </c>
      <c r="E796" s="8" t="str">
        <f t="shared" si="47"/>
        <v>March</v>
      </c>
      <c r="F796">
        <f t="shared" si="48"/>
        <v>2024</v>
      </c>
      <c r="G796">
        <f t="shared" si="49"/>
        <v>0</v>
      </c>
      <c r="H796">
        <f t="shared" si="50"/>
        <v>0</v>
      </c>
      <c r="I796" s="6"/>
      <c r="J796" s="6"/>
      <c r="K796" s="7" t="s">
        <v>44</v>
      </c>
      <c r="L796" s="7" t="s">
        <v>27</v>
      </c>
      <c r="M796" s="7" t="s">
        <v>15</v>
      </c>
      <c r="N796" s="7">
        <f>COUNTIFS(A:A,A796,D:D,D796,E:E,I796)</f>
        <v>0</v>
      </c>
    </row>
    <row r="797" spans="1:14" x14ac:dyDescent="0.3">
      <c r="A797" s="7" t="s">
        <v>109</v>
      </c>
      <c r="B797" s="7" t="s">
        <v>110</v>
      </c>
      <c r="C797" s="7" t="s">
        <v>426</v>
      </c>
      <c r="D797" s="8">
        <v>45293</v>
      </c>
      <c r="E797" s="8" t="str">
        <f t="shared" si="47"/>
        <v>January</v>
      </c>
      <c r="F797">
        <f t="shared" si="48"/>
        <v>2024</v>
      </c>
      <c r="G797">
        <f t="shared" si="49"/>
        <v>1</v>
      </c>
      <c r="H797">
        <f t="shared" si="50"/>
        <v>1</v>
      </c>
      <c r="I797" s="6">
        <v>0.4465277777777778</v>
      </c>
      <c r="J797" s="6">
        <v>0.85763888888888884</v>
      </c>
      <c r="K797" s="7" t="s">
        <v>26</v>
      </c>
      <c r="L797" s="7" t="s">
        <v>14</v>
      </c>
      <c r="M797" s="7" t="s">
        <v>15</v>
      </c>
      <c r="N797" s="7">
        <f>COUNTIFS(A:A,A797,D:D,D797,E:E,I797)</f>
        <v>0</v>
      </c>
    </row>
    <row r="798" spans="1:14" x14ac:dyDescent="0.3">
      <c r="A798" s="7" t="s">
        <v>40</v>
      </c>
      <c r="B798" s="7" t="s">
        <v>41</v>
      </c>
      <c r="C798" s="7" t="s">
        <v>64</v>
      </c>
      <c r="D798" s="8">
        <v>45357</v>
      </c>
      <c r="E798" s="8" t="str">
        <f t="shared" si="47"/>
        <v>March</v>
      </c>
      <c r="F798">
        <f t="shared" si="48"/>
        <v>2024</v>
      </c>
      <c r="G798">
        <f t="shared" si="49"/>
        <v>0</v>
      </c>
      <c r="H798">
        <f t="shared" si="50"/>
        <v>0</v>
      </c>
      <c r="I798" s="6"/>
      <c r="J798" s="6"/>
      <c r="K798" s="7" t="s">
        <v>44</v>
      </c>
      <c r="L798" s="7" t="s">
        <v>14</v>
      </c>
      <c r="M798" s="7" t="s">
        <v>21</v>
      </c>
      <c r="N798" s="7">
        <f>COUNTIFS(A:A,A798,D:D,D798,E:E,I798)</f>
        <v>0</v>
      </c>
    </row>
    <row r="799" spans="1:14" x14ac:dyDescent="0.3">
      <c r="A799" s="7" t="s">
        <v>191</v>
      </c>
      <c r="B799" s="7" t="s">
        <v>192</v>
      </c>
      <c r="C799" s="7" t="s">
        <v>42</v>
      </c>
      <c r="D799" s="8">
        <v>45446</v>
      </c>
      <c r="E799" s="8" t="str">
        <f t="shared" si="47"/>
        <v>June</v>
      </c>
      <c r="F799">
        <f t="shared" si="48"/>
        <v>2024</v>
      </c>
      <c r="G799">
        <f t="shared" si="49"/>
        <v>1</v>
      </c>
      <c r="H799">
        <f t="shared" si="50"/>
        <v>0</v>
      </c>
      <c r="I799" s="6">
        <v>0.37013888888888891</v>
      </c>
      <c r="J799" s="6">
        <v>0.69027777777777777</v>
      </c>
      <c r="K799" s="7" t="s">
        <v>20</v>
      </c>
      <c r="L799" s="7" t="s">
        <v>14</v>
      </c>
      <c r="M799" s="7" t="s">
        <v>21</v>
      </c>
      <c r="N799" s="7">
        <f>COUNTIFS(A:A,A799,D:D,D799,E:E,I799)</f>
        <v>0</v>
      </c>
    </row>
    <row r="800" spans="1:14" x14ac:dyDescent="0.3">
      <c r="A800" s="7" t="s">
        <v>194</v>
      </c>
      <c r="B800" s="7" t="s">
        <v>195</v>
      </c>
      <c r="C800" s="7" t="s">
        <v>42</v>
      </c>
      <c r="D800" s="8">
        <v>45325</v>
      </c>
      <c r="E800" s="8" t="str">
        <f t="shared" si="47"/>
        <v>February</v>
      </c>
      <c r="F800">
        <f t="shared" si="48"/>
        <v>2024</v>
      </c>
      <c r="G800">
        <f t="shared" si="49"/>
        <v>1</v>
      </c>
      <c r="H800">
        <f t="shared" si="50"/>
        <v>0</v>
      </c>
      <c r="I800" s="6">
        <v>0.45833333333333331</v>
      </c>
      <c r="J800" s="6">
        <v>0.74027777777777781</v>
      </c>
      <c r="K800" s="7" t="s">
        <v>13</v>
      </c>
      <c r="L800" s="7" t="s">
        <v>14</v>
      </c>
      <c r="M800" s="7" t="s">
        <v>15</v>
      </c>
      <c r="N800" s="7">
        <f>COUNTIFS(A:A,A800,D:D,D800,E:E,I800)</f>
        <v>0</v>
      </c>
    </row>
    <row r="801" spans="1:14" x14ac:dyDescent="0.3">
      <c r="A801" s="7" t="s">
        <v>157</v>
      </c>
      <c r="B801" s="7" t="s">
        <v>158</v>
      </c>
      <c r="C801" s="7" t="s">
        <v>426</v>
      </c>
      <c r="D801" s="8">
        <v>45369</v>
      </c>
      <c r="E801" s="8" t="str">
        <f t="shared" si="47"/>
        <v>March</v>
      </c>
      <c r="F801">
        <f t="shared" si="48"/>
        <v>2024</v>
      </c>
      <c r="G801">
        <f t="shared" si="49"/>
        <v>1</v>
      </c>
      <c r="H801">
        <f t="shared" si="50"/>
        <v>0</v>
      </c>
      <c r="I801" s="6">
        <v>0.44722222222222224</v>
      </c>
      <c r="J801" s="6">
        <v>0.66805555555555551</v>
      </c>
      <c r="K801" s="7" t="s">
        <v>20</v>
      </c>
      <c r="L801" s="7" t="s">
        <v>14</v>
      </c>
      <c r="M801" s="7" t="s">
        <v>21</v>
      </c>
      <c r="N801" s="7">
        <f>COUNTIFS(A:A,A801,D:D,D801,E:E,I801)</f>
        <v>0</v>
      </c>
    </row>
    <row r="802" spans="1:14" x14ac:dyDescent="0.3">
      <c r="A802" s="7" t="s">
        <v>66</v>
      </c>
      <c r="B802" s="7" t="s">
        <v>67</v>
      </c>
      <c r="C802" s="7" t="s">
        <v>42</v>
      </c>
      <c r="D802" s="8">
        <v>45293</v>
      </c>
      <c r="E802" s="8" t="str">
        <f t="shared" si="47"/>
        <v>January</v>
      </c>
      <c r="F802">
        <f t="shared" si="48"/>
        <v>2024</v>
      </c>
      <c r="G802">
        <f t="shared" si="49"/>
        <v>1</v>
      </c>
      <c r="H802">
        <f t="shared" si="50"/>
        <v>1</v>
      </c>
      <c r="I802" s="6">
        <v>0.44791666666666669</v>
      </c>
      <c r="J802" s="6">
        <v>0.81041666666666667</v>
      </c>
      <c r="K802" s="7" t="s">
        <v>26</v>
      </c>
      <c r="L802" s="7" t="s">
        <v>27</v>
      </c>
      <c r="M802" s="7" t="s">
        <v>21</v>
      </c>
      <c r="N802" s="7">
        <f>COUNTIFS(A:A,A802,D:D,D802,E:E,I802)</f>
        <v>0</v>
      </c>
    </row>
    <row r="803" spans="1:14" x14ac:dyDescent="0.3">
      <c r="A803" s="7" t="s">
        <v>99</v>
      </c>
      <c r="B803" s="7" t="s">
        <v>100</v>
      </c>
      <c r="C803" s="7" t="s">
        <v>60</v>
      </c>
      <c r="D803" s="8">
        <v>45371</v>
      </c>
      <c r="E803" s="8" t="str">
        <f t="shared" si="47"/>
        <v>March</v>
      </c>
      <c r="F803">
        <f t="shared" si="48"/>
        <v>2024</v>
      </c>
      <c r="G803">
        <f t="shared" si="49"/>
        <v>1</v>
      </c>
      <c r="H803">
        <f t="shared" si="50"/>
        <v>1</v>
      </c>
      <c r="I803" s="6">
        <v>0.44930555555555557</v>
      </c>
      <c r="J803" s="6">
        <v>0.72430555555555554</v>
      </c>
      <c r="K803" s="7" t="s">
        <v>26</v>
      </c>
      <c r="L803" s="7" t="s">
        <v>27</v>
      </c>
      <c r="M803" s="7" t="s">
        <v>15</v>
      </c>
      <c r="N803" s="7">
        <f>COUNTIFS(A:A,A803,D:D,D803,E:E,I803)</f>
        <v>0</v>
      </c>
    </row>
    <row r="804" spans="1:14" x14ac:dyDescent="0.3">
      <c r="A804" s="7" t="s">
        <v>99</v>
      </c>
      <c r="B804" s="7" t="s">
        <v>100</v>
      </c>
      <c r="C804" s="7" t="s">
        <v>42</v>
      </c>
      <c r="D804" s="8">
        <v>45327</v>
      </c>
      <c r="E804" s="8" t="str">
        <f t="shared" si="47"/>
        <v>February</v>
      </c>
      <c r="F804">
        <f t="shared" si="48"/>
        <v>2024</v>
      </c>
      <c r="G804">
        <f t="shared" si="49"/>
        <v>1</v>
      </c>
      <c r="H804">
        <f t="shared" si="50"/>
        <v>0</v>
      </c>
      <c r="I804" s="6">
        <v>0.45555555555555555</v>
      </c>
      <c r="J804" s="6">
        <v>0.85972222222222228</v>
      </c>
      <c r="K804" s="7" t="s">
        <v>20</v>
      </c>
      <c r="L804" s="7" t="s">
        <v>14</v>
      </c>
      <c r="M804" s="7" t="s">
        <v>21</v>
      </c>
      <c r="N804" s="7">
        <f>COUNTIFS(A:A,A804,D:D,D804,E:E,I804)</f>
        <v>0</v>
      </c>
    </row>
    <row r="805" spans="1:14" x14ac:dyDescent="0.3">
      <c r="A805" s="7" t="s">
        <v>291</v>
      </c>
      <c r="B805" s="7" t="s">
        <v>292</v>
      </c>
      <c r="C805" s="7" t="s">
        <v>426</v>
      </c>
      <c r="D805" s="8">
        <v>45320</v>
      </c>
      <c r="E805" s="8" t="str">
        <f t="shared" si="47"/>
        <v>January</v>
      </c>
      <c r="F805">
        <f t="shared" si="48"/>
        <v>2024</v>
      </c>
      <c r="G805">
        <f t="shared" si="49"/>
        <v>0</v>
      </c>
      <c r="H805">
        <f t="shared" si="50"/>
        <v>0</v>
      </c>
      <c r="I805" s="6"/>
      <c r="J805" s="6"/>
      <c r="K805" s="7" t="s">
        <v>44</v>
      </c>
      <c r="L805" s="7" t="s">
        <v>27</v>
      </c>
      <c r="M805" s="7" t="s">
        <v>21</v>
      </c>
      <c r="N805" s="7">
        <f>COUNTIFS(A:A,A805,D:D,D805,E:E,I805)</f>
        <v>0</v>
      </c>
    </row>
    <row r="806" spans="1:14" x14ac:dyDescent="0.3">
      <c r="A806" s="7" t="s">
        <v>204</v>
      </c>
      <c r="B806" s="7" t="s">
        <v>205</v>
      </c>
      <c r="C806" s="7" t="s">
        <v>64</v>
      </c>
      <c r="D806" s="8">
        <v>45446</v>
      </c>
      <c r="E806" s="8" t="str">
        <f t="shared" si="47"/>
        <v>June</v>
      </c>
      <c r="F806">
        <f t="shared" si="48"/>
        <v>2024</v>
      </c>
      <c r="G806">
        <f t="shared" si="49"/>
        <v>1</v>
      </c>
      <c r="H806">
        <f t="shared" si="50"/>
        <v>0</v>
      </c>
      <c r="I806" s="6">
        <v>0.41180555555555554</v>
      </c>
      <c r="J806" s="6">
        <v>0.67083333333333328</v>
      </c>
      <c r="K806" s="7" t="s">
        <v>20</v>
      </c>
      <c r="L806" s="7" t="s">
        <v>14</v>
      </c>
      <c r="M806" s="7" t="s">
        <v>21</v>
      </c>
      <c r="N806" s="7">
        <f>COUNTIFS(A:A,A806,D:D,D806,E:E,I806)</f>
        <v>0</v>
      </c>
    </row>
    <row r="807" spans="1:14" x14ac:dyDescent="0.3">
      <c r="A807" s="7" t="s">
        <v>37</v>
      </c>
      <c r="B807" s="7" t="s">
        <v>38</v>
      </c>
      <c r="C807" s="7" t="s">
        <v>426</v>
      </c>
      <c r="D807" s="8">
        <v>45348</v>
      </c>
      <c r="E807" s="8" t="str">
        <f t="shared" si="47"/>
        <v>February</v>
      </c>
      <c r="F807">
        <f t="shared" si="48"/>
        <v>2024</v>
      </c>
      <c r="G807">
        <f t="shared" si="49"/>
        <v>0</v>
      </c>
      <c r="H807">
        <f t="shared" si="50"/>
        <v>0</v>
      </c>
      <c r="I807" s="6"/>
      <c r="J807" s="6"/>
      <c r="K807" s="7" t="s">
        <v>44</v>
      </c>
      <c r="L807" s="7" t="s">
        <v>27</v>
      </c>
      <c r="M807" s="7" t="s">
        <v>21</v>
      </c>
      <c r="N807" s="7">
        <f>COUNTIFS(A:A,A807,D:D,D807,E:E,I807)</f>
        <v>0</v>
      </c>
    </row>
    <row r="808" spans="1:14" x14ac:dyDescent="0.3">
      <c r="A808" s="7" t="s">
        <v>34</v>
      </c>
      <c r="B808" s="7" t="s">
        <v>35</v>
      </c>
      <c r="C808" s="7" t="s">
        <v>60</v>
      </c>
      <c r="D808" s="8">
        <v>45366</v>
      </c>
      <c r="E808" s="8" t="str">
        <f t="shared" si="47"/>
        <v>March</v>
      </c>
      <c r="F808">
        <f t="shared" si="48"/>
        <v>2024</v>
      </c>
      <c r="G808">
        <f t="shared" si="49"/>
        <v>1</v>
      </c>
      <c r="H808">
        <f t="shared" si="50"/>
        <v>0</v>
      </c>
      <c r="I808" s="6">
        <v>0.36388888888888887</v>
      </c>
      <c r="J808" s="6">
        <v>0.67847222222222225</v>
      </c>
      <c r="K808" s="7" t="s">
        <v>20</v>
      </c>
      <c r="L808" s="7" t="s">
        <v>27</v>
      </c>
      <c r="M808" s="7" t="s">
        <v>21</v>
      </c>
      <c r="N808" s="7">
        <f>COUNTIFS(A:A,A808,D:D,D808,E:E,I808)</f>
        <v>0</v>
      </c>
    </row>
    <row r="809" spans="1:14" x14ac:dyDescent="0.3">
      <c r="A809" s="7" t="s">
        <v>112</v>
      </c>
      <c r="B809" s="7" t="s">
        <v>113</v>
      </c>
      <c r="C809" s="7" t="s">
        <v>42</v>
      </c>
      <c r="D809" s="8">
        <v>45378</v>
      </c>
      <c r="E809" s="8" t="str">
        <f t="shared" si="47"/>
        <v>March</v>
      </c>
      <c r="F809">
        <f t="shared" si="48"/>
        <v>2024</v>
      </c>
      <c r="G809">
        <f t="shared" si="49"/>
        <v>1</v>
      </c>
      <c r="H809">
        <f t="shared" si="50"/>
        <v>1</v>
      </c>
      <c r="I809" s="6">
        <v>0.36249999999999999</v>
      </c>
      <c r="J809" s="6">
        <v>0.66666666666666663</v>
      </c>
      <c r="K809" s="7" t="s">
        <v>26</v>
      </c>
      <c r="L809" s="7" t="s">
        <v>27</v>
      </c>
      <c r="M809" s="7" t="s">
        <v>15</v>
      </c>
      <c r="N809" s="7">
        <f>COUNTIFS(A:A,A809,D:D,D809,E:E,I809)</f>
        <v>0</v>
      </c>
    </row>
    <row r="810" spans="1:14" x14ac:dyDescent="0.3">
      <c r="A810" s="7" t="s">
        <v>52</v>
      </c>
      <c r="B810" s="7" t="s">
        <v>53</v>
      </c>
      <c r="C810" s="7" t="s">
        <v>42</v>
      </c>
      <c r="D810" s="8">
        <v>45383</v>
      </c>
      <c r="E810" s="8" t="str">
        <f t="shared" si="47"/>
        <v>April</v>
      </c>
      <c r="F810">
        <f t="shared" si="48"/>
        <v>2024</v>
      </c>
      <c r="G810">
        <f t="shared" si="49"/>
        <v>1</v>
      </c>
      <c r="H810">
        <f t="shared" si="50"/>
        <v>1</v>
      </c>
      <c r="I810" s="6">
        <v>0.38958333333333334</v>
      </c>
      <c r="J810" s="6">
        <v>0.72916666666666663</v>
      </c>
      <c r="K810" s="7" t="s">
        <v>26</v>
      </c>
      <c r="L810" s="7" t="s">
        <v>27</v>
      </c>
      <c r="M810" s="7" t="s">
        <v>21</v>
      </c>
      <c r="N810" s="7">
        <f>COUNTIFS(A:A,A810,D:D,D810,E:E,I810)</f>
        <v>0</v>
      </c>
    </row>
    <row r="811" spans="1:14" x14ac:dyDescent="0.3">
      <c r="A811" s="7" t="s">
        <v>171</v>
      </c>
      <c r="B811" s="7" t="s">
        <v>172</v>
      </c>
      <c r="C811" s="7" t="s">
        <v>425</v>
      </c>
      <c r="D811" s="8">
        <v>45628</v>
      </c>
      <c r="E811" s="8" t="str">
        <f t="shared" si="47"/>
        <v>December</v>
      </c>
      <c r="F811">
        <f t="shared" si="48"/>
        <v>2024</v>
      </c>
      <c r="G811">
        <f t="shared" si="49"/>
        <v>0</v>
      </c>
      <c r="H811">
        <f t="shared" si="50"/>
        <v>0</v>
      </c>
      <c r="I811" s="6"/>
      <c r="J811" s="6"/>
      <c r="K811" s="7" t="s">
        <v>44</v>
      </c>
      <c r="L811" s="7" t="s">
        <v>27</v>
      </c>
      <c r="M811" s="7" t="s">
        <v>21</v>
      </c>
      <c r="N811" s="7">
        <f>COUNTIFS(A:A,A811,D:D,D811,E:E,I811)</f>
        <v>0</v>
      </c>
    </row>
    <row r="812" spans="1:14" x14ac:dyDescent="0.3">
      <c r="A812" s="7" t="s">
        <v>40</v>
      </c>
      <c r="B812" s="7" t="s">
        <v>41</v>
      </c>
      <c r="C812" s="7" t="s">
        <v>60</v>
      </c>
      <c r="D812" s="8">
        <v>45306</v>
      </c>
      <c r="E812" s="8" t="str">
        <f t="shared" si="47"/>
        <v>January</v>
      </c>
      <c r="F812">
        <f t="shared" si="48"/>
        <v>2024</v>
      </c>
      <c r="G812">
        <f t="shared" si="49"/>
        <v>1</v>
      </c>
      <c r="H812">
        <f t="shared" si="50"/>
        <v>0</v>
      </c>
      <c r="I812" s="6">
        <v>0.38263888888888886</v>
      </c>
      <c r="J812" s="6">
        <v>0.72569444444444442</v>
      </c>
      <c r="K812" s="7" t="s">
        <v>13</v>
      </c>
      <c r="L812" s="7" t="s">
        <v>27</v>
      </c>
      <c r="M812" s="7" t="s">
        <v>15</v>
      </c>
      <c r="N812" s="7">
        <f>COUNTIFS(A:A,A812,D:D,D812,E:E,I812)</f>
        <v>0</v>
      </c>
    </row>
    <row r="813" spans="1:14" x14ac:dyDescent="0.3">
      <c r="A813" s="7" t="s">
        <v>246</v>
      </c>
      <c r="B813" s="7" t="s">
        <v>247</v>
      </c>
      <c r="C813" s="7" t="s">
        <v>425</v>
      </c>
      <c r="D813" s="8">
        <v>45312</v>
      </c>
      <c r="E813" s="8" t="str">
        <f t="shared" si="47"/>
        <v>January</v>
      </c>
      <c r="F813">
        <f t="shared" si="48"/>
        <v>2024</v>
      </c>
      <c r="G813">
        <f t="shared" si="49"/>
        <v>1</v>
      </c>
      <c r="H813">
        <f t="shared" si="50"/>
        <v>1</v>
      </c>
      <c r="I813" s="6">
        <v>0.43402777777777779</v>
      </c>
      <c r="J813" s="6">
        <v>0.73611111111111116</v>
      </c>
      <c r="K813" s="7" t="s">
        <v>26</v>
      </c>
      <c r="L813" s="7" t="s">
        <v>14</v>
      </c>
      <c r="M813" s="7" t="s">
        <v>15</v>
      </c>
      <c r="N813" s="7">
        <f>COUNTIFS(A:A,A813,D:D,D813,E:E,I813)</f>
        <v>0</v>
      </c>
    </row>
    <row r="814" spans="1:14" x14ac:dyDescent="0.3">
      <c r="A814" s="7" t="s">
        <v>246</v>
      </c>
      <c r="B814" s="7" t="s">
        <v>247</v>
      </c>
      <c r="C814" s="7" t="s">
        <v>425</v>
      </c>
      <c r="D814" s="8">
        <v>45598</v>
      </c>
      <c r="E814" s="8" t="str">
        <f t="shared" si="47"/>
        <v>November</v>
      </c>
      <c r="F814">
        <f t="shared" si="48"/>
        <v>2024</v>
      </c>
      <c r="G814">
        <f t="shared" si="49"/>
        <v>1</v>
      </c>
      <c r="H814">
        <f t="shared" si="50"/>
        <v>0</v>
      </c>
      <c r="I814" s="6">
        <v>0.38194444444444442</v>
      </c>
      <c r="J814" s="6">
        <v>0.8520833333333333</v>
      </c>
      <c r="K814" s="7" t="s">
        <v>13</v>
      </c>
      <c r="L814" s="7" t="s">
        <v>27</v>
      </c>
      <c r="M814" s="7" t="s">
        <v>21</v>
      </c>
      <c r="N814" s="7">
        <f>COUNTIFS(A:A,A814,D:D,D814,E:E,I814)</f>
        <v>0</v>
      </c>
    </row>
    <row r="815" spans="1:14" x14ac:dyDescent="0.3">
      <c r="A815" s="7" t="s">
        <v>175</v>
      </c>
      <c r="B815" s="7" t="s">
        <v>176</v>
      </c>
      <c r="C815" s="7" t="s">
        <v>426</v>
      </c>
      <c r="D815" s="8">
        <v>45344</v>
      </c>
      <c r="E815" s="8" t="str">
        <f t="shared" si="47"/>
        <v>February</v>
      </c>
      <c r="F815">
        <f t="shared" si="48"/>
        <v>2024</v>
      </c>
      <c r="G815">
        <f t="shared" si="49"/>
        <v>1</v>
      </c>
      <c r="H815">
        <f t="shared" si="50"/>
        <v>0</v>
      </c>
      <c r="I815" s="6">
        <v>0.39583333333333331</v>
      </c>
      <c r="J815" s="6">
        <v>0.81180555555555556</v>
      </c>
      <c r="K815" s="7" t="s">
        <v>13</v>
      </c>
      <c r="L815" s="7" t="s">
        <v>27</v>
      </c>
      <c r="M815" s="7" t="s">
        <v>15</v>
      </c>
      <c r="N815" s="7">
        <f>COUNTIFS(A:A,A815,D:D,D815,E:E,I815)</f>
        <v>0</v>
      </c>
    </row>
    <row r="816" spans="1:14" x14ac:dyDescent="0.3">
      <c r="A816" s="7" t="s">
        <v>216</v>
      </c>
      <c r="B816" s="7" t="s">
        <v>217</v>
      </c>
      <c r="C816" s="7" t="s">
        <v>425</v>
      </c>
      <c r="D816" s="8">
        <v>45370</v>
      </c>
      <c r="E816" s="8" t="str">
        <f t="shared" si="47"/>
        <v>March</v>
      </c>
      <c r="F816">
        <f t="shared" si="48"/>
        <v>2024</v>
      </c>
      <c r="G816">
        <f t="shared" si="49"/>
        <v>1</v>
      </c>
      <c r="H816">
        <f t="shared" si="50"/>
        <v>1</v>
      </c>
      <c r="I816" s="6">
        <v>0.37638888888888888</v>
      </c>
      <c r="J816" s="6">
        <v>0.86805555555555558</v>
      </c>
      <c r="K816" s="7" t="s">
        <v>26</v>
      </c>
      <c r="L816" s="7" t="s">
        <v>14</v>
      </c>
      <c r="M816" s="7" t="s">
        <v>15</v>
      </c>
      <c r="N816" s="7">
        <f>COUNTIFS(A:A,A816,D:D,D816,E:E,I816)</f>
        <v>0</v>
      </c>
    </row>
    <row r="817" spans="1:14" x14ac:dyDescent="0.3">
      <c r="A817" s="7" t="s">
        <v>216</v>
      </c>
      <c r="B817" s="7" t="s">
        <v>217</v>
      </c>
      <c r="C817" s="7" t="s">
        <v>425</v>
      </c>
      <c r="D817" s="8">
        <v>45344</v>
      </c>
      <c r="E817" s="8" t="str">
        <f t="shared" si="47"/>
        <v>February</v>
      </c>
      <c r="F817">
        <f t="shared" si="48"/>
        <v>2024</v>
      </c>
      <c r="G817">
        <f t="shared" si="49"/>
        <v>1</v>
      </c>
      <c r="H817">
        <f t="shared" si="50"/>
        <v>0</v>
      </c>
      <c r="I817" s="6">
        <v>0.39791666666666664</v>
      </c>
      <c r="J817" s="6">
        <v>0.75069444444444444</v>
      </c>
      <c r="K817" s="7" t="s">
        <v>20</v>
      </c>
      <c r="L817" s="7" t="s">
        <v>27</v>
      </c>
      <c r="M817" s="7" t="s">
        <v>15</v>
      </c>
      <c r="N817" s="7">
        <f>COUNTIFS(A:A,A817,D:D,D817,E:E,I817)</f>
        <v>0</v>
      </c>
    </row>
    <row r="818" spans="1:14" x14ac:dyDescent="0.3">
      <c r="A818" s="7" t="s">
        <v>269</v>
      </c>
      <c r="B818" s="7" t="s">
        <v>270</v>
      </c>
      <c r="C818" s="7" t="s">
        <v>426</v>
      </c>
      <c r="D818" s="8">
        <v>45334</v>
      </c>
      <c r="E818" s="8" t="str">
        <f t="shared" si="47"/>
        <v>February</v>
      </c>
      <c r="F818">
        <f t="shared" si="48"/>
        <v>2024</v>
      </c>
      <c r="G818">
        <f t="shared" si="49"/>
        <v>1</v>
      </c>
      <c r="H818">
        <f t="shared" si="50"/>
        <v>1</v>
      </c>
      <c r="I818" s="6">
        <v>0.36388888888888887</v>
      </c>
      <c r="J818" s="6">
        <v>0.7319444444444444</v>
      </c>
      <c r="K818" s="7" t="s">
        <v>26</v>
      </c>
      <c r="L818" s="7" t="s">
        <v>27</v>
      </c>
      <c r="M818" s="7" t="s">
        <v>21</v>
      </c>
      <c r="N818" s="7">
        <f>COUNTIFS(A:A,A818,D:D,D818,E:E,I818)</f>
        <v>0</v>
      </c>
    </row>
    <row r="819" spans="1:14" x14ac:dyDescent="0.3">
      <c r="A819" s="7" t="s">
        <v>157</v>
      </c>
      <c r="B819" s="7" t="s">
        <v>158</v>
      </c>
      <c r="C819" s="7" t="s">
        <v>64</v>
      </c>
      <c r="D819" s="8">
        <v>45340</v>
      </c>
      <c r="E819" s="8" t="str">
        <f t="shared" si="47"/>
        <v>February</v>
      </c>
      <c r="F819">
        <f t="shared" si="48"/>
        <v>2024</v>
      </c>
      <c r="G819">
        <f t="shared" si="49"/>
        <v>1</v>
      </c>
      <c r="H819">
        <f t="shared" si="50"/>
        <v>0</v>
      </c>
      <c r="I819" s="6">
        <v>0.34791666666666665</v>
      </c>
      <c r="J819" s="6">
        <v>0.70277777777777772</v>
      </c>
      <c r="K819" s="7" t="s">
        <v>13</v>
      </c>
      <c r="L819" s="7" t="s">
        <v>27</v>
      </c>
      <c r="M819" s="7" t="s">
        <v>15</v>
      </c>
      <c r="N819" s="7">
        <f>COUNTIFS(A:A,A819,D:D,D819,E:E,I819)</f>
        <v>0</v>
      </c>
    </row>
    <row r="820" spans="1:14" x14ac:dyDescent="0.3">
      <c r="A820" s="7" t="s">
        <v>119</v>
      </c>
      <c r="B820" s="7" t="s">
        <v>120</v>
      </c>
      <c r="C820" s="7" t="s">
        <v>426</v>
      </c>
      <c r="D820" s="8">
        <v>45505</v>
      </c>
      <c r="E820" s="8" t="str">
        <f t="shared" si="47"/>
        <v>August</v>
      </c>
      <c r="F820">
        <f t="shared" si="48"/>
        <v>2024</v>
      </c>
      <c r="G820">
        <f t="shared" si="49"/>
        <v>0</v>
      </c>
      <c r="H820">
        <f t="shared" si="50"/>
        <v>0</v>
      </c>
      <c r="I820" s="6"/>
      <c r="J820" s="6"/>
      <c r="K820" s="7" t="s">
        <v>44</v>
      </c>
      <c r="L820" s="7" t="s">
        <v>27</v>
      </c>
      <c r="M820" s="7" t="s">
        <v>15</v>
      </c>
      <c r="N820" s="7">
        <f>COUNTIFS(A:A,A820,D:D,D820,E:E,I820)</f>
        <v>0</v>
      </c>
    </row>
    <row r="821" spans="1:14" x14ac:dyDescent="0.3">
      <c r="A821" s="7" t="s">
        <v>48</v>
      </c>
      <c r="B821" s="7" t="s">
        <v>49</v>
      </c>
      <c r="C821" s="7" t="s">
        <v>426</v>
      </c>
      <c r="D821" s="8">
        <v>45354</v>
      </c>
      <c r="E821" s="8" t="str">
        <f t="shared" si="47"/>
        <v>March</v>
      </c>
      <c r="F821">
        <f t="shared" si="48"/>
        <v>2024</v>
      </c>
      <c r="G821">
        <f t="shared" si="49"/>
        <v>1</v>
      </c>
      <c r="H821">
        <f t="shared" si="50"/>
        <v>0</v>
      </c>
      <c r="I821" s="6">
        <v>0.36041666666666666</v>
      </c>
      <c r="J821" s="6">
        <v>0.72152777777777777</v>
      </c>
      <c r="K821" s="7" t="s">
        <v>13</v>
      </c>
      <c r="L821" s="7" t="s">
        <v>14</v>
      </c>
      <c r="M821" s="7" t="s">
        <v>21</v>
      </c>
      <c r="N821" s="7">
        <f>COUNTIFS(A:A,A821,D:D,D821,E:E,I821)</f>
        <v>0</v>
      </c>
    </row>
    <row r="822" spans="1:14" x14ac:dyDescent="0.3">
      <c r="A822" s="7" t="s">
        <v>112</v>
      </c>
      <c r="B822" s="7" t="s">
        <v>113</v>
      </c>
      <c r="C822" s="7" t="s">
        <v>426</v>
      </c>
      <c r="D822" s="8">
        <v>45311</v>
      </c>
      <c r="E822" s="8" t="str">
        <f t="shared" si="47"/>
        <v>January</v>
      </c>
      <c r="F822">
        <f t="shared" si="48"/>
        <v>2024</v>
      </c>
      <c r="G822">
        <f t="shared" si="49"/>
        <v>1</v>
      </c>
      <c r="H822">
        <f t="shared" si="50"/>
        <v>1</v>
      </c>
      <c r="I822" s="6">
        <v>0.33402777777777776</v>
      </c>
      <c r="J822" s="6">
        <v>0.71805555555555556</v>
      </c>
      <c r="K822" s="7" t="s">
        <v>26</v>
      </c>
      <c r="L822" s="7" t="s">
        <v>14</v>
      </c>
      <c r="M822" s="7" t="s">
        <v>21</v>
      </c>
      <c r="N822" s="7">
        <f>COUNTIFS(A:A,A822,D:D,D822,E:E,I822)</f>
        <v>0</v>
      </c>
    </row>
    <row r="823" spans="1:14" x14ac:dyDescent="0.3">
      <c r="A823" s="7" t="s">
        <v>90</v>
      </c>
      <c r="B823" s="7" t="s">
        <v>91</v>
      </c>
      <c r="C823" s="7" t="s">
        <v>42</v>
      </c>
      <c r="D823" s="8">
        <v>45568</v>
      </c>
      <c r="E823" s="8" t="str">
        <f t="shared" si="47"/>
        <v>October</v>
      </c>
      <c r="F823">
        <f t="shared" si="48"/>
        <v>2024</v>
      </c>
      <c r="G823">
        <f t="shared" si="49"/>
        <v>1</v>
      </c>
      <c r="H823">
        <f t="shared" si="50"/>
        <v>1</v>
      </c>
      <c r="I823" s="6">
        <v>0.3923611111111111</v>
      </c>
      <c r="J823" s="6">
        <v>0.8305555555555556</v>
      </c>
      <c r="K823" s="7" t="s">
        <v>26</v>
      </c>
      <c r="L823" s="7" t="s">
        <v>14</v>
      </c>
      <c r="M823" s="7" t="s">
        <v>15</v>
      </c>
      <c r="N823" s="7">
        <f>COUNTIFS(A:A,A823,D:D,D823,E:E,I823)</f>
        <v>0</v>
      </c>
    </row>
    <row r="824" spans="1:14" x14ac:dyDescent="0.3">
      <c r="A824" s="7" t="s">
        <v>52</v>
      </c>
      <c r="B824" s="7" t="s">
        <v>53</v>
      </c>
      <c r="C824" s="7" t="s">
        <v>60</v>
      </c>
      <c r="D824" s="8">
        <v>45322</v>
      </c>
      <c r="E824" s="8" t="str">
        <f t="shared" si="47"/>
        <v>January</v>
      </c>
      <c r="F824">
        <f t="shared" si="48"/>
        <v>2024</v>
      </c>
      <c r="G824">
        <f t="shared" si="49"/>
        <v>1</v>
      </c>
      <c r="H824">
        <f t="shared" si="50"/>
        <v>0</v>
      </c>
      <c r="I824" s="6">
        <v>0.37986111111111109</v>
      </c>
      <c r="J824" s="6">
        <v>0.7583333333333333</v>
      </c>
      <c r="K824" s="7" t="s">
        <v>13</v>
      </c>
      <c r="L824" s="7" t="s">
        <v>14</v>
      </c>
      <c r="M824" s="7" t="s">
        <v>21</v>
      </c>
      <c r="N824" s="7">
        <f>COUNTIFS(A:A,A824,D:D,D824,E:E,I824)</f>
        <v>0</v>
      </c>
    </row>
    <row r="825" spans="1:14" x14ac:dyDescent="0.3">
      <c r="A825" s="7" t="s">
        <v>45</v>
      </c>
      <c r="B825" s="7" t="s">
        <v>46</v>
      </c>
      <c r="C825" s="7" t="s">
        <v>426</v>
      </c>
      <c r="D825" s="8">
        <v>45347</v>
      </c>
      <c r="E825" s="8" t="str">
        <f t="shared" si="47"/>
        <v>February</v>
      </c>
      <c r="F825">
        <f t="shared" si="48"/>
        <v>2024</v>
      </c>
      <c r="G825">
        <f t="shared" si="49"/>
        <v>1</v>
      </c>
      <c r="H825">
        <f t="shared" si="50"/>
        <v>0</v>
      </c>
      <c r="I825" s="6">
        <v>0.46666666666666667</v>
      </c>
      <c r="J825" s="6">
        <v>0.87430555555555556</v>
      </c>
      <c r="K825" s="7" t="s">
        <v>13</v>
      </c>
      <c r="L825" s="7" t="s">
        <v>27</v>
      </c>
      <c r="M825" s="7" t="s">
        <v>21</v>
      </c>
      <c r="N825" s="7">
        <f>COUNTIFS(A:A,A825,D:D,D825,E:E,I825)</f>
        <v>0</v>
      </c>
    </row>
    <row r="826" spans="1:14" x14ac:dyDescent="0.3">
      <c r="A826" s="7" t="s">
        <v>250</v>
      </c>
      <c r="B826" s="7" t="s">
        <v>251</v>
      </c>
      <c r="C826" s="7" t="s">
        <v>60</v>
      </c>
      <c r="D826" s="8">
        <v>45351</v>
      </c>
      <c r="E826" s="8" t="str">
        <f t="shared" si="47"/>
        <v>February</v>
      </c>
      <c r="F826">
        <f t="shared" si="48"/>
        <v>2024</v>
      </c>
      <c r="G826">
        <f t="shared" si="49"/>
        <v>1</v>
      </c>
      <c r="H826">
        <f t="shared" si="50"/>
        <v>1</v>
      </c>
      <c r="I826" s="6">
        <v>0.36944444444444446</v>
      </c>
      <c r="J826" s="6">
        <v>0.83958333333333335</v>
      </c>
      <c r="K826" s="7" t="s">
        <v>26</v>
      </c>
      <c r="L826" s="7" t="s">
        <v>27</v>
      </c>
      <c r="M826" s="7" t="s">
        <v>15</v>
      </c>
      <c r="N826" s="7">
        <f>COUNTIFS(A:A,A826,D:D,D826,E:E,I826)</f>
        <v>0</v>
      </c>
    </row>
    <row r="827" spans="1:14" x14ac:dyDescent="0.3">
      <c r="A827" s="7" t="s">
        <v>187</v>
      </c>
      <c r="B827" s="7" t="s">
        <v>188</v>
      </c>
      <c r="C827" s="7" t="s">
        <v>426</v>
      </c>
      <c r="D827" s="8">
        <v>45312</v>
      </c>
      <c r="E827" s="8" t="str">
        <f t="shared" si="47"/>
        <v>January</v>
      </c>
      <c r="F827">
        <f t="shared" si="48"/>
        <v>2024</v>
      </c>
      <c r="G827">
        <f t="shared" si="49"/>
        <v>1</v>
      </c>
      <c r="H827">
        <f t="shared" si="50"/>
        <v>1</v>
      </c>
      <c r="I827" s="6">
        <v>0.36388888888888887</v>
      </c>
      <c r="J827" s="6">
        <v>0.87291666666666667</v>
      </c>
      <c r="K827" s="7" t="s">
        <v>26</v>
      </c>
      <c r="L827" s="7" t="s">
        <v>27</v>
      </c>
      <c r="M827" s="7" t="s">
        <v>21</v>
      </c>
      <c r="N827" s="7">
        <f>COUNTIFS(A:A,A827,D:D,D827,E:E,I827)</f>
        <v>0</v>
      </c>
    </row>
    <row r="828" spans="1:14" x14ac:dyDescent="0.3">
      <c r="A828" s="7" t="s">
        <v>236</v>
      </c>
      <c r="B828" s="7" t="s">
        <v>237</v>
      </c>
      <c r="C828" s="7" t="s">
        <v>60</v>
      </c>
      <c r="D828" s="8">
        <v>45354</v>
      </c>
      <c r="E828" s="8" t="str">
        <f t="shared" si="47"/>
        <v>March</v>
      </c>
      <c r="F828">
        <f t="shared" si="48"/>
        <v>2024</v>
      </c>
      <c r="G828">
        <f t="shared" si="49"/>
        <v>1</v>
      </c>
      <c r="H828">
        <f t="shared" si="50"/>
        <v>0</v>
      </c>
      <c r="I828" s="6">
        <v>0.46388888888888891</v>
      </c>
      <c r="J828" s="6">
        <v>0.69652777777777775</v>
      </c>
      <c r="K828" s="7" t="s">
        <v>13</v>
      </c>
      <c r="L828" s="7" t="s">
        <v>14</v>
      </c>
      <c r="M828" s="7" t="s">
        <v>21</v>
      </c>
      <c r="N828" s="7">
        <f>COUNTIFS(A:A,A828,D:D,D828,E:E,I828)</f>
        <v>0</v>
      </c>
    </row>
    <row r="829" spans="1:14" x14ac:dyDescent="0.3">
      <c r="A829" s="7" t="s">
        <v>146</v>
      </c>
      <c r="B829" s="7" t="s">
        <v>147</v>
      </c>
      <c r="C829" s="7" t="s">
        <v>60</v>
      </c>
      <c r="D829" s="8">
        <v>45292</v>
      </c>
      <c r="E829" s="8" t="str">
        <f t="shared" si="47"/>
        <v>January</v>
      </c>
      <c r="F829">
        <f t="shared" si="48"/>
        <v>2024</v>
      </c>
      <c r="G829">
        <f t="shared" si="49"/>
        <v>1</v>
      </c>
      <c r="H829">
        <f t="shared" si="50"/>
        <v>0</v>
      </c>
      <c r="I829" s="6">
        <v>0.46527777777777779</v>
      </c>
      <c r="J829" s="6">
        <v>0.79097222222222219</v>
      </c>
      <c r="K829" s="7" t="s">
        <v>13</v>
      </c>
      <c r="L829" s="7" t="s">
        <v>27</v>
      </c>
      <c r="M829" s="7" t="s">
        <v>21</v>
      </c>
      <c r="N829" s="7">
        <f>COUNTIFS(A:A,A829,D:D,D829,E:E,I829)</f>
        <v>0</v>
      </c>
    </row>
    <row r="830" spans="1:14" x14ac:dyDescent="0.3">
      <c r="A830" s="7" t="s">
        <v>72</v>
      </c>
      <c r="B830" s="7" t="s">
        <v>73</v>
      </c>
      <c r="C830" s="7" t="s">
        <v>42</v>
      </c>
      <c r="D830" s="8">
        <v>45350</v>
      </c>
      <c r="E830" s="8" t="str">
        <f t="shared" si="47"/>
        <v>February</v>
      </c>
      <c r="F830">
        <f t="shared" si="48"/>
        <v>2024</v>
      </c>
      <c r="G830">
        <f t="shared" si="49"/>
        <v>1</v>
      </c>
      <c r="H830">
        <f t="shared" si="50"/>
        <v>1</v>
      </c>
      <c r="I830" s="6">
        <v>0.46875</v>
      </c>
      <c r="J830" s="6">
        <v>0.84722222222222221</v>
      </c>
      <c r="K830" s="7" t="s">
        <v>26</v>
      </c>
      <c r="L830" s="7" t="s">
        <v>27</v>
      </c>
      <c r="M830" s="7" t="s">
        <v>21</v>
      </c>
      <c r="N830" s="7">
        <f>COUNTIFS(A:A,A830,D:D,D830,E:E,I830)</f>
        <v>0</v>
      </c>
    </row>
    <row r="831" spans="1:14" x14ac:dyDescent="0.3">
      <c r="A831" s="7" t="s">
        <v>269</v>
      </c>
      <c r="B831" s="7" t="s">
        <v>270</v>
      </c>
      <c r="C831" s="7" t="s">
        <v>425</v>
      </c>
      <c r="D831" s="8">
        <v>45323</v>
      </c>
      <c r="E831" s="8" t="str">
        <f t="shared" si="47"/>
        <v>February</v>
      </c>
      <c r="F831">
        <f t="shared" si="48"/>
        <v>2024</v>
      </c>
      <c r="G831">
        <f t="shared" si="49"/>
        <v>1</v>
      </c>
      <c r="H831">
        <f t="shared" si="50"/>
        <v>0</v>
      </c>
      <c r="I831" s="6">
        <v>0.40833333333333333</v>
      </c>
      <c r="J831" s="6">
        <v>0.69930555555555551</v>
      </c>
      <c r="K831" s="7" t="s">
        <v>20</v>
      </c>
      <c r="L831" s="7" t="s">
        <v>27</v>
      </c>
      <c r="M831" s="7" t="s">
        <v>21</v>
      </c>
      <c r="N831" s="7">
        <f>COUNTIFS(A:A,A831,D:D,D831,E:E,I831)</f>
        <v>0</v>
      </c>
    </row>
    <row r="832" spans="1:14" x14ac:dyDescent="0.3">
      <c r="A832" s="7" t="s">
        <v>66</v>
      </c>
      <c r="B832" s="7" t="s">
        <v>67</v>
      </c>
      <c r="C832" s="7" t="s">
        <v>60</v>
      </c>
      <c r="D832" s="8">
        <v>45294</v>
      </c>
      <c r="E832" s="8" t="str">
        <f t="shared" si="47"/>
        <v>January</v>
      </c>
      <c r="F832">
        <f t="shared" si="48"/>
        <v>2024</v>
      </c>
      <c r="G832">
        <f t="shared" si="49"/>
        <v>1</v>
      </c>
      <c r="H832">
        <f t="shared" si="50"/>
        <v>0</v>
      </c>
      <c r="I832" s="6">
        <v>0.34583333333333333</v>
      </c>
      <c r="J832" s="6">
        <v>0.84444444444444444</v>
      </c>
      <c r="K832" s="7" t="s">
        <v>13</v>
      </c>
      <c r="L832" s="7" t="s">
        <v>14</v>
      </c>
      <c r="M832" s="7" t="s">
        <v>21</v>
      </c>
      <c r="N832" s="7">
        <f>COUNTIFS(A:A,A832,D:D,D832,E:E,I832)</f>
        <v>0</v>
      </c>
    </row>
    <row r="833" spans="1:14" x14ac:dyDescent="0.3">
      <c r="A833" s="7" t="s">
        <v>338</v>
      </c>
      <c r="B833" s="7" t="s">
        <v>339</v>
      </c>
      <c r="C833" s="7" t="s">
        <v>426</v>
      </c>
      <c r="D833" s="8">
        <v>45379</v>
      </c>
      <c r="E833" s="8" t="str">
        <f t="shared" si="47"/>
        <v>March</v>
      </c>
      <c r="F833">
        <f t="shared" si="48"/>
        <v>2024</v>
      </c>
      <c r="G833">
        <f t="shared" si="49"/>
        <v>0</v>
      </c>
      <c r="H833">
        <f t="shared" si="50"/>
        <v>0</v>
      </c>
      <c r="I833" s="6"/>
      <c r="J833" s="6"/>
      <c r="K833" s="7" t="s">
        <v>44</v>
      </c>
      <c r="L833" s="7" t="s">
        <v>14</v>
      </c>
      <c r="M833" s="7" t="s">
        <v>21</v>
      </c>
      <c r="N833" s="7">
        <f>COUNTIFS(A:A,A833,D:D,D833,E:E,I833)</f>
        <v>0</v>
      </c>
    </row>
    <row r="834" spans="1:14" x14ac:dyDescent="0.3">
      <c r="A834" s="7" t="s">
        <v>250</v>
      </c>
      <c r="B834" s="7" t="s">
        <v>251</v>
      </c>
      <c r="C834" s="7" t="s">
        <v>425</v>
      </c>
      <c r="D834" s="8">
        <v>45312</v>
      </c>
      <c r="E834" s="8" t="str">
        <f t="shared" ref="E834:E897" si="51">TEXT(D834,"mmmm")</f>
        <v>January</v>
      </c>
      <c r="F834">
        <f t="shared" ref="F834:F897" si="52">YEAR(D834)</f>
        <v>2024</v>
      </c>
      <c r="G834">
        <f t="shared" ref="G834:G897" si="53">IF(LOWER(K834)="absent",0,1)</f>
        <v>1</v>
      </c>
      <c r="H834">
        <f t="shared" ref="H834:H897" si="54">IF(K834="Late",1,0)</f>
        <v>0</v>
      </c>
      <c r="I834" s="6">
        <v>0.39305555555555555</v>
      </c>
      <c r="J834" s="6">
        <v>0.82916666666666672</v>
      </c>
      <c r="K834" s="7" t="s">
        <v>20</v>
      </c>
      <c r="L834" s="7" t="s">
        <v>14</v>
      </c>
      <c r="M834" s="7" t="s">
        <v>21</v>
      </c>
      <c r="N834" s="7">
        <f>COUNTIFS(A:A,A834,D:D,D834,E:E,I834)</f>
        <v>0</v>
      </c>
    </row>
    <row r="835" spans="1:14" x14ac:dyDescent="0.3">
      <c r="A835" s="7" t="s">
        <v>45</v>
      </c>
      <c r="B835" s="7" t="s">
        <v>46</v>
      </c>
      <c r="C835" s="7" t="s">
        <v>60</v>
      </c>
      <c r="D835" s="8">
        <v>45372</v>
      </c>
      <c r="E835" s="8" t="str">
        <f t="shared" si="51"/>
        <v>March</v>
      </c>
      <c r="F835">
        <f t="shared" si="52"/>
        <v>2024</v>
      </c>
      <c r="G835">
        <f t="shared" si="53"/>
        <v>1</v>
      </c>
      <c r="H835">
        <f t="shared" si="54"/>
        <v>0</v>
      </c>
      <c r="I835" s="6">
        <v>0.35555555555555557</v>
      </c>
      <c r="J835" s="6">
        <v>0.71944444444444444</v>
      </c>
      <c r="K835" s="7" t="s">
        <v>20</v>
      </c>
      <c r="L835" s="7" t="s">
        <v>27</v>
      </c>
      <c r="M835" s="7" t="s">
        <v>15</v>
      </c>
      <c r="N835" s="7">
        <f>COUNTIFS(A:A,A835,D:D,D835,E:E,I835)</f>
        <v>0</v>
      </c>
    </row>
    <row r="836" spans="1:14" x14ac:dyDescent="0.3">
      <c r="A836" s="7" t="s">
        <v>55</v>
      </c>
      <c r="B836" s="7" t="s">
        <v>56</v>
      </c>
      <c r="C836" s="7" t="s">
        <v>426</v>
      </c>
      <c r="D836" s="8">
        <v>45374</v>
      </c>
      <c r="E836" s="8" t="str">
        <f t="shared" si="51"/>
        <v>March</v>
      </c>
      <c r="F836">
        <f t="shared" si="52"/>
        <v>2024</v>
      </c>
      <c r="G836">
        <f t="shared" si="53"/>
        <v>1</v>
      </c>
      <c r="H836">
        <f t="shared" si="54"/>
        <v>1</v>
      </c>
      <c r="I836" s="6">
        <v>0.33541666666666664</v>
      </c>
      <c r="J836" s="6">
        <v>0.80972222222222223</v>
      </c>
      <c r="K836" s="7" t="s">
        <v>26</v>
      </c>
      <c r="L836" s="7" t="s">
        <v>14</v>
      </c>
      <c r="M836" s="7" t="s">
        <v>21</v>
      </c>
      <c r="N836" s="7">
        <f>COUNTIFS(A:A,A836,D:D,D836,E:E,I836)</f>
        <v>0</v>
      </c>
    </row>
    <row r="837" spans="1:14" x14ac:dyDescent="0.3">
      <c r="A837" s="7" t="s">
        <v>16</v>
      </c>
      <c r="B837" s="7" t="s">
        <v>17</v>
      </c>
      <c r="C837" s="7" t="s">
        <v>425</v>
      </c>
      <c r="D837" s="8">
        <v>45313</v>
      </c>
      <c r="E837" s="8" t="str">
        <f t="shared" si="51"/>
        <v>January</v>
      </c>
      <c r="F837">
        <f t="shared" si="52"/>
        <v>2024</v>
      </c>
      <c r="G837">
        <f t="shared" si="53"/>
        <v>0</v>
      </c>
      <c r="H837">
        <f t="shared" si="54"/>
        <v>0</v>
      </c>
      <c r="I837" s="6"/>
      <c r="J837" s="6"/>
      <c r="K837" s="7" t="s">
        <v>44</v>
      </c>
      <c r="L837" s="7" t="s">
        <v>27</v>
      </c>
      <c r="M837" s="7" t="s">
        <v>15</v>
      </c>
      <c r="N837" s="7">
        <f>COUNTIFS(A:A,A837,D:D,D837,E:E,I837)</f>
        <v>0</v>
      </c>
    </row>
    <row r="838" spans="1:14" x14ac:dyDescent="0.3">
      <c r="A838" s="7" t="s">
        <v>90</v>
      </c>
      <c r="B838" s="7" t="s">
        <v>91</v>
      </c>
      <c r="C838" s="7" t="s">
        <v>42</v>
      </c>
      <c r="D838" s="8">
        <v>45537</v>
      </c>
      <c r="E838" s="8" t="str">
        <f t="shared" si="51"/>
        <v>September</v>
      </c>
      <c r="F838">
        <f t="shared" si="52"/>
        <v>2024</v>
      </c>
      <c r="G838">
        <f t="shared" si="53"/>
        <v>1</v>
      </c>
      <c r="H838">
        <f t="shared" si="54"/>
        <v>1</v>
      </c>
      <c r="I838" s="6">
        <v>0.40902777777777777</v>
      </c>
      <c r="J838" s="6">
        <v>0.87291666666666667</v>
      </c>
      <c r="K838" s="7" t="s">
        <v>26</v>
      </c>
      <c r="L838" s="7" t="s">
        <v>14</v>
      </c>
      <c r="M838" s="7" t="s">
        <v>21</v>
      </c>
      <c r="N838" s="7">
        <f>COUNTIFS(A:A,A838,D:D,D838,E:E,I838)</f>
        <v>0</v>
      </c>
    </row>
    <row r="839" spans="1:14" x14ac:dyDescent="0.3">
      <c r="A839" s="7" t="s">
        <v>200</v>
      </c>
      <c r="B839" s="7" t="s">
        <v>201</v>
      </c>
      <c r="C839" s="7" t="s">
        <v>64</v>
      </c>
      <c r="D839" s="8">
        <v>45335</v>
      </c>
      <c r="E839" s="8" t="str">
        <f t="shared" si="51"/>
        <v>February</v>
      </c>
      <c r="F839">
        <f t="shared" si="52"/>
        <v>2024</v>
      </c>
      <c r="G839">
        <f t="shared" si="53"/>
        <v>0</v>
      </c>
      <c r="H839">
        <f t="shared" si="54"/>
        <v>0</v>
      </c>
      <c r="I839" s="6"/>
      <c r="J839" s="6"/>
      <c r="K839" s="7" t="s">
        <v>44</v>
      </c>
      <c r="L839" s="7" t="s">
        <v>27</v>
      </c>
      <c r="M839" s="7" t="s">
        <v>21</v>
      </c>
      <c r="N839" s="7">
        <f>COUNTIFS(A:A,A839,D:D,D839,E:E,I839)</f>
        <v>0</v>
      </c>
    </row>
    <row r="840" spans="1:14" x14ac:dyDescent="0.3">
      <c r="A840" s="7" t="s">
        <v>99</v>
      </c>
      <c r="B840" s="7" t="s">
        <v>100</v>
      </c>
      <c r="C840" s="7" t="s">
        <v>42</v>
      </c>
      <c r="D840" s="8">
        <v>45538</v>
      </c>
      <c r="E840" s="8" t="str">
        <f t="shared" si="51"/>
        <v>September</v>
      </c>
      <c r="F840">
        <f t="shared" si="52"/>
        <v>2024</v>
      </c>
      <c r="G840">
        <f t="shared" si="53"/>
        <v>1</v>
      </c>
      <c r="H840">
        <f t="shared" si="54"/>
        <v>1</v>
      </c>
      <c r="I840" s="6">
        <v>0.39513888888888887</v>
      </c>
      <c r="J840" s="6">
        <v>0.68333333333333335</v>
      </c>
      <c r="K840" s="7" t="s">
        <v>26</v>
      </c>
      <c r="L840" s="7" t="s">
        <v>27</v>
      </c>
      <c r="M840" s="7" t="s">
        <v>21</v>
      </c>
      <c r="N840" s="7">
        <f>COUNTIFS(A:A,A840,D:D,D840,E:E,I840)</f>
        <v>0</v>
      </c>
    </row>
    <row r="841" spans="1:14" x14ac:dyDescent="0.3">
      <c r="A841" s="7" t="s">
        <v>204</v>
      </c>
      <c r="B841" s="7" t="s">
        <v>205</v>
      </c>
      <c r="C841" s="7" t="s">
        <v>425</v>
      </c>
      <c r="D841" s="8">
        <v>45315</v>
      </c>
      <c r="E841" s="8" t="str">
        <f t="shared" si="51"/>
        <v>January</v>
      </c>
      <c r="F841">
        <f t="shared" si="52"/>
        <v>2024</v>
      </c>
      <c r="G841">
        <f t="shared" si="53"/>
        <v>1</v>
      </c>
      <c r="H841">
        <f t="shared" si="54"/>
        <v>1</v>
      </c>
      <c r="I841" s="6">
        <v>0.46944444444444444</v>
      </c>
      <c r="J841" s="6">
        <v>0.76388888888888884</v>
      </c>
      <c r="K841" s="7" t="s">
        <v>26</v>
      </c>
      <c r="L841" s="7" t="s">
        <v>14</v>
      </c>
      <c r="M841" s="7" t="s">
        <v>15</v>
      </c>
      <c r="N841" s="7">
        <f>COUNTIFS(A:A,A841,D:D,D841,E:E,I841)</f>
        <v>0</v>
      </c>
    </row>
    <row r="842" spans="1:14" x14ac:dyDescent="0.3">
      <c r="A842" s="7" t="s">
        <v>130</v>
      </c>
      <c r="B842" s="7" t="s">
        <v>131</v>
      </c>
      <c r="C842" s="7" t="s">
        <v>425</v>
      </c>
      <c r="D842" s="8">
        <v>45415</v>
      </c>
      <c r="E842" s="8" t="str">
        <f t="shared" si="51"/>
        <v>May</v>
      </c>
      <c r="F842">
        <f t="shared" si="52"/>
        <v>2024</v>
      </c>
      <c r="G842">
        <f t="shared" si="53"/>
        <v>1</v>
      </c>
      <c r="H842">
        <f t="shared" si="54"/>
        <v>0</v>
      </c>
      <c r="I842" s="6">
        <v>0.33888888888888891</v>
      </c>
      <c r="J842" s="6">
        <v>0.76111111111111107</v>
      </c>
      <c r="K842" s="7" t="s">
        <v>20</v>
      </c>
      <c r="L842" s="7" t="s">
        <v>27</v>
      </c>
      <c r="M842" s="7" t="s">
        <v>15</v>
      </c>
      <c r="N842" s="7">
        <f>COUNTIFS(A:A,A842,D:D,D842,E:E,I842)</f>
        <v>0</v>
      </c>
    </row>
    <row r="843" spans="1:14" x14ac:dyDescent="0.3">
      <c r="A843" s="7" t="s">
        <v>141</v>
      </c>
      <c r="B843" s="7" t="s">
        <v>142</v>
      </c>
      <c r="C843" s="7" t="s">
        <v>60</v>
      </c>
      <c r="D843" s="8">
        <v>45325</v>
      </c>
      <c r="E843" s="8" t="str">
        <f t="shared" si="51"/>
        <v>February</v>
      </c>
      <c r="F843">
        <f t="shared" si="52"/>
        <v>2024</v>
      </c>
      <c r="G843">
        <f t="shared" si="53"/>
        <v>1</v>
      </c>
      <c r="H843">
        <f t="shared" si="54"/>
        <v>1</v>
      </c>
      <c r="I843" s="6">
        <v>0.46805555555555556</v>
      </c>
      <c r="J843" s="6">
        <v>0.71111111111111114</v>
      </c>
      <c r="K843" s="7" t="s">
        <v>26</v>
      </c>
      <c r="L843" s="7" t="s">
        <v>14</v>
      </c>
      <c r="M843" s="7" t="s">
        <v>21</v>
      </c>
      <c r="N843" s="7">
        <f>COUNTIFS(A:A,A843,D:D,D843,E:E,I843)</f>
        <v>0</v>
      </c>
    </row>
    <row r="844" spans="1:14" x14ac:dyDescent="0.3">
      <c r="A844" s="7" t="s">
        <v>66</v>
      </c>
      <c r="B844" s="7" t="s">
        <v>67</v>
      </c>
      <c r="C844" s="7" t="s">
        <v>64</v>
      </c>
      <c r="D844" s="8">
        <v>45536</v>
      </c>
      <c r="E844" s="8" t="str">
        <f t="shared" si="51"/>
        <v>September</v>
      </c>
      <c r="F844">
        <f t="shared" si="52"/>
        <v>2024</v>
      </c>
      <c r="G844">
        <f t="shared" si="53"/>
        <v>1</v>
      </c>
      <c r="H844">
        <f t="shared" si="54"/>
        <v>0</v>
      </c>
      <c r="I844" s="6">
        <v>0.43333333333333335</v>
      </c>
      <c r="J844" s="6">
        <v>0.75486111111111109</v>
      </c>
      <c r="K844" s="7" t="s">
        <v>20</v>
      </c>
      <c r="L844" s="7" t="s">
        <v>14</v>
      </c>
      <c r="M844" s="7" t="s">
        <v>15</v>
      </c>
      <c r="N844" s="7">
        <f>COUNTIFS(A:A,A844,D:D,D844,E:E,I844)</f>
        <v>0</v>
      </c>
    </row>
    <row r="845" spans="1:14" x14ac:dyDescent="0.3">
      <c r="A845" s="7" t="s">
        <v>165</v>
      </c>
      <c r="B845" s="7" t="s">
        <v>166</v>
      </c>
      <c r="C845" s="7" t="s">
        <v>42</v>
      </c>
      <c r="D845" s="8">
        <v>45507</v>
      </c>
      <c r="E845" s="8" t="str">
        <f t="shared" si="51"/>
        <v>August</v>
      </c>
      <c r="F845">
        <f t="shared" si="52"/>
        <v>2024</v>
      </c>
      <c r="G845">
        <f t="shared" si="53"/>
        <v>0</v>
      </c>
      <c r="H845">
        <f t="shared" si="54"/>
        <v>0</v>
      </c>
      <c r="I845" s="6"/>
      <c r="J845" s="6"/>
      <c r="K845" s="7" t="s">
        <v>44</v>
      </c>
      <c r="L845" s="7" t="s">
        <v>27</v>
      </c>
      <c r="M845" s="7" t="s">
        <v>21</v>
      </c>
      <c r="N845" s="7">
        <f>COUNTIFS(A:A,A845,D:D,D845,E:E,I845)</f>
        <v>0</v>
      </c>
    </row>
    <row r="846" spans="1:14" x14ac:dyDescent="0.3">
      <c r="A846" s="7" t="s">
        <v>55</v>
      </c>
      <c r="B846" s="7" t="s">
        <v>56</v>
      </c>
      <c r="C846" s="7" t="s">
        <v>64</v>
      </c>
      <c r="D846" s="8">
        <v>45293</v>
      </c>
      <c r="E846" s="8" t="str">
        <f t="shared" si="51"/>
        <v>January</v>
      </c>
      <c r="F846">
        <f t="shared" si="52"/>
        <v>2024</v>
      </c>
      <c r="G846">
        <f t="shared" si="53"/>
        <v>1</v>
      </c>
      <c r="H846">
        <f t="shared" si="54"/>
        <v>1</v>
      </c>
      <c r="I846" s="6">
        <v>0.37291666666666667</v>
      </c>
      <c r="J846" s="6">
        <v>0.7</v>
      </c>
      <c r="K846" s="7" t="s">
        <v>26</v>
      </c>
      <c r="L846" s="7" t="s">
        <v>14</v>
      </c>
      <c r="M846" s="7" t="s">
        <v>15</v>
      </c>
      <c r="N846" s="7">
        <f>COUNTIFS(A:A,A846,D:D,D846,E:E,I846)</f>
        <v>0</v>
      </c>
    </row>
    <row r="847" spans="1:14" x14ac:dyDescent="0.3">
      <c r="A847" s="7" t="s">
        <v>99</v>
      </c>
      <c r="B847" s="7" t="s">
        <v>100</v>
      </c>
      <c r="C847" s="7" t="s">
        <v>42</v>
      </c>
      <c r="D847" s="8">
        <v>45371</v>
      </c>
      <c r="E847" s="8" t="str">
        <f t="shared" si="51"/>
        <v>March</v>
      </c>
      <c r="F847">
        <f t="shared" si="52"/>
        <v>2024</v>
      </c>
      <c r="G847">
        <f t="shared" si="53"/>
        <v>1</v>
      </c>
      <c r="H847">
        <f t="shared" si="54"/>
        <v>0</v>
      </c>
      <c r="I847" s="6">
        <v>0.44027777777777777</v>
      </c>
      <c r="J847" s="6">
        <v>0.74097222222222225</v>
      </c>
      <c r="K847" s="7" t="s">
        <v>20</v>
      </c>
      <c r="L847" s="7" t="s">
        <v>27</v>
      </c>
      <c r="M847" s="7" t="s">
        <v>21</v>
      </c>
      <c r="N847" s="7">
        <f>COUNTIFS(A:A,A847,D:D,D847,E:E,I847)</f>
        <v>0</v>
      </c>
    </row>
    <row r="848" spans="1:14" x14ac:dyDescent="0.3">
      <c r="A848" s="7" t="s">
        <v>66</v>
      </c>
      <c r="B848" s="7" t="s">
        <v>67</v>
      </c>
      <c r="C848" s="7" t="s">
        <v>42</v>
      </c>
      <c r="D848" s="8">
        <v>45314</v>
      </c>
      <c r="E848" s="8" t="str">
        <f t="shared" si="51"/>
        <v>January</v>
      </c>
      <c r="F848">
        <f t="shared" si="52"/>
        <v>2024</v>
      </c>
      <c r="G848">
        <f t="shared" si="53"/>
        <v>1</v>
      </c>
      <c r="H848">
        <f t="shared" si="54"/>
        <v>1</v>
      </c>
      <c r="I848" s="6">
        <v>0.49583333333333335</v>
      </c>
      <c r="J848" s="6">
        <v>0.8208333333333333</v>
      </c>
      <c r="K848" s="7" t="s">
        <v>26</v>
      </c>
      <c r="L848" s="7" t="s">
        <v>14</v>
      </c>
      <c r="M848" s="7" t="s">
        <v>15</v>
      </c>
      <c r="N848" s="7">
        <f>COUNTIFS(A:A,A848,D:D,D848,E:E,I848)</f>
        <v>0</v>
      </c>
    </row>
    <row r="849" spans="1:14" x14ac:dyDescent="0.3">
      <c r="A849" s="7" t="s">
        <v>200</v>
      </c>
      <c r="B849" s="7" t="s">
        <v>201</v>
      </c>
      <c r="C849" s="7" t="s">
        <v>64</v>
      </c>
      <c r="D849" s="8">
        <v>45308</v>
      </c>
      <c r="E849" s="8" t="str">
        <f t="shared" si="51"/>
        <v>January</v>
      </c>
      <c r="F849">
        <f t="shared" si="52"/>
        <v>2024</v>
      </c>
      <c r="G849">
        <f t="shared" si="53"/>
        <v>1</v>
      </c>
      <c r="H849">
        <f t="shared" si="54"/>
        <v>1</v>
      </c>
      <c r="I849" s="6">
        <v>0.49166666666666664</v>
      </c>
      <c r="J849" s="6">
        <v>0.82499999999999996</v>
      </c>
      <c r="K849" s="7" t="s">
        <v>26</v>
      </c>
      <c r="L849" s="7" t="s">
        <v>14</v>
      </c>
      <c r="M849" s="7" t="s">
        <v>15</v>
      </c>
      <c r="N849" s="7">
        <f>COUNTIFS(A:A,A849,D:D,D849,E:E,I849)</f>
        <v>0</v>
      </c>
    </row>
    <row r="850" spans="1:14" x14ac:dyDescent="0.3">
      <c r="A850" s="7" t="s">
        <v>250</v>
      </c>
      <c r="B850" s="7" t="s">
        <v>251</v>
      </c>
      <c r="C850" s="7" t="s">
        <v>426</v>
      </c>
      <c r="D850" s="8">
        <v>45343</v>
      </c>
      <c r="E850" s="8" t="str">
        <f t="shared" si="51"/>
        <v>February</v>
      </c>
      <c r="F850">
        <f t="shared" si="52"/>
        <v>2024</v>
      </c>
      <c r="G850">
        <f t="shared" si="53"/>
        <v>1</v>
      </c>
      <c r="H850">
        <f t="shared" si="54"/>
        <v>0</v>
      </c>
      <c r="I850" s="6">
        <v>0.4597222222222222</v>
      </c>
      <c r="J850" s="6">
        <v>0.7944444444444444</v>
      </c>
      <c r="K850" s="7" t="s">
        <v>20</v>
      </c>
      <c r="L850" s="7" t="s">
        <v>27</v>
      </c>
      <c r="M850" s="7" t="s">
        <v>15</v>
      </c>
      <c r="N850" s="7">
        <f>COUNTIFS(A:A,A850,D:D,D850,E:E,I850)</f>
        <v>0</v>
      </c>
    </row>
    <row r="851" spans="1:14" x14ac:dyDescent="0.3">
      <c r="A851" s="7" t="s">
        <v>9</v>
      </c>
      <c r="B851" s="7" t="s">
        <v>10</v>
      </c>
      <c r="C851" s="7" t="s">
        <v>426</v>
      </c>
      <c r="D851" s="8">
        <v>45300</v>
      </c>
      <c r="E851" s="8" t="str">
        <f t="shared" si="51"/>
        <v>January</v>
      </c>
      <c r="F851">
        <f t="shared" si="52"/>
        <v>2024</v>
      </c>
      <c r="G851">
        <f t="shared" si="53"/>
        <v>1</v>
      </c>
      <c r="H851">
        <f t="shared" si="54"/>
        <v>0</v>
      </c>
      <c r="I851" s="6">
        <v>0.40902777777777777</v>
      </c>
      <c r="J851" s="6">
        <v>0.71805555555555556</v>
      </c>
      <c r="K851" s="7" t="s">
        <v>20</v>
      </c>
      <c r="L851" s="7" t="s">
        <v>14</v>
      </c>
      <c r="M851" s="7" t="s">
        <v>15</v>
      </c>
      <c r="N851" s="7">
        <f>COUNTIFS(A:A,A851,D:D,D851,E:E,I851)</f>
        <v>0</v>
      </c>
    </row>
    <row r="852" spans="1:14" x14ac:dyDescent="0.3">
      <c r="A852" s="7" t="s">
        <v>81</v>
      </c>
      <c r="B852" s="7" t="s">
        <v>82</v>
      </c>
      <c r="C852" s="7" t="s">
        <v>425</v>
      </c>
      <c r="D852" s="8">
        <v>45352</v>
      </c>
      <c r="E852" s="8" t="str">
        <f t="shared" si="51"/>
        <v>March</v>
      </c>
      <c r="F852">
        <f t="shared" si="52"/>
        <v>2024</v>
      </c>
      <c r="G852">
        <f t="shared" si="53"/>
        <v>0</v>
      </c>
      <c r="H852">
        <f t="shared" si="54"/>
        <v>0</v>
      </c>
      <c r="I852" s="6"/>
      <c r="J852" s="6"/>
      <c r="K852" s="7" t="s">
        <v>44</v>
      </c>
      <c r="L852" s="7" t="s">
        <v>27</v>
      </c>
      <c r="M852" s="7" t="s">
        <v>21</v>
      </c>
      <c r="N852" s="7">
        <f>COUNTIFS(A:A,A852,D:D,D852,E:E,I852)</f>
        <v>0</v>
      </c>
    </row>
    <row r="853" spans="1:14" x14ac:dyDescent="0.3">
      <c r="A853" s="7" t="s">
        <v>200</v>
      </c>
      <c r="B853" s="7" t="s">
        <v>201</v>
      </c>
      <c r="C853" s="7" t="s">
        <v>42</v>
      </c>
      <c r="D853" s="8">
        <v>45348</v>
      </c>
      <c r="E853" s="8" t="str">
        <f t="shared" si="51"/>
        <v>February</v>
      </c>
      <c r="F853">
        <f t="shared" si="52"/>
        <v>2024</v>
      </c>
      <c r="G853">
        <f t="shared" si="53"/>
        <v>1</v>
      </c>
      <c r="H853">
        <f t="shared" si="54"/>
        <v>0</v>
      </c>
      <c r="I853" s="6">
        <v>0.40486111111111112</v>
      </c>
      <c r="J853" s="6">
        <v>0.87222222222222223</v>
      </c>
      <c r="K853" s="7" t="s">
        <v>13</v>
      </c>
      <c r="L853" s="7" t="s">
        <v>14</v>
      </c>
      <c r="M853" s="7" t="s">
        <v>21</v>
      </c>
      <c r="N853" s="7">
        <f>COUNTIFS(A:A,A853,D:D,D853,E:E,I853)</f>
        <v>0</v>
      </c>
    </row>
    <row r="854" spans="1:14" x14ac:dyDescent="0.3">
      <c r="A854" s="7" t="s">
        <v>58</v>
      </c>
      <c r="B854" s="7" t="s">
        <v>59</v>
      </c>
      <c r="C854" s="7" t="s">
        <v>64</v>
      </c>
      <c r="D854" s="8">
        <v>45538</v>
      </c>
      <c r="E854" s="8" t="str">
        <f t="shared" si="51"/>
        <v>September</v>
      </c>
      <c r="F854">
        <f t="shared" si="52"/>
        <v>2024</v>
      </c>
      <c r="G854">
        <f t="shared" si="53"/>
        <v>1</v>
      </c>
      <c r="H854">
        <f t="shared" si="54"/>
        <v>0</v>
      </c>
      <c r="I854" s="6">
        <v>0.40625</v>
      </c>
      <c r="J854" s="6">
        <v>0.7104166666666667</v>
      </c>
      <c r="K854" s="7" t="s">
        <v>20</v>
      </c>
      <c r="L854" s="7" t="s">
        <v>14</v>
      </c>
      <c r="M854" s="7" t="s">
        <v>21</v>
      </c>
      <c r="N854" s="7">
        <f>COUNTIFS(A:A,A854,D:D,D854,E:E,I854)</f>
        <v>0</v>
      </c>
    </row>
    <row r="855" spans="1:14" x14ac:dyDescent="0.3">
      <c r="A855" s="7" t="s">
        <v>93</v>
      </c>
      <c r="B855" s="7" t="s">
        <v>94</v>
      </c>
      <c r="C855" s="7" t="s">
        <v>60</v>
      </c>
      <c r="D855" s="8">
        <v>45365</v>
      </c>
      <c r="E855" s="8" t="str">
        <f t="shared" si="51"/>
        <v>March</v>
      </c>
      <c r="F855">
        <f t="shared" si="52"/>
        <v>2024</v>
      </c>
      <c r="G855">
        <f t="shared" si="53"/>
        <v>0</v>
      </c>
      <c r="H855">
        <f t="shared" si="54"/>
        <v>0</v>
      </c>
      <c r="I855" s="6"/>
      <c r="J855" s="6"/>
      <c r="K855" s="7" t="s">
        <v>44</v>
      </c>
      <c r="L855" s="7" t="s">
        <v>14</v>
      </c>
      <c r="M855" s="7" t="s">
        <v>15</v>
      </c>
      <c r="N855" s="7">
        <f>COUNTIFS(A:A,A855,D:D,D855,E:E,I855)</f>
        <v>0</v>
      </c>
    </row>
    <row r="856" spans="1:14" x14ac:dyDescent="0.3">
      <c r="A856" s="7" t="s">
        <v>191</v>
      </c>
      <c r="B856" s="7" t="s">
        <v>192</v>
      </c>
      <c r="C856" s="7" t="s">
        <v>60</v>
      </c>
      <c r="D856" s="8">
        <v>45538</v>
      </c>
      <c r="E856" s="8" t="str">
        <f t="shared" si="51"/>
        <v>September</v>
      </c>
      <c r="F856">
        <f t="shared" si="52"/>
        <v>2024</v>
      </c>
      <c r="G856">
        <f t="shared" si="53"/>
        <v>1</v>
      </c>
      <c r="H856">
        <f t="shared" si="54"/>
        <v>0</v>
      </c>
      <c r="I856" s="6">
        <v>0.43402777777777779</v>
      </c>
      <c r="J856" s="6">
        <v>0.78125</v>
      </c>
      <c r="K856" s="7" t="s">
        <v>13</v>
      </c>
      <c r="L856" s="7" t="s">
        <v>27</v>
      </c>
      <c r="M856" s="7" t="s">
        <v>15</v>
      </c>
      <c r="N856" s="7">
        <f>COUNTIFS(A:A,A856,D:D,D856,E:E,I856)</f>
        <v>0</v>
      </c>
    </row>
    <row r="857" spans="1:14" x14ac:dyDescent="0.3">
      <c r="A857" s="7" t="s">
        <v>194</v>
      </c>
      <c r="B857" s="7" t="s">
        <v>195</v>
      </c>
      <c r="C857" s="7" t="s">
        <v>425</v>
      </c>
      <c r="D857" s="8">
        <v>45312</v>
      </c>
      <c r="E857" s="8" t="str">
        <f t="shared" si="51"/>
        <v>January</v>
      </c>
      <c r="F857">
        <f t="shared" si="52"/>
        <v>2024</v>
      </c>
      <c r="G857">
        <f t="shared" si="53"/>
        <v>1</v>
      </c>
      <c r="H857">
        <f t="shared" si="54"/>
        <v>1</v>
      </c>
      <c r="I857" s="6">
        <v>0.33541666666666664</v>
      </c>
      <c r="J857" s="6">
        <v>0.83402777777777781</v>
      </c>
      <c r="K857" s="7" t="s">
        <v>26</v>
      </c>
      <c r="L857" s="7" t="s">
        <v>27</v>
      </c>
      <c r="M857" s="7" t="s">
        <v>15</v>
      </c>
      <c r="N857" s="7">
        <f>COUNTIFS(A:A,A857,D:D,D857,E:E,I857)</f>
        <v>0</v>
      </c>
    </row>
    <row r="858" spans="1:14" x14ac:dyDescent="0.3">
      <c r="A858" s="7" t="s">
        <v>72</v>
      </c>
      <c r="B858" s="7" t="s">
        <v>73</v>
      </c>
      <c r="C858" s="7" t="s">
        <v>42</v>
      </c>
      <c r="D858" s="8">
        <v>45292</v>
      </c>
      <c r="E858" s="8" t="str">
        <f t="shared" si="51"/>
        <v>January</v>
      </c>
      <c r="F858">
        <f t="shared" si="52"/>
        <v>2024</v>
      </c>
      <c r="G858">
        <f t="shared" si="53"/>
        <v>0</v>
      </c>
      <c r="H858">
        <f t="shared" si="54"/>
        <v>0</v>
      </c>
      <c r="I858" s="6"/>
      <c r="J858" s="6"/>
      <c r="K858" s="7" t="s">
        <v>44</v>
      </c>
      <c r="L858" s="7" t="s">
        <v>27</v>
      </c>
      <c r="M858" s="7" t="s">
        <v>21</v>
      </c>
      <c r="N858" s="7">
        <f>COUNTIFS(A:A,A858,D:D,D858,E:E,I858)</f>
        <v>0</v>
      </c>
    </row>
    <row r="859" spans="1:14" x14ac:dyDescent="0.3">
      <c r="A859" s="7" t="s">
        <v>362</v>
      </c>
      <c r="B859" s="7" t="s">
        <v>363</v>
      </c>
      <c r="C859" s="7" t="s">
        <v>425</v>
      </c>
      <c r="D859" s="8">
        <v>45311</v>
      </c>
      <c r="E859" s="8" t="str">
        <f t="shared" si="51"/>
        <v>January</v>
      </c>
      <c r="F859">
        <f t="shared" si="52"/>
        <v>2024</v>
      </c>
      <c r="G859">
        <f t="shared" si="53"/>
        <v>1</v>
      </c>
      <c r="H859">
        <f t="shared" si="54"/>
        <v>1</v>
      </c>
      <c r="I859" s="6">
        <v>0.38541666666666669</v>
      </c>
      <c r="J859" s="6">
        <v>0.79583333333333328</v>
      </c>
      <c r="K859" s="7" t="s">
        <v>26</v>
      </c>
      <c r="L859" s="7" t="s">
        <v>27</v>
      </c>
      <c r="M859" s="7" t="s">
        <v>15</v>
      </c>
      <c r="N859" s="7">
        <f>COUNTIFS(A:A,A859,D:D,D859,E:E,I859)</f>
        <v>0</v>
      </c>
    </row>
    <row r="860" spans="1:14" x14ac:dyDescent="0.3">
      <c r="A860" s="7" t="s">
        <v>72</v>
      </c>
      <c r="B860" s="7" t="s">
        <v>73</v>
      </c>
      <c r="C860" s="7" t="s">
        <v>60</v>
      </c>
      <c r="D860" s="8">
        <v>45345</v>
      </c>
      <c r="E860" s="8" t="str">
        <f t="shared" si="51"/>
        <v>February</v>
      </c>
      <c r="F860">
        <f t="shared" si="52"/>
        <v>2024</v>
      </c>
      <c r="G860">
        <f t="shared" si="53"/>
        <v>1</v>
      </c>
      <c r="H860">
        <f t="shared" si="54"/>
        <v>0</v>
      </c>
      <c r="I860" s="6">
        <v>0.43680555555555556</v>
      </c>
      <c r="J860" s="6">
        <v>0.69166666666666665</v>
      </c>
      <c r="K860" s="7" t="s">
        <v>13</v>
      </c>
      <c r="L860" s="7" t="s">
        <v>14</v>
      </c>
      <c r="M860" s="7" t="s">
        <v>15</v>
      </c>
      <c r="N860" s="7">
        <f>COUNTIFS(A:A,A860,D:D,D860,E:E,I860)</f>
        <v>0</v>
      </c>
    </row>
    <row r="861" spans="1:14" x14ac:dyDescent="0.3">
      <c r="A861" s="7" t="s">
        <v>28</v>
      </c>
      <c r="B861" s="7" t="s">
        <v>29</v>
      </c>
      <c r="C861" s="7" t="s">
        <v>426</v>
      </c>
      <c r="D861" s="8">
        <v>45370</v>
      </c>
      <c r="E861" s="8" t="str">
        <f t="shared" si="51"/>
        <v>March</v>
      </c>
      <c r="F861">
        <f t="shared" si="52"/>
        <v>2024</v>
      </c>
      <c r="G861">
        <f t="shared" si="53"/>
        <v>0</v>
      </c>
      <c r="H861">
        <f t="shared" si="54"/>
        <v>0</v>
      </c>
      <c r="I861" s="6"/>
      <c r="J861" s="6"/>
      <c r="K861" s="7" t="s">
        <v>44</v>
      </c>
      <c r="L861" s="7" t="s">
        <v>27</v>
      </c>
      <c r="M861" s="7" t="s">
        <v>21</v>
      </c>
      <c r="N861" s="7">
        <f>COUNTIFS(A:A,A861,D:D,D861,E:E,I861)</f>
        <v>0</v>
      </c>
    </row>
    <row r="862" spans="1:14" x14ac:dyDescent="0.3">
      <c r="A862" s="7" t="s">
        <v>250</v>
      </c>
      <c r="B862" s="7" t="s">
        <v>251</v>
      </c>
      <c r="C862" s="7" t="s">
        <v>42</v>
      </c>
      <c r="D862" s="8">
        <v>45371</v>
      </c>
      <c r="E862" s="8" t="str">
        <f t="shared" si="51"/>
        <v>March</v>
      </c>
      <c r="F862">
        <f t="shared" si="52"/>
        <v>2024</v>
      </c>
      <c r="G862">
        <f t="shared" si="53"/>
        <v>1</v>
      </c>
      <c r="H862">
        <f t="shared" si="54"/>
        <v>0</v>
      </c>
      <c r="I862" s="6">
        <v>0.37083333333333335</v>
      </c>
      <c r="J862" s="6">
        <v>0.82708333333333328</v>
      </c>
      <c r="K862" s="7" t="s">
        <v>20</v>
      </c>
      <c r="L862" s="7" t="s">
        <v>27</v>
      </c>
      <c r="M862" s="7" t="s">
        <v>15</v>
      </c>
      <c r="N862" s="7">
        <f>COUNTIFS(A:A,A862,D:D,D862,E:E,I862)</f>
        <v>0</v>
      </c>
    </row>
    <row r="863" spans="1:14" x14ac:dyDescent="0.3">
      <c r="A863" s="7" t="s">
        <v>93</v>
      </c>
      <c r="B863" s="7" t="s">
        <v>94</v>
      </c>
      <c r="C863" s="7" t="s">
        <v>425</v>
      </c>
      <c r="D863" s="8">
        <v>45350</v>
      </c>
      <c r="E863" s="8" t="str">
        <f t="shared" si="51"/>
        <v>February</v>
      </c>
      <c r="F863">
        <f t="shared" si="52"/>
        <v>2024</v>
      </c>
      <c r="G863">
        <f t="shared" si="53"/>
        <v>1</v>
      </c>
      <c r="H863">
        <f t="shared" si="54"/>
        <v>0</v>
      </c>
      <c r="I863" s="6">
        <v>0.46736111111111112</v>
      </c>
      <c r="J863" s="6">
        <v>0.82847222222222228</v>
      </c>
      <c r="K863" s="7" t="s">
        <v>13</v>
      </c>
      <c r="L863" s="7" t="s">
        <v>27</v>
      </c>
      <c r="M863" s="7" t="s">
        <v>15</v>
      </c>
      <c r="N863" s="7">
        <f>COUNTIFS(A:A,A863,D:D,D863,E:E,I863)</f>
        <v>0</v>
      </c>
    </row>
    <row r="864" spans="1:14" x14ac:dyDescent="0.3">
      <c r="A864" s="7" t="s">
        <v>154</v>
      </c>
      <c r="B864" s="7" t="s">
        <v>155</v>
      </c>
      <c r="C864" s="7" t="s">
        <v>64</v>
      </c>
      <c r="D864" s="8">
        <v>45302</v>
      </c>
      <c r="E864" s="8" t="str">
        <f t="shared" si="51"/>
        <v>January</v>
      </c>
      <c r="F864">
        <f t="shared" si="52"/>
        <v>2024</v>
      </c>
      <c r="G864">
        <f t="shared" si="53"/>
        <v>1</v>
      </c>
      <c r="H864">
        <f t="shared" si="54"/>
        <v>1</v>
      </c>
      <c r="I864" s="6">
        <v>0.45694444444444443</v>
      </c>
      <c r="J864" s="6">
        <v>0.85902777777777772</v>
      </c>
      <c r="K864" s="7" t="s">
        <v>26</v>
      </c>
      <c r="L864" s="7" t="s">
        <v>14</v>
      </c>
      <c r="M864" s="7" t="s">
        <v>15</v>
      </c>
      <c r="N864" s="7">
        <f>COUNTIFS(A:A,A864,D:D,D864,E:E,I864)</f>
        <v>0</v>
      </c>
    </row>
    <row r="865" spans="1:14" x14ac:dyDescent="0.3">
      <c r="A865" s="7" t="s">
        <v>146</v>
      </c>
      <c r="B865" s="7" t="s">
        <v>147</v>
      </c>
      <c r="C865" s="7" t="s">
        <v>60</v>
      </c>
      <c r="D865" s="8">
        <v>45318</v>
      </c>
      <c r="E865" s="8" t="str">
        <f t="shared" si="51"/>
        <v>January</v>
      </c>
      <c r="F865">
        <f t="shared" si="52"/>
        <v>2024</v>
      </c>
      <c r="G865">
        <f t="shared" si="53"/>
        <v>1</v>
      </c>
      <c r="H865">
        <f t="shared" si="54"/>
        <v>1</v>
      </c>
      <c r="I865" s="6">
        <v>0.49166666666666664</v>
      </c>
      <c r="J865" s="6">
        <v>0.73888888888888893</v>
      </c>
      <c r="K865" s="7" t="s">
        <v>26</v>
      </c>
      <c r="L865" s="7" t="s">
        <v>27</v>
      </c>
      <c r="M865" s="7" t="s">
        <v>21</v>
      </c>
      <c r="N865" s="7">
        <f>COUNTIFS(A:A,A865,D:D,D865,E:E,I865)</f>
        <v>0</v>
      </c>
    </row>
    <row r="866" spans="1:14" x14ac:dyDescent="0.3">
      <c r="A866" s="7" t="s">
        <v>216</v>
      </c>
      <c r="B866" s="7" t="s">
        <v>217</v>
      </c>
      <c r="C866" s="7" t="s">
        <v>425</v>
      </c>
      <c r="D866" s="8">
        <v>45597</v>
      </c>
      <c r="E866" s="8" t="str">
        <f t="shared" si="51"/>
        <v>November</v>
      </c>
      <c r="F866">
        <f t="shared" si="52"/>
        <v>2024</v>
      </c>
      <c r="G866">
        <f t="shared" si="53"/>
        <v>1</v>
      </c>
      <c r="H866">
        <f t="shared" si="54"/>
        <v>1</v>
      </c>
      <c r="I866" s="6">
        <v>0.35347222222222224</v>
      </c>
      <c r="J866" s="6">
        <v>0.84305555555555556</v>
      </c>
      <c r="K866" s="7" t="s">
        <v>26</v>
      </c>
      <c r="L866" s="7" t="s">
        <v>27</v>
      </c>
      <c r="M866" s="7" t="s">
        <v>15</v>
      </c>
      <c r="N866" s="7">
        <f>COUNTIFS(A:A,A866,D:D,D866,E:E,I866)</f>
        <v>0</v>
      </c>
    </row>
    <row r="867" spans="1:14" x14ac:dyDescent="0.3">
      <c r="A867" s="7" t="s">
        <v>150</v>
      </c>
      <c r="B867" s="7" t="s">
        <v>151</v>
      </c>
      <c r="C867" s="7" t="s">
        <v>42</v>
      </c>
      <c r="D867" s="8">
        <v>45332</v>
      </c>
      <c r="E867" s="8" t="str">
        <f t="shared" si="51"/>
        <v>February</v>
      </c>
      <c r="F867">
        <f t="shared" si="52"/>
        <v>2024</v>
      </c>
      <c r="G867">
        <f t="shared" si="53"/>
        <v>0</v>
      </c>
      <c r="H867">
        <f t="shared" si="54"/>
        <v>0</v>
      </c>
      <c r="I867" s="6"/>
      <c r="J867" s="6"/>
      <c r="K867" s="7" t="s">
        <v>44</v>
      </c>
      <c r="L867" s="7" t="s">
        <v>27</v>
      </c>
      <c r="M867" s="7" t="s">
        <v>15</v>
      </c>
      <c r="N867" s="7">
        <f>COUNTIFS(A:A,A867,D:D,D867,E:E,I867)</f>
        <v>0</v>
      </c>
    </row>
    <row r="868" spans="1:14" x14ac:dyDescent="0.3">
      <c r="A868" s="7" t="s">
        <v>216</v>
      </c>
      <c r="B868" s="7" t="s">
        <v>217</v>
      </c>
      <c r="C868" s="7" t="s">
        <v>60</v>
      </c>
      <c r="D868" s="8">
        <v>45376</v>
      </c>
      <c r="E868" s="8" t="str">
        <f t="shared" si="51"/>
        <v>March</v>
      </c>
      <c r="F868">
        <f t="shared" si="52"/>
        <v>2024</v>
      </c>
      <c r="G868">
        <f t="shared" si="53"/>
        <v>1</v>
      </c>
      <c r="H868">
        <f t="shared" si="54"/>
        <v>0</v>
      </c>
      <c r="I868" s="6">
        <v>0.34305555555555556</v>
      </c>
      <c r="J868" s="6">
        <v>0.79027777777777775</v>
      </c>
      <c r="K868" s="7" t="s">
        <v>20</v>
      </c>
      <c r="L868" s="7" t="s">
        <v>14</v>
      </c>
      <c r="M868" s="7" t="s">
        <v>15</v>
      </c>
      <c r="N868" s="7">
        <f>COUNTIFS(A:A,A868,D:D,D868,E:E,I868)</f>
        <v>0</v>
      </c>
    </row>
    <row r="869" spans="1:14" x14ac:dyDescent="0.3">
      <c r="A869" s="7" t="s">
        <v>87</v>
      </c>
      <c r="B869" s="7" t="s">
        <v>88</v>
      </c>
      <c r="C869" s="7" t="s">
        <v>60</v>
      </c>
      <c r="D869" s="8">
        <v>45348</v>
      </c>
      <c r="E869" s="8" t="str">
        <f t="shared" si="51"/>
        <v>February</v>
      </c>
      <c r="F869">
        <f t="shared" si="52"/>
        <v>2024</v>
      </c>
      <c r="G869">
        <f t="shared" si="53"/>
        <v>1</v>
      </c>
      <c r="H869">
        <f t="shared" si="54"/>
        <v>0</v>
      </c>
      <c r="I869" s="6">
        <v>0.40138888888888891</v>
      </c>
      <c r="J869" s="6">
        <v>0.73888888888888893</v>
      </c>
      <c r="K869" s="7" t="s">
        <v>13</v>
      </c>
      <c r="L869" s="7" t="s">
        <v>14</v>
      </c>
      <c r="M869" s="7" t="s">
        <v>21</v>
      </c>
      <c r="N869" s="7">
        <f>COUNTIFS(A:A,A869,D:D,D869,E:E,I869)</f>
        <v>0</v>
      </c>
    </row>
    <row r="870" spans="1:14" x14ac:dyDescent="0.3">
      <c r="A870" s="7" t="s">
        <v>37</v>
      </c>
      <c r="B870" s="7" t="s">
        <v>38</v>
      </c>
      <c r="C870" s="7" t="s">
        <v>42</v>
      </c>
      <c r="D870" s="8">
        <v>45538</v>
      </c>
      <c r="E870" s="8" t="str">
        <f t="shared" si="51"/>
        <v>September</v>
      </c>
      <c r="F870">
        <f t="shared" si="52"/>
        <v>2024</v>
      </c>
      <c r="G870">
        <f t="shared" si="53"/>
        <v>0</v>
      </c>
      <c r="H870">
        <f t="shared" si="54"/>
        <v>0</v>
      </c>
      <c r="I870" s="6"/>
      <c r="J870" s="6"/>
      <c r="K870" s="7" t="s">
        <v>44</v>
      </c>
      <c r="L870" s="7" t="s">
        <v>27</v>
      </c>
      <c r="M870" s="7" t="s">
        <v>21</v>
      </c>
      <c r="N870" s="7">
        <f>COUNTIFS(A:A,A870,D:D,D870,E:E,I870)</f>
        <v>0</v>
      </c>
    </row>
    <row r="871" spans="1:14" x14ac:dyDescent="0.3">
      <c r="A871" s="7" t="s">
        <v>130</v>
      </c>
      <c r="B871" s="7" t="s">
        <v>131</v>
      </c>
      <c r="C871" s="7" t="s">
        <v>42</v>
      </c>
      <c r="D871" s="8">
        <v>45346</v>
      </c>
      <c r="E871" s="8" t="str">
        <f t="shared" si="51"/>
        <v>February</v>
      </c>
      <c r="F871">
        <f t="shared" si="52"/>
        <v>2024</v>
      </c>
      <c r="G871">
        <f t="shared" si="53"/>
        <v>1</v>
      </c>
      <c r="H871">
        <f t="shared" si="54"/>
        <v>0</v>
      </c>
      <c r="I871" s="6">
        <v>0.35208333333333336</v>
      </c>
      <c r="J871" s="6">
        <v>0.74930555555555556</v>
      </c>
      <c r="K871" s="7" t="s">
        <v>20</v>
      </c>
      <c r="L871" s="7" t="s">
        <v>14</v>
      </c>
      <c r="M871" s="7" t="s">
        <v>15</v>
      </c>
      <c r="N871" s="7">
        <f>COUNTIFS(A:A,A871,D:D,D871,E:E,I871)</f>
        <v>0</v>
      </c>
    </row>
    <row r="872" spans="1:14" x14ac:dyDescent="0.3">
      <c r="A872" s="7" t="s">
        <v>31</v>
      </c>
      <c r="B872" s="7" t="s">
        <v>32</v>
      </c>
      <c r="C872" s="7" t="s">
        <v>64</v>
      </c>
      <c r="D872" s="8">
        <v>45316</v>
      </c>
      <c r="E872" s="8" t="str">
        <f t="shared" si="51"/>
        <v>January</v>
      </c>
      <c r="F872">
        <f t="shared" si="52"/>
        <v>2024</v>
      </c>
      <c r="G872">
        <f t="shared" si="53"/>
        <v>1</v>
      </c>
      <c r="H872">
        <f t="shared" si="54"/>
        <v>1</v>
      </c>
      <c r="I872" s="6">
        <v>0.40625</v>
      </c>
      <c r="J872" s="6">
        <v>0.76527777777777772</v>
      </c>
      <c r="K872" s="7" t="s">
        <v>26</v>
      </c>
      <c r="L872" s="7" t="s">
        <v>14</v>
      </c>
      <c r="M872" s="7" t="s">
        <v>15</v>
      </c>
      <c r="N872" s="7">
        <f>COUNTIFS(A:A,A872,D:D,D872,E:E,I872)</f>
        <v>0</v>
      </c>
    </row>
    <row r="873" spans="1:14" x14ac:dyDescent="0.3">
      <c r="A873" s="7" t="s">
        <v>55</v>
      </c>
      <c r="B873" s="7" t="s">
        <v>56</v>
      </c>
      <c r="C873" s="7" t="s">
        <v>426</v>
      </c>
      <c r="D873" s="8">
        <v>45349</v>
      </c>
      <c r="E873" s="8" t="str">
        <f t="shared" si="51"/>
        <v>February</v>
      </c>
      <c r="F873">
        <f t="shared" si="52"/>
        <v>2024</v>
      </c>
      <c r="G873">
        <f t="shared" si="53"/>
        <v>1</v>
      </c>
      <c r="H873">
        <f t="shared" si="54"/>
        <v>0</v>
      </c>
      <c r="I873" s="6">
        <v>0.42916666666666664</v>
      </c>
      <c r="J873" s="6">
        <v>0.70277777777777772</v>
      </c>
      <c r="K873" s="7" t="s">
        <v>13</v>
      </c>
      <c r="L873" s="7" t="s">
        <v>14</v>
      </c>
      <c r="M873" s="7" t="s">
        <v>15</v>
      </c>
      <c r="N873" s="7">
        <f>COUNTIFS(A:A,A873,D:D,D873,E:E,I873)</f>
        <v>0</v>
      </c>
    </row>
    <row r="874" spans="1:14" x14ac:dyDescent="0.3">
      <c r="A874" s="7" t="s">
        <v>102</v>
      </c>
      <c r="B874" s="7" t="s">
        <v>103</v>
      </c>
      <c r="C874" s="7" t="s">
        <v>42</v>
      </c>
      <c r="D874" s="8">
        <v>45377</v>
      </c>
      <c r="E874" s="8" t="str">
        <f t="shared" si="51"/>
        <v>March</v>
      </c>
      <c r="F874">
        <f t="shared" si="52"/>
        <v>2024</v>
      </c>
      <c r="G874">
        <f t="shared" si="53"/>
        <v>1</v>
      </c>
      <c r="H874">
        <f t="shared" si="54"/>
        <v>0</v>
      </c>
      <c r="I874" s="6">
        <v>0.3347222222222222</v>
      </c>
      <c r="J874" s="6">
        <v>0.72291666666666665</v>
      </c>
      <c r="K874" s="7" t="s">
        <v>13</v>
      </c>
      <c r="L874" s="7" t="s">
        <v>27</v>
      </c>
      <c r="M874" s="7" t="s">
        <v>21</v>
      </c>
      <c r="N874" s="7">
        <f>COUNTIFS(A:A,A874,D:D,D874,E:E,I874)</f>
        <v>0</v>
      </c>
    </row>
    <row r="875" spans="1:14" x14ac:dyDescent="0.3">
      <c r="A875" s="7" t="s">
        <v>236</v>
      </c>
      <c r="B875" s="7" t="s">
        <v>237</v>
      </c>
      <c r="C875" s="7" t="s">
        <v>64</v>
      </c>
      <c r="D875" s="8">
        <v>45538</v>
      </c>
      <c r="E875" s="8" t="str">
        <f t="shared" si="51"/>
        <v>September</v>
      </c>
      <c r="F875">
        <f t="shared" si="52"/>
        <v>2024</v>
      </c>
      <c r="G875">
        <f t="shared" si="53"/>
        <v>1</v>
      </c>
      <c r="H875">
        <f t="shared" si="54"/>
        <v>0</v>
      </c>
      <c r="I875" s="6">
        <v>0.42430555555555555</v>
      </c>
      <c r="J875" s="6">
        <v>0.67500000000000004</v>
      </c>
      <c r="K875" s="7" t="s">
        <v>20</v>
      </c>
      <c r="L875" s="7" t="s">
        <v>27</v>
      </c>
      <c r="M875" s="7" t="s">
        <v>15</v>
      </c>
      <c r="N875" s="7">
        <f>COUNTIFS(A:A,A875,D:D,D875,E:E,I875)</f>
        <v>0</v>
      </c>
    </row>
    <row r="876" spans="1:14" x14ac:dyDescent="0.3">
      <c r="A876" s="7" t="s">
        <v>96</v>
      </c>
      <c r="B876" s="7" t="s">
        <v>97</v>
      </c>
      <c r="C876" s="7" t="s">
        <v>425</v>
      </c>
      <c r="D876" s="8">
        <v>45358</v>
      </c>
      <c r="E876" s="8" t="str">
        <f t="shared" si="51"/>
        <v>March</v>
      </c>
      <c r="F876">
        <f t="shared" si="52"/>
        <v>2024</v>
      </c>
      <c r="G876">
        <f t="shared" si="53"/>
        <v>1</v>
      </c>
      <c r="H876">
        <f t="shared" si="54"/>
        <v>1</v>
      </c>
      <c r="I876" s="6">
        <v>0.45277777777777778</v>
      </c>
      <c r="J876" s="6">
        <v>0.83888888888888891</v>
      </c>
      <c r="K876" s="7" t="s">
        <v>26</v>
      </c>
      <c r="L876" s="7" t="s">
        <v>14</v>
      </c>
      <c r="M876" s="7" t="s">
        <v>21</v>
      </c>
      <c r="N876" s="7">
        <f>COUNTIFS(A:A,A876,D:D,D876,E:E,I876)</f>
        <v>0</v>
      </c>
    </row>
    <row r="877" spans="1:14" x14ac:dyDescent="0.3">
      <c r="A877" s="7" t="s">
        <v>45</v>
      </c>
      <c r="B877" s="7" t="s">
        <v>46</v>
      </c>
      <c r="C877" s="7" t="s">
        <v>425</v>
      </c>
      <c r="D877" s="8">
        <v>45351</v>
      </c>
      <c r="E877" s="8" t="str">
        <f t="shared" si="51"/>
        <v>February</v>
      </c>
      <c r="F877">
        <f t="shared" si="52"/>
        <v>2024</v>
      </c>
      <c r="G877">
        <f t="shared" si="53"/>
        <v>1</v>
      </c>
      <c r="H877">
        <f t="shared" si="54"/>
        <v>0</v>
      </c>
      <c r="I877" s="6">
        <v>0.39583333333333331</v>
      </c>
      <c r="J877" s="6">
        <v>0.7104166666666667</v>
      </c>
      <c r="K877" s="7" t="s">
        <v>13</v>
      </c>
      <c r="L877" s="7" t="s">
        <v>14</v>
      </c>
      <c r="M877" s="7" t="s">
        <v>15</v>
      </c>
      <c r="N877" s="7">
        <f>COUNTIFS(A:A,A877,D:D,D877,E:E,I877)</f>
        <v>0</v>
      </c>
    </row>
    <row r="878" spans="1:14" x14ac:dyDescent="0.3">
      <c r="A878" s="7" t="s">
        <v>224</v>
      </c>
      <c r="B878" s="7" t="s">
        <v>225</v>
      </c>
      <c r="C878" s="7" t="s">
        <v>425</v>
      </c>
      <c r="D878" s="8">
        <v>45380</v>
      </c>
      <c r="E878" s="8" t="str">
        <f t="shared" si="51"/>
        <v>March</v>
      </c>
      <c r="F878">
        <f t="shared" si="52"/>
        <v>2024</v>
      </c>
      <c r="G878">
        <f t="shared" si="53"/>
        <v>1</v>
      </c>
      <c r="H878">
        <f t="shared" si="54"/>
        <v>0</v>
      </c>
      <c r="I878" s="6">
        <v>0.40138888888888891</v>
      </c>
      <c r="J878" s="6">
        <v>0.87152777777777779</v>
      </c>
      <c r="K878" s="7" t="s">
        <v>20</v>
      </c>
      <c r="L878" s="7" t="s">
        <v>27</v>
      </c>
      <c r="M878" s="7" t="s">
        <v>21</v>
      </c>
      <c r="N878" s="7">
        <f>COUNTIFS(A:A,A878,D:D,D878,E:E,I878)</f>
        <v>0</v>
      </c>
    </row>
    <row r="879" spans="1:14" x14ac:dyDescent="0.3">
      <c r="A879" s="7" t="s">
        <v>338</v>
      </c>
      <c r="B879" s="7" t="s">
        <v>339</v>
      </c>
      <c r="C879" s="7" t="s">
        <v>426</v>
      </c>
      <c r="D879" s="8">
        <v>45376</v>
      </c>
      <c r="E879" s="8" t="str">
        <f t="shared" si="51"/>
        <v>March</v>
      </c>
      <c r="F879">
        <f t="shared" si="52"/>
        <v>2024</v>
      </c>
      <c r="G879">
        <f t="shared" si="53"/>
        <v>0</v>
      </c>
      <c r="H879">
        <f t="shared" si="54"/>
        <v>0</v>
      </c>
      <c r="I879" s="6"/>
      <c r="J879" s="6"/>
      <c r="K879" s="7" t="s">
        <v>44</v>
      </c>
      <c r="L879" s="7" t="s">
        <v>27</v>
      </c>
      <c r="M879" s="7" t="s">
        <v>15</v>
      </c>
      <c r="N879" s="7">
        <f>COUNTIFS(A:A,A879,D:D,D879,E:E,I879)</f>
        <v>0</v>
      </c>
    </row>
    <row r="880" spans="1:14" x14ac:dyDescent="0.3">
      <c r="A880" s="7" t="s">
        <v>109</v>
      </c>
      <c r="B880" s="7" t="s">
        <v>110</v>
      </c>
      <c r="C880" s="7" t="s">
        <v>426</v>
      </c>
      <c r="D880" s="8">
        <v>45294</v>
      </c>
      <c r="E880" s="8" t="str">
        <f t="shared" si="51"/>
        <v>January</v>
      </c>
      <c r="F880">
        <f t="shared" si="52"/>
        <v>2024</v>
      </c>
      <c r="G880">
        <f t="shared" si="53"/>
        <v>1</v>
      </c>
      <c r="H880">
        <f t="shared" si="54"/>
        <v>0</v>
      </c>
      <c r="I880" s="6">
        <v>0.42638888888888887</v>
      </c>
      <c r="J880" s="6">
        <v>0.85902777777777772</v>
      </c>
      <c r="K880" s="7" t="s">
        <v>13</v>
      </c>
      <c r="L880" s="7" t="s">
        <v>14</v>
      </c>
      <c r="M880" s="7" t="s">
        <v>15</v>
      </c>
      <c r="N880" s="7">
        <f>COUNTIFS(A:A,A880,D:D,D880,E:E,I880)</f>
        <v>0</v>
      </c>
    </row>
    <row r="881" spans="1:14" x14ac:dyDescent="0.3">
      <c r="A881" s="7" t="s">
        <v>109</v>
      </c>
      <c r="B881" s="7" t="s">
        <v>110</v>
      </c>
      <c r="C881" s="7" t="s">
        <v>64</v>
      </c>
      <c r="D881" s="8">
        <v>45375</v>
      </c>
      <c r="E881" s="8" t="str">
        <f t="shared" si="51"/>
        <v>March</v>
      </c>
      <c r="F881">
        <f t="shared" si="52"/>
        <v>2024</v>
      </c>
      <c r="G881">
        <f t="shared" si="53"/>
        <v>0</v>
      </c>
      <c r="H881">
        <f t="shared" si="54"/>
        <v>0</v>
      </c>
      <c r="I881" s="6"/>
      <c r="J881" s="6"/>
      <c r="K881" s="7" t="s">
        <v>44</v>
      </c>
      <c r="L881" s="7" t="s">
        <v>14</v>
      </c>
      <c r="M881" s="7" t="s">
        <v>15</v>
      </c>
      <c r="N881" s="7">
        <f>COUNTIFS(A:A,A881,D:D,D881,E:E,I881)</f>
        <v>0</v>
      </c>
    </row>
    <row r="882" spans="1:14" x14ac:dyDescent="0.3">
      <c r="A882" s="7" t="s">
        <v>119</v>
      </c>
      <c r="B882" s="7" t="s">
        <v>120</v>
      </c>
      <c r="C882" s="7" t="s">
        <v>425</v>
      </c>
      <c r="D882" s="8">
        <v>45346</v>
      </c>
      <c r="E882" s="8" t="str">
        <f t="shared" si="51"/>
        <v>February</v>
      </c>
      <c r="F882">
        <f t="shared" si="52"/>
        <v>2024</v>
      </c>
      <c r="G882">
        <f t="shared" si="53"/>
        <v>1</v>
      </c>
      <c r="H882">
        <f t="shared" si="54"/>
        <v>1</v>
      </c>
      <c r="I882" s="6">
        <v>0.40486111111111112</v>
      </c>
      <c r="J882" s="6">
        <v>0.70416666666666672</v>
      </c>
      <c r="K882" s="7" t="s">
        <v>26</v>
      </c>
      <c r="L882" s="7" t="s">
        <v>14</v>
      </c>
      <c r="M882" s="7" t="s">
        <v>21</v>
      </c>
      <c r="N882" s="7">
        <f>COUNTIFS(A:A,A882,D:D,D882,E:E,I882)</f>
        <v>0</v>
      </c>
    </row>
    <row r="883" spans="1:14" x14ac:dyDescent="0.3">
      <c r="A883" s="7" t="s">
        <v>250</v>
      </c>
      <c r="B883" s="7" t="s">
        <v>251</v>
      </c>
      <c r="C883" s="7" t="s">
        <v>425</v>
      </c>
      <c r="D883" s="8">
        <v>45309</v>
      </c>
      <c r="E883" s="8" t="str">
        <f t="shared" si="51"/>
        <v>January</v>
      </c>
      <c r="F883">
        <f t="shared" si="52"/>
        <v>2024</v>
      </c>
      <c r="G883">
        <f t="shared" si="53"/>
        <v>1</v>
      </c>
      <c r="H883">
        <f t="shared" si="54"/>
        <v>1</v>
      </c>
      <c r="I883" s="6">
        <v>0.41597222222222224</v>
      </c>
      <c r="J883" s="6">
        <v>0.78472222222222221</v>
      </c>
      <c r="K883" s="7" t="s">
        <v>26</v>
      </c>
      <c r="L883" s="7" t="s">
        <v>27</v>
      </c>
      <c r="M883" s="7" t="s">
        <v>21</v>
      </c>
      <c r="N883" s="7">
        <f>COUNTIFS(A:A,A883,D:D,D883,E:E,I883)</f>
        <v>0</v>
      </c>
    </row>
    <row r="884" spans="1:14" x14ac:dyDescent="0.3">
      <c r="A884" s="7" t="s">
        <v>37</v>
      </c>
      <c r="B884" s="7" t="s">
        <v>38</v>
      </c>
      <c r="C884" s="7" t="s">
        <v>42</v>
      </c>
      <c r="D884" s="8">
        <v>45507</v>
      </c>
      <c r="E884" s="8" t="str">
        <f t="shared" si="51"/>
        <v>August</v>
      </c>
      <c r="F884">
        <f t="shared" si="52"/>
        <v>2024</v>
      </c>
      <c r="G884">
        <f t="shared" si="53"/>
        <v>1</v>
      </c>
      <c r="H884">
        <f t="shared" si="54"/>
        <v>0</v>
      </c>
      <c r="I884" s="6">
        <v>0.46805555555555556</v>
      </c>
      <c r="J884" s="6">
        <v>0.78055555555555556</v>
      </c>
      <c r="K884" s="7" t="s">
        <v>13</v>
      </c>
      <c r="L884" s="7" t="s">
        <v>14</v>
      </c>
      <c r="M884" s="7" t="s">
        <v>15</v>
      </c>
      <c r="N884" s="7">
        <f>COUNTIFS(A:A,A884,D:D,D884,E:E,I884)</f>
        <v>0</v>
      </c>
    </row>
    <row r="885" spans="1:14" x14ac:dyDescent="0.3">
      <c r="A885" s="7" t="s">
        <v>48</v>
      </c>
      <c r="B885" s="7" t="s">
        <v>49</v>
      </c>
      <c r="C885" s="7" t="s">
        <v>60</v>
      </c>
      <c r="D885" s="8">
        <v>45328</v>
      </c>
      <c r="E885" s="8" t="str">
        <f t="shared" si="51"/>
        <v>February</v>
      </c>
      <c r="F885">
        <f t="shared" si="52"/>
        <v>2024</v>
      </c>
      <c r="G885">
        <f t="shared" si="53"/>
        <v>0</v>
      </c>
      <c r="H885">
        <f t="shared" si="54"/>
        <v>0</v>
      </c>
      <c r="I885" s="6"/>
      <c r="J885" s="6"/>
      <c r="K885" s="7" t="s">
        <v>44</v>
      </c>
      <c r="L885" s="7" t="s">
        <v>14</v>
      </c>
      <c r="M885" s="7" t="s">
        <v>21</v>
      </c>
      <c r="N885" s="7">
        <f>COUNTIFS(A:A,A885,D:D,D885,E:E,I885)</f>
        <v>0</v>
      </c>
    </row>
    <row r="886" spans="1:14" x14ac:dyDescent="0.3">
      <c r="A886" s="7" t="s">
        <v>45</v>
      </c>
      <c r="B886" s="7" t="s">
        <v>46</v>
      </c>
      <c r="C886" s="7" t="s">
        <v>426</v>
      </c>
      <c r="D886" s="8">
        <v>45628</v>
      </c>
      <c r="E886" s="8" t="str">
        <f t="shared" si="51"/>
        <v>December</v>
      </c>
      <c r="F886">
        <f t="shared" si="52"/>
        <v>2024</v>
      </c>
      <c r="G886">
        <f t="shared" si="53"/>
        <v>1</v>
      </c>
      <c r="H886">
        <f t="shared" si="54"/>
        <v>0</v>
      </c>
      <c r="I886" s="6">
        <v>0.41111111111111109</v>
      </c>
      <c r="J886" s="6">
        <v>0.7583333333333333</v>
      </c>
      <c r="K886" s="7" t="s">
        <v>13</v>
      </c>
      <c r="L886" s="7" t="s">
        <v>14</v>
      </c>
      <c r="M886" s="7" t="s">
        <v>15</v>
      </c>
      <c r="N886" s="7">
        <f>COUNTIFS(A:A,A886,D:D,D886,E:E,I886)</f>
        <v>0</v>
      </c>
    </row>
    <row r="887" spans="1:14" x14ac:dyDescent="0.3">
      <c r="A887" s="7" t="s">
        <v>78</v>
      </c>
      <c r="B887" s="7" t="s">
        <v>79</v>
      </c>
      <c r="C887" s="7" t="s">
        <v>425</v>
      </c>
      <c r="D887" s="8">
        <v>45380</v>
      </c>
      <c r="E887" s="8" t="str">
        <f t="shared" si="51"/>
        <v>March</v>
      </c>
      <c r="F887">
        <f t="shared" si="52"/>
        <v>2024</v>
      </c>
      <c r="G887">
        <f t="shared" si="53"/>
        <v>1</v>
      </c>
      <c r="H887">
        <f t="shared" si="54"/>
        <v>0</v>
      </c>
      <c r="I887" s="6">
        <v>0.41180555555555554</v>
      </c>
      <c r="J887" s="6">
        <v>0.68541666666666667</v>
      </c>
      <c r="K887" s="7" t="s">
        <v>13</v>
      </c>
      <c r="L887" s="7" t="s">
        <v>14</v>
      </c>
      <c r="M887" s="7" t="s">
        <v>15</v>
      </c>
      <c r="N887" s="7">
        <f>COUNTIFS(A:A,A887,D:D,D887,E:E,I887)</f>
        <v>0</v>
      </c>
    </row>
    <row r="888" spans="1:14" x14ac:dyDescent="0.3">
      <c r="A888" s="7" t="s">
        <v>62</v>
      </c>
      <c r="B888" s="7" t="s">
        <v>63</v>
      </c>
      <c r="C888" s="7" t="s">
        <v>64</v>
      </c>
      <c r="D888" s="8">
        <v>45536</v>
      </c>
      <c r="E888" s="8" t="str">
        <f t="shared" si="51"/>
        <v>September</v>
      </c>
      <c r="F888">
        <f t="shared" si="52"/>
        <v>2024</v>
      </c>
      <c r="G888">
        <f t="shared" si="53"/>
        <v>0</v>
      </c>
      <c r="H888">
        <f t="shared" si="54"/>
        <v>0</v>
      </c>
      <c r="I888" s="6"/>
      <c r="J888" s="6"/>
      <c r="K888" s="7" t="s">
        <v>44</v>
      </c>
      <c r="L888" s="7" t="s">
        <v>14</v>
      </c>
      <c r="M888" s="7" t="s">
        <v>21</v>
      </c>
      <c r="N888" s="7">
        <f>COUNTIFS(A:A,A888,D:D,D888,E:E,I888)</f>
        <v>0</v>
      </c>
    </row>
    <row r="889" spans="1:14" x14ac:dyDescent="0.3">
      <c r="A889" s="7" t="s">
        <v>246</v>
      </c>
      <c r="B889" s="7" t="s">
        <v>247</v>
      </c>
      <c r="C889" s="7" t="s">
        <v>64</v>
      </c>
      <c r="D889" s="8">
        <v>45327</v>
      </c>
      <c r="E889" s="8" t="str">
        <f t="shared" si="51"/>
        <v>February</v>
      </c>
      <c r="F889">
        <f t="shared" si="52"/>
        <v>2024</v>
      </c>
      <c r="G889">
        <f t="shared" si="53"/>
        <v>1</v>
      </c>
      <c r="H889">
        <f t="shared" si="54"/>
        <v>0</v>
      </c>
      <c r="I889" s="6">
        <v>0.36944444444444446</v>
      </c>
      <c r="J889" s="6">
        <v>0.7416666666666667</v>
      </c>
      <c r="K889" s="7" t="s">
        <v>13</v>
      </c>
      <c r="L889" s="7" t="s">
        <v>14</v>
      </c>
      <c r="M889" s="7" t="s">
        <v>15</v>
      </c>
      <c r="N889" s="7">
        <f>COUNTIFS(A:A,A889,D:D,D889,E:E,I889)</f>
        <v>0</v>
      </c>
    </row>
    <row r="890" spans="1:14" x14ac:dyDescent="0.3">
      <c r="A890" s="7" t="s">
        <v>78</v>
      </c>
      <c r="B890" s="7" t="s">
        <v>79</v>
      </c>
      <c r="C890" s="7" t="s">
        <v>42</v>
      </c>
      <c r="D890" s="8">
        <v>45358</v>
      </c>
      <c r="E890" s="8" t="str">
        <f t="shared" si="51"/>
        <v>March</v>
      </c>
      <c r="F890">
        <f t="shared" si="52"/>
        <v>2024</v>
      </c>
      <c r="G890">
        <f t="shared" si="53"/>
        <v>1</v>
      </c>
      <c r="H890">
        <f t="shared" si="54"/>
        <v>0</v>
      </c>
      <c r="I890" s="6">
        <v>0.34444444444444444</v>
      </c>
      <c r="J890" s="6">
        <v>0.72430555555555554</v>
      </c>
      <c r="K890" s="7" t="s">
        <v>13</v>
      </c>
      <c r="L890" s="7" t="s">
        <v>14</v>
      </c>
      <c r="M890" s="7" t="s">
        <v>21</v>
      </c>
      <c r="N890" s="7">
        <f>COUNTIFS(A:A,A890,D:D,D890,E:E,I890)</f>
        <v>0</v>
      </c>
    </row>
    <row r="891" spans="1:14" x14ac:dyDescent="0.3">
      <c r="A891" s="7" t="s">
        <v>69</v>
      </c>
      <c r="B891" s="7" t="s">
        <v>70</v>
      </c>
      <c r="C891" s="7" t="s">
        <v>64</v>
      </c>
      <c r="D891" s="8">
        <v>45314</v>
      </c>
      <c r="E891" s="8" t="str">
        <f t="shared" si="51"/>
        <v>January</v>
      </c>
      <c r="F891">
        <f t="shared" si="52"/>
        <v>2024</v>
      </c>
      <c r="G891">
        <f t="shared" si="53"/>
        <v>1</v>
      </c>
      <c r="H891">
        <f t="shared" si="54"/>
        <v>0</v>
      </c>
      <c r="I891" s="6">
        <v>0.39027777777777778</v>
      </c>
      <c r="J891" s="6">
        <v>0.7104166666666667</v>
      </c>
      <c r="K891" s="7" t="s">
        <v>13</v>
      </c>
      <c r="L891" s="7" t="s">
        <v>27</v>
      </c>
      <c r="M891" s="7" t="s">
        <v>21</v>
      </c>
      <c r="N891" s="7">
        <f>COUNTIFS(A:A,A891,D:D,D891,E:E,I891)</f>
        <v>0</v>
      </c>
    </row>
    <row r="892" spans="1:14" x14ac:dyDescent="0.3">
      <c r="A892" s="7" t="s">
        <v>154</v>
      </c>
      <c r="B892" s="7" t="s">
        <v>155</v>
      </c>
      <c r="C892" s="7" t="s">
        <v>425</v>
      </c>
      <c r="D892" s="8">
        <v>45295</v>
      </c>
      <c r="E892" s="8" t="str">
        <f t="shared" si="51"/>
        <v>January</v>
      </c>
      <c r="F892">
        <f t="shared" si="52"/>
        <v>2024</v>
      </c>
      <c r="G892">
        <f t="shared" si="53"/>
        <v>1</v>
      </c>
      <c r="H892">
        <f t="shared" si="54"/>
        <v>0</v>
      </c>
      <c r="I892" s="6">
        <v>0.42152777777777778</v>
      </c>
      <c r="J892" s="6">
        <v>0.82777777777777772</v>
      </c>
      <c r="K892" s="7" t="s">
        <v>13</v>
      </c>
      <c r="L892" s="7" t="s">
        <v>27</v>
      </c>
      <c r="M892" s="7" t="s">
        <v>21</v>
      </c>
      <c r="N892" s="7">
        <f>COUNTIFS(A:A,A892,D:D,D892,E:E,I892)</f>
        <v>0</v>
      </c>
    </row>
    <row r="893" spans="1:14" x14ac:dyDescent="0.3">
      <c r="A893" s="7" t="s">
        <v>224</v>
      </c>
      <c r="B893" s="7" t="s">
        <v>225</v>
      </c>
      <c r="C893" s="7" t="s">
        <v>426</v>
      </c>
      <c r="D893" s="8">
        <v>45567</v>
      </c>
      <c r="E893" s="8" t="str">
        <f t="shared" si="51"/>
        <v>October</v>
      </c>
      <c r="F893">
        <f t="shared" si="52"/>
        <v>2024</v>
      </c>
      <c r="G893">
        <f t="shared" si="53"/>
        <v>1</v>
      </c>
      <c r="H893">
        <f t="shared" si="54"/>
        <v>0</v>
      </c>
      <c r="I893" s="6">
        <v>0.3972222222222222</v>
      </c>
      <c r="J893" s="6">
        <v>0.74652777777777779</v>
      </c>
      <c r="K893" s="7" t="s">
        <v>13</v>
      </c>
      <c r="L893" s="7" t="s">
        <v>27</v>
      </c>
      <c r="M893" s="7" t="s">
        <v>21</v>
      </c>
      <c r="N893" s="7">
        <f>COUNTIFS(A:A,A893,D:D,D893,E:E,I893)</f>
        <v>0</v>
      </c>
    </row>
    <row r="894" spans="1:14" x14ac:dyDescent="0.3">
      <c r="A894" s="7" t="s">
        <v>187</v>
      </c>
      <c r="B894" s="7" t="s">
        <v>188</v>
      </c>
      <c r="C894" s="7" t="s">
        <v>42</v>
      </c>
      <c r="D894" s="8">
        <v>45304</v>
      </c>
      <c r="E894" s="8" t="str">
        <f t="shared" si="51"/>
        <v>January</v>
      </c>
      <c r="F894">
        <f t="shared" si="52"/>
        <v>2024</v>
      </c>
      <c r="G894">
        <f t="shared" si="53"/>
        <v>1</v>
      </c>
      <c r="H894">
        <f t="shared" si="54"/>
        <v>0</v>
      </c>
      <c r="I894" s="6">
        <v>0.3659722222222222</v>
      </c>
      <c r="J894" s="6">
        <v>0.69027777777777777</v>
      </c>
      <c r="K894" s="7" t="s">
        <v>13</v>
      </c>
      <c r="L894" s="7" t="s">
        <v>27</v>
      </c>
      <c r="M894" s="7" t="s">
        <v>15</v>
      </c>
      <c r="N894" s="7">
        <f>COUNTIFS(A:A,A894,D:D,D894,E:E,I894)</f>
        <v>0</v>
      </c>
    </row>
    <row r="895" spans="1:14" x14ac:dyDescent="0.3">
      <c r="A895" s="7" t="s">
        <v>146</v>
      </c>
      <c r="B895" s="7" t="s">
        <v>147</v>
      </c>
      <c r="C895" s="7" t="s">
        <v>425</v>
      </c>
      <c r="D895" s="8">
        <v>45568</v>
      </c>
      <c r="E895" s="8" t="str">
        <f t="shared" si="51"/>
        <v>October</v>
      </c>
      <c r="F895">
        <f t="shared" si="52"/>
        <v>2024</v>
      </c>
      <c r="G895">
        <f t="shared" si="53"/>
        <v>1</v>
      </c>
      <c r="H895">
        <f t="shared" si="54"/>
        <v>0</v>
      </c>
      <c r="I895" s="6">
        <v>0.37638888888888888</v>
      </c>
      <c r="J895" s="6">
        <v>0.68263888888888891</v>
      </c>
      <c r="K895" s="7" t="s">
        <v>20</v>
      </c>
      <c r="L895" s="7" t="s">
        <v>14</v>
      </c>
      <c r="M895" s="7" t="s">
        <v>21</v>
      </c>
      <c r="N895" s="7">
        <f>COUNTIFS(A:A,A895,D:D,D895,E:E,I895)</f>
        <v>0</v>
      </c>
    </row>
    <row r="896" spans="1:14" x14ac:dyDescent="0.3">
      <c r="A896" s="7" t="s">
        <v>72</v>
      </c>
      <c r="B896" s="7" t="s">
        <v>73</v>
      </c>
      <c r="C896" s="7" t="s">
        <v>42</v>
      </c>
      <c r="D896" s="8">
        <v>45414</v>
      </c>
      <c r="E896" s="8" t="str">
        <f t="shared" si="51"/>
        <v>May</v>
      </c>
      <c r="F896">
        <f t="shared" si="52"/>
        <v>2024</v>
      </c>
      <c r="G896">
        <f t="shared" si="53"/>
        <v>1</v>
      </c>
      <c r="H896">
        <f t="shared" si="54"/>
        <v>0</v>
      </c>
      <c r="I896" s="6">
        <v>0.47916666666666669</v>
      </c>
      <c r="J896" s="6">
        <v>0.87013888888888891</v>
      </c>
      <c r="K896" s="7" t="s">
        <v>20</v>
      </c>
      <c r="L896" s="7" t="s">
        <v>27</v>
      </c>
      <c r="M896" s="7" t="s">
        <v>15</v>
      </c>
      <c r="N896" s="7">
        <f>COUNTIFS(A:A,A896,D:D,D896,E:E,I896)</f>
        <v>0</v>
      </c>
    </row>
    <row r="897" spans="1:14" x14ac:dyDescent="0.3">
      <c r="A897" s="7" t="s">
        <v>315</v>
      </c>
      <c r="B897" s="7" t="s">
        <v>316</v>
      </c>
      <c r="C897" s="7" t="s">
        <v>42</v>
      </c>
      <c r="D897" s="8">
        <v>45321</v>
      </c>
      <c r="E897" s="8" t="str">
        <f t="shared" si="51"/>
        <v>January</v>
      </c>
      <c r="F897">
        <f t="shared" si="52"/>
        <v>2024</v>
      </c>
      <c r="G897">
        <f t="shared" si="53"/>
        <v>1</v>
      </c>
      <c r="H897">
        <f t="shared" si="54"/>
        <v>0</v>
      </c>
      <c r="I897" s="6">
        <v>0.37777777777777777</v>
      </c>
      <c r="J897" s="6">
        <v>0.80138888888888893</v>
      </c>
      <c r="K897" s="7" t="s">
        <v>20</v>
      </c>
      <c r="L897" s="7" t="s">
        <v>27</v>
      </c>
      <c r="M897" s="7" t="s">
        <v>21</v>
      </c>
      <c r="N897" s="7">
        <f>COUNTIFS(A:A,A897,D:D,D897,E:E,I897)</f>
        <v>0</v>
      </c>
    </row>
    <row r="898" spans="1:14" x14ac:dyDescent="0.3">
      <c r="A898" s="7" t="s">
        <v>52</v>
      </c>
      <c r="B898" s="7" t="s">
        <v>53</v>
      </c>
      <c r="C898" s="7" t="s">
        <v>60</v>
      </c>
      <c r="D898" s="8">
        <v>45337</v>
      </c>
      <c r="E898" s="8" t="str">
        <f t="shared" ref="E898:E961" si="55">TEXT(D898,"mmmm")</f>
        <v>February</v>
      </c>
      <c r="F898">
        <f t="shared" ref="F898:F961" si="56">YEAR(D898)</f>
        <v>2024</v>
      </c>
      <c r="G898">
        <f t="shared" ref="G898:G961" si="57">IF(LOWER(K898)="absent",0,1)</f>
        <v>1</v>
      </c>
      <c r="H898">
        <f t="shared" ref="H898:H961" si="58">IF(K898="Late",1,0)</f>
        <v>0</v>
      </c>
      <c r="I898" s="6">
        <v>0.36875000000000002</v>
      </c>
      <c r="J898" s="6">
        <v>0.85138888888888886</v>
      </c>
      <c r="K898" s="7" t="s">
        <v>20</v>
      </c>
      <c r="L898" s="7" t="s">
        <v>27</v>
      </c>
      <c r="M898" s="7" t="s">
        <v>15</v>
      </c>
      <c r="N898" s="7">
        <f>COUNTIFS(A:A,A898,D:D,D898,E:E,I898)</f>
        <v>0</v>
      </c>
    </row>
    <row r="899" spans="1:14" x14ac:dyDescent="0.3">
      <c r="A899" s="7" t="s">
        <v>37</v>
      </c>
      <c r="B899" s="7" t="s">
        <v>38</v>
      </c>
      <c r="C899" s="7" t="s">
        <v>64</v>
      </c>
      <c r="D899" s="8">
        <v>45341</v>
      </c>
      <c r="E899" s="8" t="str">
        <f t="shared" si="55"/>
        <v>February</v>
      </c>
      <c r="F899">
        <f t="shared" si="56"/>
        <v>2024</v>
      </c>
      <c r="G899">
        <f t="shared" si="57"/>
        <v>1</v>
      </c>
      <c r="H899">
        <f t="shared" si="58"/>
        <v>0</v>
      </c>
      <c r="I899" s="6">
        <v>0.40694444444444444</v>
      </c>
      <c r="J899" s="6">
        <v>0.76388888888888884</v>
      </c>
      <c r="K899" s="7" t="s">
        <v>13</v>
      </c>
      <c r="L899" s="7" t="s">
        <v>14</v>
      </c>
      <c r="M899" s="7" t="s">
        <v>15</v>
      </c>
      <c r="N899" s="7">
        <f>COUNTIFS(A:A,A899,D:D,D899,E:E,I899)</f>
        <v>0</v>
      </c>
    </row>
    <row r="900" spans="1:14" x14ac:dyDescent="0.3">
      <c r="A900" s="7" t="s">
        <v>96</v>
      </c>
      <c r="B900" s="7" t="s">
        <v>97</v>
      </c>
      <c r="C900" s="7" t="s">
        <v>426</v>
      </c>
      <c r="D900" s="8">
        <v>45328</v>
      </c>
      <c r="E900" s="8" t="str">
        <f t="shared" si="55"/>
        <v>February</v>
      </c>
      <c r="F900">
        <f t="shared" si="56"/>
        <v>2024</v>
      </c>
      <c r="G900">
        <f t="shared" si="57"/>
        <v>0</v>
      </c>
      <c r="H900">
        <f t="shared" si="58"/>
        <v>0</v>
      </c>
      <c r="I900" s="6"/>
      <c r="J900" s="6"/>
      <c r="K900" s="7" t="s">
        <v>44</v>
      </c>
      <c r="L900" s="7" t="s">
        <v>27</v>
      </c>
      <c r="M900" s="7" t="s">
        <v>21</v>
      </c>
      <c r="N900" s="7">
        <f>COUNTIFS(A:A,A900,D:D,D900,E:E,I900)</f>
        <v>0</v>
      </c>
    </row>
    <row r="901" spans="1:14" x14ac:dyDescent="0.3">
      <c r="A901" s="7" t="s">
        <v>154</v>
      </c>
      <c r="B901" s="7" t="s">
        <v>155</v>
      </c>
      <c r="C901" s="7" t="s">
        <v>64</v>
      </c>
      <c r="D901" s="8">
        <v>45376</v>
      </c>
      <c r="E901" s="8" t="str">
        <f t="shared" si="55"/>
        <v>March</v>
      </c>
      <c r="F901">
        <f t="shared" si="56"/>
        <v>2024</v>
      </c>
      <c r="G901">
        <f t="shared" si="57"/>
        <v>1</v>
      </c>
      <c r="H901">
        <f t="shared" si="58"/>
        <v>1</v>
      </c>
      <c r="I901" s="6">
        <v>0.39583333333333331</v>
      </c>
      <c r="J901" s="6">
        <v>0.7270833333333333</v>
      </c>
      <c r="K901" s="7" t="s">
        <v>26</v>
      </c>
      <c r="L901" s="7" t="s">
        <v>14</v>
      </c>
      <c r="M901" s="7" t="s">
        <v>15</v>
      </c>
      <c r="N901" s="7">
        <f>COUNTIFS(A:A,A901,D:D,D901,E:E,I901)</f>
        <v>0</v>
      </c>
    </row>
    <row r="902" spans="1:14" x14ac:dyDescent="0.3">
      <c r="A902" s="7" t="s">
        <v>9</v>
      </c>
      <c r="B902" s="7" t="s">
        <v>10</v>
      </c>
      <c r="C902" s="7" t="s">
        <v>426</v>
      </c>
      <c r="D902" s="8">
        <v>45309</v>
      </c>
      <c r="E902" s="8" t="str">
        <f t="shared" si="55"/>
        <v>January</v>
      </c>
      <c r="F902">
        <f t="shared" si="56"/>
        <v>2024</v>
      </c>
      <c r="G902">
        <f t="shared" si="57"/>
        <v>1</v>
      </c>
      <c r="H902">
        <f t="shared" si="58"/>
        <v>0</v>
      </c>
      <c r="I902" s="6">
        <v>0.44930555555555557</v>
      </c>
      <c r="J902" s="6">
        <v>0.82916666666666672</v>
      </c>
      <c r="K902" s="7" t="s">
        <v>20</v>
      </c>
      <c r="L902" s="7" t="s">
        <v>14</v>
      </c>
      <c r="M902" s="7" t="s">
        <v>15</v>
      </c>
      <c r="N902" s="7">
        <f>COUNTIFS(A:A,A902,D:D,D902,E:E,I902)</f>
        <v>0</v>
      </c>
    </row>
    <row r="903" spans="1:14" x14ac:dyDescent="0.3">
      <c r="A903" s="7" t="s">
        <v>40</v>
      </c>
      <c r="B903" s="7" t="s">
        <v>41</v>
      </c>
      <c r="C903" s="7" t="s">
        <v>426</v>
      </c>
      <c r="D903" s="8">
        <v>45323</v>
      </c>
      <c r="E903" s="8" t="str">
        <f t="shared" si="55"/>
        <v>February</v>
      </c>
      <c r="F903">
        <f t="shared" si="56"/>
        <v>2024</v>
      </c>
      <c r="G903">
        <f t="shared" si="57"/>
        <v>1</v>
      </c>
      <c r="H903">
        <f t="shared" si="58"/>
        <v>0</v>
      </c>
      <c r="I903" s="6">
        <v>0.35972222222222222</v>
      </c>
      <c r="J903" s="6">
        <v>0.74791666666666667</v>
      </c>
      <c r="K903" s="7" t="s">
        <v>13</v>
      </c>
      <c r="L903" s="7" t="s">
        <v>27</v>
      </c>
      <c r="M903" s="7" t="s">
        <v>21</v>
      </c>
      <c r="N903" s="7">
        <f>COUNTIFS(A:A,A903,D:D,D903,E:E,I903)</f>
        <v>0</v>
      </c>
    </row>
    <row r="904" spans="1:14" x14ac:dyDescent="0.3">
      <c r="A904" s="7" t="s">
        <v>90</v>
      </c>
      <c r="B904" s="7" t="s">
        <v>91</v>
      </c>
      <c r="C904" s="7" t="s">
        <v>42</v>
      </c>
      <c r="D904" s="8">
        <v>45316</v>
      </c>
      <c r="E904" s="8" t="str">
        <f t="shared" si="55"/>
        <v>January</v>
      </c>
      <c r="F904">
        <f t="shared" si="56"/>
        <v>2024</v>
      </c>
      <c r="G904">
        <f t="shared" si="57"/>
        <v>1</v>
      </c>
      <c r="H904">
        <f t="shared" si="58"/>
        <v>0</v>
      </c>
      <c r="I904" s="6">
        <v>0.43055555555555558</v>
      </c>
      <c r="J904" s="6">
        <v>0.76249999999999996</v>
      </c>
      <c r="K904" s="7" t="s">
        <v>20</v>
      </c>
      <c r="L904" s="7" t="s">
        <v>14</v>
      </c>
      <c r="M904" s="7" t="s">
        <v>15</v>
      </c>
      <c r="N904" s="7">
        <f>COUNTIFS(A:A,A904,D:D,D904,E:E,I904)</f>
        <v>0</v>
      </c>
    </row>
    <row r="905" spans="1:14" x14ac:dyDescent="0.3">
      <c r="A905" s="7" t="s">
        <v>213</v>
      </c>
      <c r="B905" s="7" t="s">
        <v>214</v>
      </c>
      <c r="C905" s="7" t="s">
        <v>426</v>
      </c>
      <c r="D905" s="8">
        <v>45538</v>
      </c>
      <c r="E905" s="8" t="str">
        <f t="shared" si="55"/>
        <v>September</v>
      </c>
      <c r="F905">
        <f t="shared" si="56"/>
        <v>2024</v>
      </c>
      <c r="G905">
        <f t="shared" si="57"/>
        <v>1</v>
      </c>
      <c r="H905">
        <f t="shared" si="58"/>
        <v>0</v>
      </c>
      <c r="I905" s="6">
        <v>0.36041666666666666</v>
      </c>
      <c r="J905" s="6">
        <v>0.84166666666666667</v>
      </c>
      <c r="K905" s="7" t="s">
        <v>13</v>
      </c>
      <c r="L905" s="7" t="s">
        <v>14</v>
      </c>
      <c r="M905" s="7" t="s">
        <v>21</v>
      </c>
      <c r="N905" s="7">
        <f>COUNTIFS(A:A,A905,D:D,D905,E:E,I905)</f>
        <v>0</v>
      </c>
    </row>
    <row r="906" spans="1:14" x14ac:dyDescent="0.3">
      <c r="A906" s="7" t="s">
        <v>194</v>
      </c>
      <c r="B906" s="7" t="s">
        <v>195</v>
      </c>
      <c r="C906" s="7" t="s">
        <v>425</v>
      </c>
      <c r="D906" s="8">
        <v>45312</v>
      </c>
      <c r="E906" s="8" t="str">
        <f t="shared" si="55"/>
        <v>January</v>
      </c>
      <c r="F906">
        <f t="shared" si="56"/>
        <v>2024</v>
      </c>
      <c r="G906">
        <f t="shared" si="57"/>
        <v>1</v>
      </c>
      <c r="H906">
        <f t="shared" si="58"/>
        <v>1</v>
      </c>
      <c r="I906" s="6">
        <v>0.42291666666666666</v>
      </c>
      <c r="J906" s="6">
        <v>0.70416666666666672</v>
      </c>
      <c r="K906" s="7" t="s">
        <v>26</v>
      </c>
      <c r="L906" s="7" t="s">
        <v>27</v>
      </c>
      <c r="M906" s="7" t="s">
        <v>15</v>
      </c>
      <c r="N906" s="7">
        <f>COUNTIFS(A:A,A906,D:D,D906,E:E,I906)</f>
        <v>0</v>
      </c>
    </row>
    <row r="907" spans="1:14" x14ac:dyDescent="0.3">
      <c r="A907" s="7" t="s">
        <v>75</v>
      </c>
      <c r="B907" s="7" t="s">
        <v>76</v>
      </c>
      <c r="C907" s="7" t="s">
        <v>60</v>
      </c>
      <c r="D907" s="8">
        <v>45361</v>
      </c>
      <c r="E907" s="8" t="str">
        <f t="shared" si="55"/>
        <v>March</v>
      </c>
      <c r="F907">
        <f t="shared" si="56"/>
        <v>2024</v>
      </c>
      <c r="G907">
        <f t="shared" si="57"/>
        <v>1</v>
      </c>
      <c r="H907">
        <f t="shared" si="58"/>
        <v>0</v>
      </c>
      <c r="I907" s="6">
        <v>0.40555555555555556</v>
      </c>
      <c r="J907" s="6">
        <v>0.75902777777777775</v>
      </c>
      <c r="K907" s="7" t="s">
        <v>20</v>
      </c>
      <c r="L907" s="7" t="s">
        <v>27</v>
      </c>
      <c r="M907" s="7" t="s">
        <v>21</v>
      </c>
      <c r="N907" s="7">
        <f>COUNTIFS(A:A,A907,D:D,D907,E:E,I907)</f>
        <v>0</v>
      </c>
    </row>
    <row r="908" spans="1:14" x14ac:dyDescent="0.3">
      <c r="A908" s="7" t="s">
        <v>165</v>
      </c>
      <c r="B908" s="7" t="s">
        <v>166</v>
      </c>
      <c r="C908" s="7" t="s">
        <v>60</v>
      </c>
      <c r="D908" s="8">
        <v>45368</v>
      </c>
      <c r="E908" s="8" t="str">
        <f t="shared" si="55"/>
        <v>March</v>
      </c>
      <c r="F908">
        <f t="shared" si="56"/>
        <v>2024</v>
      </c>
      <c r="G908">
        <f t="shared" si="57"/>
        <v>1</v>
      </c>
      <c r="H908">
        <f t="shared" si="58"/>
        <v>1</v>
      </c>
      <c r="I908" s="6">
        <v>0.4597222222222222</v>
      </c>
      <c r="J908" s="6">
        <v>0.72430555555555554</v>
      </c>
      <c r="K908" s="7" t="s">
        <v>26</v>
      </c>
      <c r="L908" s="7" t="s">
        <v>27</v>
      </c>
      <c r="M908" s="7" t="s">
        <v>15</v>
      </c>
      <c r="N908" s="7">
        <f>COUNTIFS(A:A,A908,D:D,D908,E:E,I908)</f>
        <v>0</v>
      </c>
    </row>
    <row r="909" spans="1:14" x14ac:dyDescent="0.3">
      <c r="A909" s="7" t="s">
        <v>87</v>
      </c>
      <c r="B909" s="7" t="s">
        <v>88</v>
      </c>
      <c r="C909" s="7" t="s">
        <v>426</v>
      </c>
      <c r="D909" s="8">
        <v>45343</v>
      </c>
      <c r="E909" s="8" t="str">
        <f t="shared" si="55"/>
        <v>February</v>
      </c>
      <c r="F909">
        <f t="shared" si="56"/>
        <v>2024</v>
      </c>
      <c r="G909">
        <f t="shared" si="57"/>
        <v>0</v>
      </c>
      <c r="H909">
        <f t="shared" si="58"/>
        <v>0</v>
      </c>
      <c r="I909" s="6"/>
      <c r="J909" s="6"/>
      <c r="K909" s="7" t="s">
        <v>44</v>
      </c>
      <c r="L909" s="7" t="s">
        <v>14</v>
      </c>
      <c r="M909" s="7" t="s">
        <v>15</v>
      </c>
      <c r="N909" s="7">
        <f>COUNTIFS(A:A,A909,D:D,D909,E:E,I909)</f>
        <v>0</v>
      </c>
    </row>
    <row r="910" spans="1:14" x14ac:dyDescent="0.3">
      <c r="A910" s="7" t="s">
        <v>99</v>
      </c>
      <c r="B910" s="7" t="s">
        <v>100</v>
      </c>
      <c r="C910" s="7" t="s">
        <v>425</v>
      </c>
      <c r="D910" s="8">
        <v>45315</v>
      </c>
      <c r="E910" s="8" t="str">
        <f t="shared" si="55"/>
        <v>January</v>
      </c>
      <c r="F910">
        <f t="shared" si="56"/>
        <v>2024</v>
      </c>
      <c r="G910">
        <f t="shared" si="57"/>
        <v>0</v>
      </c>
      <c r="H910">
        <f t="shared" si="58"/>
        <v>0</v>
      </c>
      <c r="I910" s="6"/>
      <c r="J910" s="6"/>
      <c r="K910" s="7" t="s">
        <v>44</v>
      </c>
      <c r="L910" s="7" t="s">
        <v>14</v>
      </c>
      <c r="M910" s="7" t="s">
        <v>21</v>
      </c>
      <c r="N910" s="7">
        <f>COUNTIFS(A:A,A910,D:D,D910,E:E,I910)</f>
        <v>0</v>
      </c>
    </row>
    <row r="911" spans="1:14" x14ac:dyDescent="0.3">
      <c r="A911" s="7" t="s">
        <v>194</v>
      </c>
      <c r="B911" s="7" t="s">
        <v>195</v>
      </c>
      <c r="C911" s="7" t="s">
        <v>42</v>
      </c>
      <c r="D911" s="8">
        <v>45376</v>
      </c>
      <c r="E911" s="8" t="str">
        <f t="shared" si="55"/>
        <v>March</v>
      </c>
      <c r="F911">
        <f t="shared" si="56"/>
        <v>2024</v>
      </c>
      <c r="G911">
        <f t="shared" si="57"/>
        <v>0</v>
      </c>
      <c r="H911">
        <f t="shared" si="58"/>
        <v>0</v>
      </c>
      <c r="I911" s="6"/>
      <c r="J911" s="6"/>
      <c r="K911" s="7" t="s">
        <v>44</v>
      </c>
      <c r="L911" s="7" t="s">
        <v>27</v>
      </c>
      <c r="M911" s="7" t="s">
        <v>21</v>
      </c>
      <c r="N911" s="7">
        <f>COUNTIFS(A:A,A911,D:D,D911,E:E,I911)</f>
        <v>0</v>
      </c>
    </row>
    <row r="912" spans="1:14" x14ac:dyDescent="0.3">
      <c r="A912" s="7" t="s">
        <v>246</v>
      </c>
      <c r="B912" s="7" t="s">
        <v>247</v>
      </c>
      <c r="C912" s="7" t="s">
        <v>64</v>
      </c>
      <c r="D912" s="8">
        <v>45349</v>
      </c>
      <c r="E912" s="8" t="str">
        <f t="shared" si="55"/>
        <v>February</v>
      </c>
      <c r="F912">
        <f t="shared" si="56"/>
        <v>2024</v>
      </c>
      <c r="G912">
        <f t="shared" si="57"/>
        <v>0</v>
      </c>
      <c r="H912">
        <f t="shared" si="58"/>
        <v>0</v>
      </c>
      <c r="I912" s="6"/>
      <c r="J912" s="6"/>
      <c r="K912" s="7" t="s">
        <v>44</v>
      </c>
      <c r="L912" s="7" t="s">
        <v>14</v>
      </c>
      <c r="M912" s="7" t="s">
        <v>15</v>
      </c>
      <c r="N912" s="7">
        <f>COUNTIFS(A:A,A912,D:D,D912,E:E,I912)</f>
        <v>0</v>
      </c>
    </row>
    <row r="913" spans="1:14" x14ac:dyDescent="0.3">
      <c r="A913" s="7" t="s">
        <v>78</v>
      </c>
      <c r="B913" s="7" t="s">
        <v>79</v>
      </c>
      <c r="C913" s="7" t="s">
        <v>60</v>
      </c>
      <c r="D913" s="8">
        <v>45323</v>
      </c>
      <c r="E913" s="8" t="str">
        <f t="shared" si="55"/>
        <v>February</v>
      </c>
      <c r="F913">
        <f t="shared" si="56"/>
        <v>2024</v>
      </c>
      <c r="G913">
        <f t="shared" si="57"/>
        <v>1</v>
      </c>
      <c r="H913">
        <f t="shared" si="58"/>
        <v>0</v>
      </c>
      <c r="I913" s="6">
        <v>0.40416666666666667</v>
      </c>
      <c r="J913" s="6">
        <v>0.70902777777777781</v>
      </c>
      <c r="K913" s="7" t="s">
        <v>20</v>
      </c>
      <c r="L913" s="7" t="s">
        <v>14</v>
      </c>
      <c r="M913" s="7" t="s">
        <v>15</v>
      </c>
      <c r="N913" s="7">
        <f>COUNTIFS(A:A,A913,D:D,D913,E:E,I913)</f>
        <v>0</v>
      </c>
    </row>
    <row r="914" spans="1:14" x14ac:dyDescent="0.3">
      <c r="A914" s="7" t="s">
        <v>165</v>
      </c>
      <c r="B914" s="7" t="s">
        <v>166</v>
      </c>
      <c r="C914" s="7" t="s">
        <v>64</v>
      </c>
      <c r="D914" s="8">
        <v>45316</v>
      </c>
      <c r="E914" s="8" t="str">
        <f t="shared" si="55"/>
        <v>January</v>
      </c>
      <c r="F914">
        <f t="shared" si="56"/>
        <v>2024</v>
      </c>
      <c r="G914">
        <f t="shared" si="57"/>
        <v>1</v>
      </c>
      <c r="H914">
        <f t="shared" si="58"/>
        <v>0</v>
      </c>
      <c r="I914" s="6">
        <v>0.43888888888888888</v>
      </c>
      <c r="J914" s="6">
        <v>0.85069444444444442</v>
      </c>
      <c r="K914" s="7" t="s">
        <v>13</v>
      </c>
      <c r="L914" s="7" t="s">
        <v>27</v>
      </c>
      <c r="M914" s="7" t="s">
        <v>15</v>
      </c>
      <c r="N914" s="7">
        <f>COUNTIFS(A:A,A914,D:D,D914,E:E,I914)</f>
        <v>0</v>
      </c>
    </row>
    <row r="915" spans="1:14" x14ac:dyDescent="0.3">
      <c r="A915" s="7" t="s">
        <v>9</v>
      </c>
      <c r="B915" s="7" t="s">
        <v>10</v>
      </c>
      <c r="C915" s="7" t="s">
        <v>425</v>
      </c>
      <c r="D915" s="8">
        <v>45474</v>
      </c>
      <c r="E915" s="8" t="str">
        <f t="shared" si="55"/>
        <v>July</v>
      </c>
      <c r="F915">
        <f t="shared" si="56"/>
        <v>2024</v>
      </c>
      <c r="G915">
        <f t="shared" si="57"/>
        <v>0</v>
      </c>
      <c r="H915">
        <f t="shared" si="58"/>
        <v>0</v>
      </c>
      <c r="I915" s="6"/>
      <c r="J915" s="6"/>
      <c r="K915" s="7" t="s">
        <v>44</v>
      </c>
      <c r="L915" s="7" t="s">
        <v>14</v>
      </c>
      <c r="M915" s="7" t="s">
        <v>21</v>
      </c>
      <c r="N915" s="7">
        <f>COUNTIFS(A:A,A915,D:D,D915,E:E,I915)</f>
        <v>0</v>
      </c>
    </row>
    <row r="916" spans="1:14" x14ac:dyDescent="0.3">
      <c r="A916" s="7" t="s">
        <v>154</v>
      </c>
      <c r="B916" s="7" t="s">
        <v>155</v>
      </c>
      <c r="C916" s="7" t="s">
        <v>60</v>
      </c>
      <c r="D916" s="8">
        <v>45323</v>
      </c>
      <c r="E916" s="8" t="str">
        <f t="shared" si="55"/>
        <v>February</v>
      </c>
      <c r="F916">
        <f t="shared" si="56"/>
        <v>2024</v>
      </c>
      <c r="G916">
        <f t="shared" si="57"/>
        <v>1</v>
      </c>
      <c r="H916">
        <f t="shared" si="58"/>
        <v>0</v>
      </c>
      <c r="I916" s="6">
        <v>0.36875000000000002</v>
      </c>
      <c r="J916" s="6">
        <v>0.71736111111111112</v>
      </c>
      <c r="K916" s="7" t="s">
        <v>13</v>
      </c>
      <c r="L916" s="7" t="s">
        <v>27</v>
      </c>
      <c r="M916" s="7" t="s">
        <v>21</v>
      </c>
      <c r="N916" s="7">
        <f>COUNTIFS(A:A,A916,D:D,D916,E:E,I916)</f>
        <v>0</v>
      </c>
    </row>
    <row r="917" spans="1:14" x14ac:dyDescent="0.3">
      <c r="A917" s="7" t="s">
        <v>130</v>
      </c>
      <c r="B917" s="7" t="s">
        <v>131</v>
      </c>
      <c r="C917" s="7" t="s">
        <v>426</v>
      </c>
      <c r="D917" s="8">
        <v>45414</v>
      </c>
      <c r="E917" s="8" t="str">
        <f t="shared" si="55"/>
        <v>May</v>
      </c>
      <c r="F917">
        <f t="shared" si="56"/>
        <v>2024</v>
      </c>
      <c r="G917">
        <f t="shared" si="57"/>
        <v>0</v>
      </c>
      <c r="H917">
        <f t="shared" si="58"/>
        <v>0</v>
      </c>
      <c r="I917" s="6"/>
      <c r="J917" s="6"/>
      <c r="K917" s="7" t="s">
        <v>44</v>
      </c>
      <c r="L917" s="7" t="s">
        <v>27</v>
      </c>
      <c r="M917" s="7" t="s">
        <v>15</v>
      </c>
      <c r="N917" s="7">
        <f>COUNTIFS(A:A,A917,D:D,D917,E:E,I917)</f>
        <v>0</v>
      </c>
    </row>
    <row r="918" spans="1:14" x14ac:dyDescent="0.3">
      <c r="A918" s="7" t="s">
        <v>16</v>
      </c>
      <c r="B918" s="7" t="s">
        <v>17</v>
      </c>
      <c r="C918" s="7" t="s">
        <v>42</v>
      </c>
      <c r="D918" s="8">
        <v>45297</v>
      </c>
      <c r="E918" s="8" t="str">
        <f t="shared" si="55"/>
        <v>January</v>
      </c>
      <c r="F918">
        <f t="shared" si="56"/>
        <v>2024</v>
      </c>
      <c r="G918">
        <f t="shared" si="57"/>
        <v>1</v>
      </c>
      <c r="H918">
        <f t="shared" si="58"/>
        <v>0</v>
      </c>
      <c r="I918" s="6">
        <v>0.37708333333333333</v>
      </c>
      <c r="J918" s="6">
        <v>0.76875000000000004</v>
      </c>
      <c r="K918" s="7" t="s">
        <v>20</v>
      </c>
      <c r="L918" s="7" t="s">
        <v>14</v>
      </c>
      <c r="M918" s="7" t="s">
        <v>21</v>
      </c>
      <c r="N918" s="7">
        <f>COUNTIFS(A:A,A918,D:D,D918,E:E,I918)</f>
        <v>0</v>
      </c>
    </row>
    <row r="919" spans="1:14" x14ac:dyDescent="0.3">
      <c r="A919" s="7" t="s">
        <v>34</v>
      </c>
      <c r="B919" s="7" t="s">
        <v>35</v>
      </c>
      <c r="C919" s="7" t="s">
        <v>60</v>
      </c>
      <c r="D919" s="8">
        <v>45369</v>
      </c>
      <c r="E919" s="8" t="str">
        <f t="shared" si="55"/>
        <v>March</v>
      </c>
      <c r="F919">
        <f t="shared" si="56"/>
        <v>2024</v>
      </c>
      <c r="G919">
        <f t="shared" si="57"/>
        <v>0</v>
      </c>
      <c r="H919">
        <f t="shared" si="58"/>
        <v>0</v>
      </c>
      <c r="I919" s="6"/>
      <c r="J919" s="6"/>
      <c r="K919" s="7" t="s">
        <v>44</v>
      </c>
      <c r="L919" s="7" t="s">
        <v>14</v>
      </c>
      <c r="M919" s="7" t="s">
        <v>21</v>
      </c>
      <c r="N919" s="7">
        <f>COUNTIFS(A:A,A919,D:D,D919,E:E,I919)</f>
        <v>0</v>
      </c>
    </row>
    <row r="920" spans="1:14" x14ac:dyDescent="0.3">
      <c r="A920" s="7" t="s">
        <v>72</v>
      </c>
      <c r="B920" s="7" t="s">
        <v>73</v>
      </c>
      <c r="C920" s="7" t="s">
        <v>425</v>
      </c>
      <c r="D920" s="8">
        <v>45374</v>
      </c>
      <c r="E920" s="8" t="str">
        <f t="shared" si="55"/>
        <v>March</v>
      </c>
      <c r="F920">
        <f t="shared" si="56"/>
        <v>2024</v>
      </c>
      <c r="G920">
        <f t="shared" si="57"/>
        <v>1</v>
      </c>
      <c r="H920">
        <f t="shared" si="58"/>
        <v>0</v>
      </c>
      <c r="I920" s="6">
        <v>0.46388888888888891</v>
      </c>
      <c r="J920" s="6">
        <v>0.7416666666666667</v>
      </c>
      <c r="K920" s="7" t="s">
        <v>13</v>
      </c>
      <c r="L920" s="7" t="s">
        <v>27</v>
      </c>
      <c r="M920" s="7" t="s">
        <v>21</v>
      </c>
      <c r="N920" s="7">
        <f>COUNTIFS(A:A,A920,D:D,D920,E:E,I920)</f>
        <v>0</v>
      </c>
    </row>
    <row r="921" spans="1:14" x14ac:dyDescent="0.3">
      <c r="A921" s="7" t="s">
        <v>72</v>
      </c>
      <c r="B921" s="7" t="s">
        <v>73</v>
      </c>
      <c r="C921" s="7" t="s">
        <v>42</v>
      </c>
      <c r="D921" s="8">
        <v>45316</v>
      </c>
      <c r="E921" s="8" t="str">
        <f t="shared" si="55"/>
        <v>January</v>
      </c>
      <c r="F921">
        <f t="shared" si="56"/>
        <v>2024</v>
      </c>
      <c r="G921">
        <f t="shared" si="57"/>
        <v>1</v>
      </c>
      <c r="H921">
        <f t="shared" si="58"/>
        <v>0</v>
      </c>
      <c r="I921" s="6">
        <v>0.35694444444444445</v>
      </c>
      <c r="J921" s="6">
        <v>0.84027777777777779</v>
      </c>
      <c r="K921" s="7" t="s">
        <v>13</v>
      </c>
      <c r="L921" s="7" t="s">
        <v>27</v>
      </c>
      <c r="M921" s="7" t="s">
        <v>15</v>
      </c>
      <c r="N921" s="7">
        <f>COUNTIFS(A:A,A921,D:D,D921,E:E,I921)</f>
        <v>0</v>
      </c>
    </row>
    <row r="922" spans="1:14" x14ac:dyDescent="0.3">
      <c r="A922" s="7" t="s">
        <v>45</v>
      </c>
      <c r="B922" s="7" t="s">
        <v>46</v>
      </c>
      <c r="C922" s="7" t="s">
        <v>426</v>
      </c>
      <c r="D922" s="8">
        <v>45599</v>
      </c>
      <c r="E922" s="8" t="str">
        <f t="shared" si="55"/>
        <v>November</v>
      </c>
      <c r="F922">
        <f t="shared" si="56"/>
        <v>2024</v>
      </c>
      <c r="G922">
        <f t="shared" si="57"/>
        <v>1</v>
      </c>
      <c r="H922">
        <f t="shared" si="58"/>
        <v>0</v>
      </c>
      <c r="I922" s="6">
        <v>0.44930555555555557</v>
      </c>
      <c r="J922" s="6">
        <v>0.84027777777777779</v>
      </c>
      <c r="K922" s="7" t="s">
        <v>20</v>
      </c>
      <c r="L922" s="7" t="s">
        <v>27</v>
      </c>
      <c r="M922" s="7" t="s">
        <v>15</v>
      </c>
      <c r="N922" s="7">
        <f>COUNTIFS(A:A,A922,D:D,D922,E:E,I922)</f>
        <v>0</v>
      </c>
    </row>
    <row r="923" spans="1:14" x14ac:dyDescent="0.3">
      <c r="A923" s="7" t="s">
        <v>81</v>
      </c>
      <c r="B923" s="7" t="s">
        <v>82</v>
      </c>
      <c r="C923" s="7" t="s">
        <v>426</v>
      </c>
      <c r="D923" s="8">
        <v>45345</v>
      </c>
      <c r="E923" s="8" t="str">
        <f t="shared" si="55"/>
        <v>February</v>
      </c>
      <c r="F923">
        <f t="shared" si="56"/>
        <v>2024</v>
      </c>
      <c r="G923">
        <f t="shared" si="57"/>
        <v>0</v>
      </c>
      <c r="H923">
        <f t="shared" si="58"/>
        <v>0</v>
      </c>
      <c r="I923" s="6"/>
      <c r="J923" s="6"/>
      <c r="K923" s="7" t="s">
        <v>44</v>
      </c>
      <c r="L923" s="7" t="s">
        <v>14</v>
      </c>
      <c r="M923" s="7" t="s">
        <v>21</v>
      </c>
      <c r="N923" s="7">
        <f>COUNTIFS(A:A,A923,D:D,D923,E:E,I923)</f>
        <v>0</v>
      </c>
    </row>
    <row r="924" spans="1:14" x14ac:dyDescent="0.3">
      <c r="A924" s="7" t="s">
        <v>204</v>
      </c>
      <c r="B924" s="7" t="s">
        <v>205</v>
      </c>
      <c r="C924" s="7" t="s">
        <v>42</v>
      </c>
      <c r="D924" s="8">
        <v>45312</v>
      </c>
      <c r="E924" s="8" t="str">
        <f t="shared" si="55"/>
        <v>January</v>
      </c>
      <c r="F924">
        <f t="shared" si="56"/>
        <v>2024</v>
      </c>
      <c r="G924">
        <f t="shared" si="57"/>
        <v>1</v>
      </c>
      <c r="H924">
        <f t="shared" si="58"/>
        <v>0</v>
      </c>
      <c r="I924" s="6">
        <v>0.38263888888888886</v>
      </c>
      <c r="J924" s="6">
        <v>0.75</v>
      </c>
      <c r="K924" s="7" t="s">
        <v>20</v>
      </c>
      <c r="L924" s="7" t="s">
        <v>27</v>
      </c>
      <c r="M924" s="7" t="s">
        <v>21</v>
      </c>
      <c r="N924" s="7">
        <f>COUNTIFS(A:A,A924,D:D,D924,E:E,I924)</f>
        <v>0</v>
      </c>
    </row>
    <row r="925" spans="1:14" x14ac:dyDescent="0.3">
      <c r="A925" s="7" t="s">
        <v>122</v>
      </c>
      <c r="B925" s="7" t="s">
        <v>123</v>
      </c>
      <c r="C925" s="7" t="s">
        <v>64</v>
      </c>
      <c r="D925" s="8">
        <v>45371</v>
      </c>
      <c r="E925" s="8" t="str">
        <f t="shared" si="55"/>
        <v>March</v>
      </c>
      <c r="F925">
        <f t="shared" si="56"/>
        <v>2024</v>
      </c>
      <c r="G925">
        <f t="shared" si="57"/>
        <v>1</v>
      </c>
      <c r="H925">
        <f t="shared" si="58"/>
        <v>1</v>
      </c>
      <c r="I925" s="6">
        <v>0.33750000000000002</v>
      </c>
      <c r="J925" s="6">
        <v>0.77361111111111114</v>
      </c>
      <c r="K925" s="7" t="s">
        <v>26</v>
      </c>
      <c r="L925" s="7" t="s">
        <v>27</v>
      </c>
      <c r="M925" s="7" t="s">
        <v>21</v>
      </c>
      <c r="N925" s="7">
        <f>COUNTIFS(A:A,A925,D:D,D925,E:E,I925)</f>
        <v>0</v>
      </c>
    </row>
    <row r="926" spans="1:14" x14ac:dyDescent="0.3">
      <c r="A926" s="7" t="s">
        <v>204</v>
      </c>
      <c r="B926" s="7" t="s">
        <v>205</v>
      </c>
      <c r="C926" s="7" t="s">
        <v>426</v>
      </c>
      <c r="D926" s="8">
        <v>45339</v>
      </c>
      <c r="E926" s="8" t="str">
        <f t="shared" si="55"/>
        <v>February</v>
      </c>
      <c r="F926">
        <f t="shared" si="56"/>
        <v>2024</v>
      </c>
      <c r="G926">
        <f t="shared" si="57"/>
        <v>0</v>
      </c>
      <c r="H926">
        <f t="shared" si="58"/>
        <v>0</v>
      </c>
      <c r="I926" s="6"/>
      <c r="J926" s="6"/>
      <c r="K926" s="7" t="s">
        <v>44</v>
      </c>
      <c r="L926" s="7" t="s">
        <v>27</v>
      </c>
      <c r="M926" s="7" t="s">
        <v>21</v>
      </c>
      <c r="N926" s="7">
        <f>COUNTIFS(A:A,A926,D:D,D926,E:E,I926)</f>
        <v>0</v>
      </c>
    </row>
    <row r="927" spans="1:14" x14ac:dyDescent="0.3">
      <c r="A927" s="7" t="s">
        <v>90</v>
      </c>
      <c r="B927" s="7" t="s">
        <v>91</v>
      </c>
      <c r="C927" s="7" t="s">
        <v>425</v>
      </c>
      <c r="D927" s="8">
        <v>45370</v>
      </c>
      <c r="E927" s="8" t="str">
        <f t="shared" si="55"/>
        <v>March</v>
      </c>
      <c r="F927">
        <f t="shared" si="56"/>
        <v>2024</v>
      </c>
      <c r="G927">
        <f t="shared" si="57"/>
        <v>1</v>
      </c>
      <c r="H927">
        <f t="shared" si="58"/>
        <v>1</v>
      </c>
      <c r="I927" s="6">
        <v>0.43680555555555556</v>
      </c>
      <c r="J927" s="6">
        <v>0.8520833333333333</v>
      </c>
      <c r="K927" s="7" t="s">
        <v>26</v>
      </c>
      <c r="L927" s="7" t="s">
        <v>27</v>
      </c>
      <c r="M927" s="7" t="s">
        <v>15</v>
      </c>
      <c r="N927" s="7">
        <f>COUNTIFS(A:A,A927,D:D,D927,E:E,I927)</f>
        <v>0</v>
      </c>
    </row>
    <row r="928" spans="1:14" x14ac:dyDescent="0.3">
      <c r="A928" s="7" t="s">
        <v>78</v>
      </c>
      <c r="B928" s="7" t="s">
        <v>79</v>
      </c>
      <c r="C928" s="7" t="s">
        <v>64</v>
      </c>
      <c r="D928" s="8">
        <v>45340</v>
      </c>
      <c r="E928" s="8" t="str">
        <f t="shared" si="55"/>
        <v>February</v>
      </c>
      <c r="F928">
        <f t="shared" si="56"/>
        <v>2024</v>
      </c>
      <c r="G928">
        <f t="shared" si="57"/>
        <v>0</v>
      </c>
      <c r="H928">
        <f t="shared" si="58"/>
        <v>0</v>
      </c>
      <c r="I928" s="6"/>
      <c r="J928" s="6"/>
      <c r="K928" s="7" t="s">
        <v>44</v>
      </c>
      <c r="L928" s="7" t="s">
        <v>27</v>
      </c>
      <c r="M928" s="7" t="s">
        <v>15</v>
      </c>
      <c r="N928" s="7">
        <f>COUNTIFS(A:A,A928,D:D,D928,E:E,I928)</f>
        <v>0</v>
      </c>
    </row>
    <row r="929" spans="1:14" x14ac:dyDescent="0.3">
      <c r="A929" s="7" t="s">
        <v>72</v>
      </c>
      <c r="B929" s="7" t="s">
        <v>73</v>
      </c>
      <c r="C929" s="7" t="s">
        <v>60</v>
      </c>
      <c r="D929" s="8">
        <v>45322</v>
      </c>
      <c r="E929" s="8" t="str">
        <f t="shared" si="55"/>
        <v>January</v>
      </c>
      <c r="F929">
        <f t="shared" si="56"/>
        <v>2024</v>
      </c>
      <c r="G929">
        <f t="shared" si="57"/>
        <v>1</v>
      </c>
      <c r="H929">
        <f t="shared" si="58"/>
        <v>0</v>
      </c>
      <c r="I929" s="6">
        <v>0.41041666666666665</v>
      </c>
      <c r="J929" s="6">
        <v>0.76388888888888884</v>
      </c>
      <c r="K929" s="7" t="s">
        <v>20</v>
      </c>
      <c r="L929" s="7" t="s">
        <v>14</v>
      </c>
      <c r="M929" s="7" t="s">
        <v>21</v>
      </c>
      <c r="N929" s="7">
        <f>COUNTIFS(A:A,A929,D:D,D929,E:E,I929)</f>
        <v>0</v>
      </c>
    </row>
    <row r="930" spans="1:14" x14ac:dyDescent="0.3">
      <c r="A930" s="7" t="s">
        <v>45</v>
      </c>
      <c r="B930" s="7" t="s">
        <v>46</v>
      </c>
      <c r="C930" s="7" t="s">
        <v>60</v>
      </c>
      <c r="D930" s="8">
        <v>45335</v>
      </c>
      <c r="E930" s="8" t="str">
        <f t="shared" si="55"/>
        <v>February</v>
      </c>
      <c r="F930">
        <f t="shared" si="56"/>
        <v>2024</v>
      </c>
      <c r="G930">
        <f t="shared" si="57"/>
        <v>1</v>
      </c>
      <c r="H930">
        <f t="shared" si="58"/>
        <v>1</v>
      </c>
      <c r="I930" s="6">
        <v>0.49861111111111112</v>
      </c>
      <c r="J930" s="6">
        <v>0.74513888888888891</v>
      </c>
      <c r="K930" s="7" t="s">
        <v>26</v>
      </c>
      <c r="L930" s="7" t="s">
        <v>27</v>
      </c>
      <c r="M930" s="7" t="s">
        <v>21</v>
      </c>
      <c r="N930" s="7">
        <f>COUNTIFS(A:A,A930,D:D,D930,E:E,I930)</f>
        <v>0</v>
      </c>
    </row>
    <row r="931" spans="1:14" x14ac:dyDescent="0.3">
      <c r="A931" s="7" t="s">
        <v>130</v>
      </c>
      <c r="B931" s="7" t="s">
        <v>131</v>
      </c>
      <c r="C931" s="7" t="s">
        <v>64</v>
      </c>
      <c r="D931" s="8">
        <v>45375</v>
      </c>
      <c r="E931" s="8" t="str">
        <f t="shared" si="55"/>
        <v>March</v>
      </c>
      <c r="F931">
        <f t="shared" si="56"/>
        <v>2024</v>
      </c>
      <c r="G931">
        <f t="shared" si="57"/>
        <v>1</v>
      </c>
      <c r="H931">
        <f t="shared" si="58"/>
        <v>0</v>
      </c>
      <c r="I931" s="6">
        <v>0.47847222222222224</v>
      </c>
      <c r="J931" s="6">
        <v>0.74791666666666667</v>
      </c>
      <c r="K931" s="7" t="s">
        <v>13</v>
      </c>
      <c r="L931" s="7" t="s">
        <v>14</v>
      </c>
      <c r="M931" s="7" t="s">
        <v>21</v>
      </c>
      <c r="N931" s="7">
        <f>COUNTIFS(A:A,A931,D:D,D931,E:E,I931)</f>
        <v>0</v>
      </c>
    </row>
    <row r="932" spans="1:14" x14ac:dyDescent="0.3">
      <c r="A932" s="7" t="s">
        <v>194</v>
      </c>
      <c r="B932" s="7" t="s">
        <v>195</v>
      </c>
      <c r="C932" s="7" t="s">
        <v>64</v>
      </c>
      <c r="D932" s="8">
        <v>45319</v>
      </c>
      <c r="E932" s="8" t="str">
        <f t="shared" si="55"/>
        <v>January</v>
      </c>
      <c r="F932">
        <f t="shared" si="56"/>
        <v>2024</v>
      </c>
      <c r="G932">
        <f t="shared" si="57"/>
        <v>1</v>
      </c>
      <c r="H932">
        <f t="shared" si="58"/>
        <v>0</v>
      </c>
      <c r="I932" s="6">
        <v>0.44444444444444442</v>
      </c>
      <c r="J932" s="6">
        <v>0.78611111111111109</v>
      </c>
      <c r="K932" s="7" t="s">
        <v>20</v>
      </c>
      <c r="L932" s="7" t="s">
        <v>27</v>
      </c>
      <c r="M932" s="7" t="s">
        <v>21</v>
      </c>
      <c r="N932" s="7">
        <f>COUNTIFS(A:A,A932,D:D,D932,E:E,I932)</f>
        <v>0</v>
      </c>
    </row>
    <row r="933" spans="1:14" x14ac:dyDescent="0.3">
      <c r="A933" s="7" t="s">
        <v>102</v>
      </c>
      <c r="B933" s="7" t="s">
        <v>103</v>
      </c>
      <c r="C933" s="7" t="s">
        <v>426</v>
      </c>
      <c r="D933" s="8">
        <v>45372</v>
      </c>
      <c r="E933" s="8" t="str">
        <f t="shared" si="55"/>
        <v>March</v>
      </c>
      <c r="F933">
        <f t="shared" si="56"/>
        <v>2024</v>
      </c>
      <c r="G933">
        <f t="shared" si="57"/>
        <v>0</v>
      </c>
      <c r="H933">
        <f t="shared" si="58"/>
        <v>0</v>
      </c>
      <c r="I933" s="6"/>
      <c r="J933" s="6"/>
      <c r="K933" s="7" t="s">
        <v>44</v>
      </c>
      <c r="L933" s="7" t="s">
        <v>27</v>
      </c>
      <c r="M933" s="7" t="s">
        <v>15</v>
      </c>
      <c r="N933" s="7">
        <f>COUNTIFS(A:A,A933,D:D,D933,E:E,I933)</f>
        <v>0</v>
      </c>
    </row>
    <row r="934" spans="1:14" x14ac:dyDescent="0.3">
      <c r="A934" s="7" t="s">
        <v>315</v>
      </c>
      <c r="B934" s="7" t="s">
        <v>316</v>
      </c>
      <c r="C934" s="7" t="s">
        <v>42</v>
      </c>
      <c r="D934" s="8">
        <v>45374</v>
      </c>
      <c r="E934" s="8" t="str">
        <f t="shared" si="55"/>
        <v>March</v>
      </c>
      <c r="F934">
        <f t="shared" si="56"/>
        <v>2024</v>
      </c>
      <c r="G934">
        <f t="shared" si="57"/>
        <v>0</v>
      </c>
      <c r="H934">
        <f t="shared" si="58"/>
        <v>0</v>
      </c>
      <c r="I934" s="6"/>
      <c r="J934" s="6"/>
      <c r="K934" s="7" t="s">
        <v>44</v>
      </c>
      <c r="L934" s="7" t="s">
        <v>14</v>
      </c>
      <c r="M934" s="7" t="s">
        <v>21</v>
      </c>
      <c r="N934" s="7">
        <f>COUNTIFS(A:A,A934,D:D,D934,E:E,I934)</f>
        <v>0</v>
      </c>
    </row>
    <row r="935" spans="1:14" x14ac:dyDescent="0.3">
      <c r="A935" s="7" t="s">
        <v>250</v>
      </c>
      <c r="B935" s="7" t="s">
        <v>251</v>
      </c>
      <c r="C935" s="7" t="s">
        <v>64</v>
      </c>
      <c r="D935" s="8">
        <v>45317</v>
      </c>
      <c r="E935" s="8" t="str">
        <f t="shared" si="55"/>
        <v>January</v>
      </c>
      <c r="F935">
        <f t="shared" si="56"/>
        <v>2024</v>
      </c>
      <c r="G935">
        <f t="shared" si="57"/>
        <v>1</v>
      </c>
      <c r="H935">
        <f t="shared" si="58"/>
        <v>0</v>
      </c>
      <c r="I935" s="6">
        <v>0.34097222222222223</v>
      </c>
      <c r="J935" s="6">
        <v>0.72291666666666665</v>
      </c>
      <c r="K935" s="7" t="s">
        <v>13</v>
      </c>
      <c r="L935" s="7" t="s">
        <v>14</v>
      </c>
      <c r="M935" s="7" t="s">
        <v>15</v>
      </c>
      <c r="N935" s="7">
        <f>COUNTIFS(A:A,A935,D:D,D935,E:E,I935)</f>
        <v>0</v>
      </c>
    </row>
    <row r="936" spans="1:14" x14ac:dyDescent="0.3">
      <c r="A936" s="7" t="s">
        <v>141</v>
      </c>
      <c r="B936" s="7" t="s">
        <v>142</v>
      </c>
      <c r="C936" s="7" t="s">
        <v>426</v>
      </c>
      <c r="D936" s="8">
        <v>45379</v>
      </c>
      <c r="E936" s="8" t="str">
        <f t="shared" si="55"/>
        <v>March</v>
      </c>
      <c r="F936">
        <f t="shared" si="56"/>
        <v>2024</v>
      </c>
      <c r="G936">
        <f t="shared" si="57"/>
        <v>1</v>
      </c>
      <c r="H936">
        <f t="shared" si="58"/>
        <v>1</v>
      </c>
      <c r="I936" s="6">
        <v>0.35138888888888886</v>
      </c>
      <c r="J936" s="6">
        <v>0.67013888888888884</v>
      </c>
      <c r="K936" s="7" t="s">
        <v>26</v>
      </c>
      <c r="L936" s="7" t="s">
        <v>14</v>
      </c>
      <c r="M936" s="7" t="s">
        <v>15</v>
      </c>
      <c r="N936" s="7">
        <f>COUNTIFS(A:A,A936,D:D,D936,E:E,I936)</f>
        <v>0</v>
      </c>
    </row>
    <row r="937" spans="1:14" x14ac:dyDescent="0.3">
      <c r="A937" s="7" t="s">
        <v>69</v>
      </c>
      <c r="B937" s="7" t="s">
        <v>70</v>
      </c>
      <c r="C937" s="7" t="s">
        <v>60</v>
      </c>
      <c r="D937" s="8">
        <v>45350</v>
      </c>
      <c r="E937" s="8" t="str">
        <f t="shared" si="55"/>
        <v>February</v>
      </c>
      <c r="F937">
        <f t="shared" si="56"/>
        <v>2024</v>
      </c>
      <c r="G937">
        <f t="shared" si="57"/>
        <v>1</v>
      </c>
      <c r="H937">
        <f t="shared" si="58"/>
        <v>0</v>
      </c>
      <c r="I937" s="6">
        <v>0.45763888888888887</v>
      </c>
      <c r="J937" s="6">
        <v>0.74097222222222225</v>
      </c>
      <c r="K937" s="7" t="s">
        <v>13</v>
      </c>
      <c r="L937" s="7" t="s">
        <v>27</v>
      </c>
      <c r="M937" s="7" t="s">
        <v>15</v>
      </c>
      <c r="N937" s="7">
        <f>COUNTIFS(A:A,A937,D:D,D937,E:E,I937)</f>
        <v>0</v>
      </c>
    </row>
    <row r="938" spans="1:14" x14ac:dyDescent="0.3">
      <c r="A938" s="7" t="s">
        <v>119</v>
      </c>
      <c r="B938" s="7" t="s">
        <v>120</v>
      </c>
      <c r="C938" s="7" t="s">
        <v>64</v>
      </c>
      <c r="D938" s="8">
        <v>45323</v>
      </c>
      <c r="E938" s="8" t="str">
        <f t="shared" si="55"/>
        <v>February</v>
      </c>
      <c r="F938">
        <f t="shared" si="56"/>
        <v>2024</v>
      </c>
      <c r="G938">
        <f t="shared" si="57"/>
        <v>1</v>
      </c>
      <c r="H938">
        <f t="shared" si="58"/>
        <v>0</v>
      </c>
      <c r="I938" s="6">
        <v>0.49027777777777776</v>
      </c>
      <c r="J938" s="6">
        <v>0.77500000000000002</v>
      </c>
      <c r="K938" s="7" t="s">
        <v>13</v>
      </c>
      <c r="L938" s="7" t="s">
        <v>14</v>
      </c>
      <c r="M938" s="7" t="s">
        <v>15</v>
      </c>
      <c r="N938" s="7">
        <f>COUNTIFS(A:A,A938,D:D,D938,E:E,I938)</f>
        <v>0</v>
      </c>
    </row>
    <row r="939" spans="1:14" x14ac:dyDescent="0.3">
      <c r="A939" s="7" t="s">
        <v>150</v>
      </c>
      <c r="B939" s="7" t="s">
        <v>151</v>
      </c>
      <c r="C939" s="7" t="s">
        <v>425</v>
      </c>
      <c r="D939" s="8">
        <v>45328</v>
      </c>
      <c r="E939" s="8" t="str">
        <f t="shared" si="55"/>
        <v>February</v>
      </c>
      <c r="F939">
        <f t="shared" si="56"/>
        <v>2024</v>
      </c>
      <c r="G939">
        <f t="shared" si="57"/>
        <v>1</v>
      </c>
      <c r="H939">
        <f t="shared" si="58"/>
        <v>1</v>
      </c>
      <c r="I939" s="6">
        <v>0.43333333333333335</v>
      </c>
      <c r="J939" s="6">
        <v>0.6791666666666667</v>
      </c>
      <c r="K939" s="7" t="s">
        <v>26</v>
      </c>
      <c r="L939" s="7" t="s">
        <v>27</v>
      </c>
      <c r="M939" s="7" t="s">
        <v>21</v>
      </c>
      <c r="N939" s="7">
        <f>COUNTIFS(A:A,A939,D:D,D939,E:E,I939)</f>
        <v>0</v>
      </c>
    </row>
    <row r="940" spans="1:14" x14ac:dyDescent="0.3">
      <c r="A940" s="7" t="s">
        <v>338</v>
      </c>
      <c r="B940" s="7" t="s">
        <v>339</v>
      </c>
      <c r="C940" s="7" t="s">
        <v>42</v>
      </c>
      <c r="D940" s="8">
        <v>45304</v>
      </c>
      <c r="E940" s="8" t="str">
        <f t="shared" si="55"/>
        <v>January</v>
      </c>
      <c r="F940">
        <f t="shared" si="56"/>
        <v>2024</v>
      </c>
      <c r="G940">
        <f t="shared" si="57"/>
        <v>1</v>
      </c>
      <c r="H940">
        <f t="shared" si="58"/>
        <v>0</v>
      </c>
      <c r="I940" s="6">
        <v>0.35902777777777778</v>
      </c>
      <c r="J940" s="6">
        <v>0.7</v>
      </c>
      <c r="K940" s="7" t="s">
        <v>13</v>
      </c>
      <c r="L940" s="7" t="s">
        <v>14</v>
      </c>
      <c r="M940" s="7" t="s">
        <v>15</v>
      </c>
      <c r="N940" s="7">
        <f>COUNTIFS(A:A,A940,D:D,D940,E:E,I940)</f>
        <v>0</v>
      </c>
    </row>
    <row r="941" spans="1:14" x14ac:dyDescent="0.3">
      <c r="A941" s="7" t="s">
        <v>119</v>
      </c>
      <c r="B941" s="7" t="s">
        <v>120</v>
      </c>
      <c r="C941" s="7" t="s">
        <v>60</v>
      </c>
      <c r="D941" s="8">
        <v>45368</v>
      </c>
      <c r="E941" s="8" t="str">
        <f t="shared" si="55"/>
        <v>March</v>
      </c>
      <c r="F941">
        <f t="shared" si="56"/>
        <v>2024</v>
      </c>
      <c r="G941">
        <f t="shared" si="57"/>
        <v>1</v>
      </c>
      <c r="H941">
        <f t="shared" si="58"/>
        <v>1</v>
      </c>
      <c r="I941" s="6">
        <v>0.47430555555555554</v>
      </c>
      <c r="J941" s="6">
        <v>0.69791666666666663</v>
      </c>
      <c r="K941" s="7" t="s">
        <v>26</v>
      </c>
      <c r="L941" s="7" t="s">
        <v>27</v>
      </c>
      <c r="M941" s="7" t="s">
        <v>21</v>
      </c>
      <c r="N941" s="7">
        <f>COUNTIFS(A:A,A941,D:D,D941,E:E,I941)</f>
        <v>0</v>
      </c>
    </row>
    <row r="942" spans="1:14" x14ac:dyDescent="0.3">
      <c r="A942" s="7" t="s">
        <v>175</v>
      </c>
      <c r="B942" s="7" t="s">
        <v>176</v>
      </c>
      <c r="C942" s="7" t="s">
        <v>425</v>
      </c>
      <c r="D942" s="8">
        <v>45292</v>
      </c>
      <c r="E942" s="8" t="str">
        <f t="shared" si="55"/>
        <v>January</v>
      </c>
      <c r="F942">
        <f t="shared" si="56"/>
        <v>2024</v>
      </c>
      <c r="G942">
        <f t="shared" si="57"/>
        <v>1</v>
      </c>
      <c r="H942">
        <f t="shared" si="58"/>
        <v>0</v>
      </c>
      <c r="I942" s="6">
        <v>0.48055555555555557</v>
      </c>
      <c r="J942" s="6">
        <v>0.86041666666666672</v>
      </c>
      <c r="K942" s="7" t="s">
        <v>20</v>
      </c>
      <c r="L942" s="7" t="s">
        <v>27</v>
      </c>
      <c r="M942" s="7" t="s">
        <v>15</v>
      </c>
      <c r="N942" s="7">
        <f>COUNTIFS(A:A,A942,D:D,D942,E:E,I942)</f>
        <v>0</v>
      </c>
    </row>
    <row r="943" spans="1:14" x14ac:dyDescent="0.3">
      <c r="A943" s="7" t="s">
        <v>109</v>
      </c>
      <c r="B943" s="7" t="s">
        <v>110</v>
      </c>
      <c r="C943" s="7" t="s">
        <v>60</v>
      </c>
      <c r="D943" s="8">
        <v>45536</v>
      </c>
      <c r="E943" s="8" t="str">
        <f t="shared" si="55"/>
        <v>September</v>
      </c>
      <c r="F943">
        <f t="shared" si="56"/>
        <v>2024</v>
      </c>
      <c r="G943">
        <f t="shared" si="57"/>
        <v>0</v>
      </c>
      <c r="H943">
        <f t="shared" si="58"/>
        <v>0</v>
      </c>
      <c r="I943" s="6"/>
      <c r="J943" s="6"/>
      <c r="K943" s="7" t="s">
        <v>44</v>
      </c>
      <c r="L943" s="7" t="s">
        <v>27</v>
      </c>
      <c r="M943" s="7" t="s">
        <v>15</v>
      </c>
      <c r="N943" s="7">
        <f>COUNTIFS(A:A,A943,D:D,D943,E:E,I943)</f>
        <v>0</v>
      </c>
    </row>
    <row r="944" spans="1:14" x14ac:dyDescent="0.3">
      <c r="A944" s="7" t="s">
        <v>55</v>
      </c>
      <c r="B944" s="7" t="s">
        <v>56</v>
      </c>
      <c r="C944" s="7" t="s">
        <v>64</v>
      </c>
      <c r="D944" s="8">
        <v>45294</v>
      </c>
      <c r="E944" s="8" t="str">
        <f t="shared" si="55"/>
        <v>January</v>
      </c>
      <c r="F944">
        <f t="shared" si="56"/>
        <v>2024</v>
      </c>
      <c r="G944">
        <f t="shared" si="57"/>
        <v>1</v>
      </c>
      <c r="H944">
        <f t="shared" si="58"/>
        <v>0</v>
      </c>
      <c r="I944" s="6">
        <v>0.42291666666666666</v>
      </c>
      <c r="J944" s="6">
        <v>0.78541666666666665</v>
      </c>
      <c r="K944" s="7" t="s">
        <v>13</v>
      </c>
      <c r="L944" s="7" t="s">
        <v>27</v>
      </c>
      <c r="M944" s="7" t="s">
        <v>21</v>
      </c>
      <c r="N944" s="7">
        <f>COUNTIFS(A:A,A944,D:D,D944,E:E,I944)</f>
        <v>0</v>
      </c>
    </row>
    <row r="945" spans="1:14" x14ac:dyDescent="0.3">
      <c r="A945" s="7" t="s">
        <v>338</v>
      </c>
      <c r="B945" s="7" t="s">
        <v>339</v>
      </c>
      <c r="C945" s="7" t="s">
        <v>60</v>
      </c>
      <c r="D945" s="8">
        <v>45383</v>
      </c>
      <c r="E945" s="8" t="str">
        <f t="shared" si="55"/>
        <v>April</v>
      </c>
      <c r="F945">
        <f t="shared" si="56"/>
        <v>2024</v>
      </c>
      <c r="G945">
        <f t="shared" si="57"/>
        <v>1</v>
      </c>
      <c r="H945">
        <f t="shared" si="58"/>
        <v>0</v>
      </c>
      <c r="I945" s="6">
        <v>0.4236111111111111</v>
      </c>
      <c r="J945" s="6">
        <v>0.81180555555555556</v>
      </c>
      <c r="K945" s="7" t="s">
        <v>20</v>
      </c>
      <c r="L945" s="7" t="s">
        <v>27</v>
      </c>
      <c r="M945" s="7" t="s">
        <v>15</v>
      </c>
      <c r="N945" s="7">
        <f>COUNTIFS(A:A,A945,D:D,D945,E:E,I945)</f>
        <v>0</v>
      </c>
    </row>
    <row r="946" spans="1:14" x14ac:dyDescent="0.3">
      <c r="A946" s="7" t="s">
        <v>34</v>
      </c>
      <c r="B946" s="7" t="s">
        <v>35</v>
      </c>
      <c r="C946" s="7" t="s">
        <v>426</v>
      </c>
      <c r="D946" s="8">
        <v>45376</v>
      </c>
      <c r="E946" s="8" t="str">
        <f t="shared" si="55"/>
        <v>March</v>
      </c>
      <c r="F946">
        <f t="shared" si="56"/>
        <v>2024</v>
      </c>
      <c r="G946">
        <f t="shared" si="57"/>
        <v>1</v>
      </c>
      <c r="H946">
        <f t="shared" si="58"/>
        <v>1</v>
      </c>
      <c r="I946" s="6">
        <v>0.36041666666666666</v>
      </c>
      <c r="J946" s="6">
        <v>0.73472222222222228</v>
      </c>
      <c r="K946" s="7" t="s">
        <v>26</v>
      </c>
      <c r="L946" s="7" t="s">
        <v>14</v>
      </c>
      <c r="M946" s="7" t="s">
        <v>15</v>
      </c>
      <c r="N946" s="7">
        <f>COUNTIFS(A:A,A946,D:D,D946,E:E,I946)</f>
        <v>0</v>
      </c>
    </row>
    <row r="947" spans="1:14" x14ac:dyDescent="0.3">
      <c r="A947" s="7" t="s">
        <v>52</v>
      </c>
      <c r="B947" s="7" t="s">
        <v>53</v>
      </c>
      <c r="C947" s="7" t="s">
        <v>42</v>
      </c>
      <c r="D947" s="8">
        <v>45309</v>
      </c>
      <c r="E947" s="8" t="str">
        <f t="shared" si="55"/>
        <v>January</v>
      </c>
      <c r="F947">
        <f t="shared" si="56"/>
        <v>2024</v>
      </c>
      <c r="G947">
        <f t="shared" si="57"/>
        <v>1</v>
      </c>
      <c r="H947">
        <f t="shared" si="58"/>
        <v>1</v>
      </c>
      <c r="I947" s="6">
        <v>0.48888888888888887</v>
      </c>
      <c r="J947" s="6">
        <v>0.77777777777777779</v>
      </c>
      <c r="K947" s="7" t="s">
        <v>26</v>
      </c>
      <c r="L947" s="7" t="s">
        <v>27</v>
      </c>
      <c r="M947" s="7" t="s">
        <v>15</v>
      </c>
      <c r="N947" s="7">
        <f>COUNTIFS(A:A,A947,D:D,D947,E:E,I947)</f>
        <v>0</v>
      </c>
    </row>
    <row r="948" spans="1:14" x14ac:dyDescent="0.3">
      <c r="A948" s="7" t="s">
        <v>78</v>
      </c>
      <c r="B948" s="7" t="s">
        <v>79</v>
      </c>
      <c r="C948" s="7" t="s">
        <v>64</v>
      </c>
      <c r="D948" s="8">
        <v>45353</v>
      </c>
      <c r="E948" s="8" t="str">
        <f t="shared" si="55"/>
        <v>March</v>
      </c>
      <c r="F948">
        <f t="shared" si="56"/>
        <v>2024</v>
      </c>
      <c r="G948">
        <f t="shared" si="57"/>
        <v>1</v>
      </c>
      <c r="H948">
        <f t="shared" si="58"/>
        <v>1</v>
      </c>
      <c r="I948" s="6">
        <v>0.47708333333333336</v>
      </c>
      <c r="J948" s="6">
        <v>0.82638888888888884</v>
      </c>
      <c r="K948" s="7" t="s">
        <v>26</v>
      </c>
      <c r="L948" s="7" t="s">
        <v>14</v>
      </c>
      <c r="M948" s="7" t="s">
        <v>21</v>
      </c>
      <c r="N948" s="7">
        <f>COUNTIFS(A:A,A948,D:D,D948,E:E,I948)</f>
        <v>0</v>
      </c>
    </row>
    <row r="949" spans="1:14" x14ac:dyDescent="0.3">
      <c r="A949" s="7" t="s">
        <v>171</v>
      </c>
      <c r="B949" s="7" t="s">
        <v>172</v>
      </c>
      <c r="C949" s="7" t="s">
        <v>426</v>
      </c>
      <c r="D949" s="8">
        <v>45381</v>
      </c>
      <c r="E949" s="8" t="str">
        <f t="shared" si="55"/>
        <v>March</v>
      </c>
      <c r="F949">
        <f t="shared" si="56"/>
        <v>2024</v>
      </c>
      <c r="G949">
        <f t="shared" si="57"/>
        <v>1</v>
      </c>
      <c r="H949">
        <f t="shared" si="58"/>
        <v>0</v>
      </c>
      <c r="I949" s="6">
        <v>0.38750000000000001</v>
      </c>
      <c r="J949" s="6">
        <v>0.72569444444444442</v>
      </c>
      <c r="K949" s="7" t="s">
        <v>13</v>
      </c>
      <c r="L949" s="7" t="s">
        <v>27</v>
      </c>
      <c r="M949" s="7" t="s">
        <v>21</v>
      </c>
      <c r="N949" s="7">
        <f>COUNTIFS(A:A,A949,D:D,D949,E:E,I949)</f>
        <v>0</v>
      </c>
    </row>
    <row r="950" spans="1:14" x14ac:dyDescent="0.3">
      <c r="A950" s="7" t="s">
        <v>109</v>
      </c>
      <c r="B950" s="7" t="s">
        <v>110</v>
      </c>
      <c r="C950" s="7" t="s">
        <v>426</v>
      </c>
      <c r="D950" s="8">
        <v>45295</v>
      </c>
      <c r="E950" s="8" t="str">
        <f t="shared" si="55"/>
        <v>January</v>
      </c>
      <c r="F950">
        <f t="shared" si="56"/>
        <v>2024</v>
      </c>
      <c r="G950">
        <f t="shared" si="57"/>
        <v>0</v>
      </c>
      <c r="H950">
        <f t="shared" si="58"/>
        <v>0</v>
      </c>
      <c r="I950" s="6"/>
      <c r="J950" s="6"/>
      <c r="K950" s="7" t="s">
        <v>44</v>
      </c>
      <c r="L950" s="7" t="s">
        <v>14</v>
      </c>
      <c r="M950" s="7" t="s">
        <v>15</v>
      </c>
      <c r="N950" s="7">
        <f>COUNTIFS(A:A,A950,D:D,D950,E:E,I950)</f>
        <v>0</v>
      </c>
    </row>
    <row r="951" spans="1:14" x14ac:dyDescent="0.3">
      <c r="A951" s="7" t="s">
        <v>165</v>
      </c>
      <c r="B951" s="7" t="s">
        <v>166</v>
      </c>
      <c r="C951" s="7" t="s">
        <v>64</v>
      </c>
      <c r="D951" s="8">
        <v>45319</v>
      </c>
      <c r="E951" s="8" t="str">
        <f t="shared" si="55"/>
        <v>January</v>
      </c>
      <c r="F951">
        <f t="shared" si="56"/>
        <v>2024</v>
      </c>
      <c r="G951">
        <f t="shared" si="57"/>
        <v>1</v>
      </c>
      <c r="H951">
        <f t="shared" si="58"/>
        <v>1</v>
      </c>
      <c r="I951" s="6">
        <v>0.48333333333333334</v>
      </c>
      <c r="J951" s="6">
        <v>0.77569444444444446</v>
      </c>
      <c r="K951" s="7" t="s">
        <v>26</v>
      </c>
      <c r="L951" s="7" t="s">
        <v>14</v>
      </c>
      <c r="M951" s="7" t="s">
        <v>21</v>
      </c>
      <c r="N951" s="7">
        <f>COUNTIFS(A:A,A951,D:D,D951,E:E,I951)</f>
        <v>0</v>
      </c>
    </row>
    <row r="952" spans="1:14" x14ac:dyDescent="0.3">
      <c r="A952" s="7" t="s">
        <v>37</v>
      </c>
      <c r="B952" s="7" t="s">
        <v>38</v>
      </c>
      <c r="C952" s="7" t="s">
        <v>60</v>
      </c>
      <c r="D952" s="8">
        <v>45308</v>
      </c>
      <c r="E952" s="8" t="str">
        <f t="shared" si="55"/>
        <v>January</v>
      </c>
      <c r="F952">
        <f t="shared" si="56"/>
        <v>2024</v>
      </c>
      <c r="G952">
        <f t="shared" si="57"/>
        <v>1</v>
      </c>
      <c r="H952">
        <f t="shared" si="58"/>
        <v>0</v>
      </c>
      <c r="I952" s="6">
        <v>0.41736111111111113</v>
      </c>
      <c r="J952" s="6">
        <v>0.8208333333333333</v>
      </c>
      <c r="K952" s="7" t="s">
        <v>20</v>
      </c>
      <c r="L952" s="7" t="s">
        <v>27</v>
      </c>
      <c r="M952" s="7" t="s">
        <v>21</v>
      </c>
      <c r="N952" s="7">
        <f>COUNTIFS(A:A,A952,D:D,D952,E:E,I952)</f>
        <v>0</v>
      </c>
    </row>
    <row r="953" spans="1:14" x14ac:dyDescent="0.3">
      <c r="A953" s="7" t="s">
        <v>338</v>
      </c>
      <c r="B953" s="7" t="s">
        <v>339</v>
      </c>
      <c r="C953" s="7" t="s">
        <v>64</v>
      </c>
      <c r="D953" s="8">
        <v>45341</v>
      </c>
      <c r="E953" s="8" t="str">
        <f t="shared" si="55"/>
        <v>February</v>
      </c>
      <c r="F953">
        <f t="shared" si="56"/>
        <v>2024</v>
      </c>
      <c r="G953">
        <f t="shared" si="57"/>
        <v>1</v>
      </c>
      <c r="H953">
        <f t="shared" si="58"/>
        <v>0</v>
      </c>
      <c r="I953" s="6">
        <v>0.34861111111111109</v>
      </c>
      <c r="J953" s="6">
        <v>0.70694444444444449</v>
      </c>
      <c r="K953" s="7" t="s">
        <v>13</v>
      </c>
      <c r="L953" s="7" t="s">
        <v>14</v>
      </c>
      <c r="M953" s="7" t="s">
        <v>21</v>
      </c>
      <c r="N953" s="7">
        <f>COUNTIFS(A:A,A953,D:D,D953,E:E,I953)</f>
        <v>0</v>
      </c>
    </row>
    <row r="954" spans="1:14" x14ac:dyDescent="0.3">
      <c r="A954" s="7" t="s">
        <v>146</v>
      </c>
      <c r="B954" s="7" t="s">
        <v>147</v>
      </c>
      <c r="C954" s="7" t="s">
        <v>64</v>
      </c>
      <c r="D954" s="8">
        <v>45338</v>
      </c>
      <c r="E954" s="8" t="str">
        <f t="shared" si="55"/>
        <v>February</v>
      </c>
      <c r="F954">
        <f t="shared" si="56"/>
        <v>2024</v>
      </c>
      <c r="G954">
        <f t="shared" si="57"/>
        <v>1</v>
      </c>
      <c r="H954">
        <f t="shared" si="58"/>
        <v>0</v>
      </c>
      <c r="I954" s="6">
        <v>0.46597222222222223</v>
      </c>
      <c r="J954" s="6">
        <v>0.69513888888888886</v>
      </c>
      <c r="K954" s="7" t="s">
        <v>13</v>
      </c>
      <c r="L954" s="7" t="s">
        <v>27</v>
      </c>
      <c r="M954" s="7" t="s">
        <v>15</v>
      </c>
      <c r="N954" s="7">
        <f>COUNTIFS(A:A,A954,D:D,D954,E:E,I954)</f>
        <v>0</v>
      </c>
    </row>
    <row r="955" spans="1:14" x14ac:dyDescent="0.3">
      <c r="A955" s="7" t="s">
        <v>87</v>
      </c>
      <c r="B955" s="7" t="s">
        <v>88</v>
      </c>
      <c r="C955" s="7" t="s">
        <v>42</v>
      </c>
      <c r="D955" s="8">
        <v>45374</v>
      </c>
      <c r="E955" s="8" t="str">
        <f t="shared" si="55"/>
        <v>March</v>
      </c>
      <c r="F955">
        <f t="shared" si="56"/>
        <v>2024</v>
      </c>
      <c r="G955">
        <f t="shared" si="57"/>
        <v>0</v>
      </c>
      <c r="H955">
        <f t="shared" si="58"/>
        <v>0</v>
      </c>
      <c r="I955" s="6"/>
      <c r="J955" s="6"/>
      <c r="K955" s="7" t="s">
        <v>44</v>
      </c>
      <c r="L955" s="7" t="s">
        <v>14</v>
      </c>
      <c r="M955" s="7" t="s">
        <v>15</v>
      </c>
      <c r="N955" s="7">
        <f>COUNTIFS(A:A,A955,D:D,D955,E:E,I955)</f>
        <v>0</v>
      </c>
    </row>
    <row r="956" spans="1:14" x14ac:dyDescent="0.3">
      <c r="A956" s="7" t="s">
        <v>236</v>
      </c>
      <c r="B956" s="7" t="s">
        <v>237</v>
      </c>
      <c r="C956" s="7" t="s">
        <v>60</v>
      </c>
      <c r="D956" s="8">
        <v>45355</v>
      </c>
      <c r="E956" s="8" t="str">
        <f t="shared" si="55"/>
        <v>March</v>
      </c>
      <c r="F956">
        <f t="shared" si="56"/>
        <v>2024</v>
      </c>
      <c r="G956">
        <f t="shared" si="57"/>
        <v>0</v>
      </c>
      <c r="H956">
        <f t="shared" si="58"/>
        <v>0</v>
      </c>
      <c r="I956" s="6"/>
      <c r="J956" s="6"/>
      <c r="K956" s="7" t="s">
        <v>44</v>
      </c>
      <c r="L956" s="7" t="s">
        <v>14</v>
      </c>
      <c r="M956" s="7" t="s">
        <v>15</v>
      </c>
      <c r="N956" s="7">
        <f>COUNTIFS(A:A,A956,D:D,D956,E:E,I956)</f>
        <v>0</v>
      </c>
    </row>
    <row r="957" spans="1:14" x14ac:dyDescent="0.3">
      <c r="A957" s="7" t="s">
        <v>119</v>
      </c>
      <c r="B957" s="7" t="s">
        <v>120</v>
      </c>
      <c r="C957" s="7" t="s">
        <v>425</v>
      </c>
      <c r="D957" s="8">
        <v>45356</v>
      </c>
      <c r="E957" s="8" t="str">
        <f t="shared" si="55"/>
        <v>March</v>
      </c>
      <c r="F957">
        <f t="shared" si="56"/>
        <v>2024</v>
      </c>
      <c r="G957">
        <f t="shared" si="57"/>
        <v>0</v>
      </c>
      <c r="H957">
        <f t="shared" si="58"/>
        <v>0</v>
      </c>
      <c r="I957" s="6"/>
      <c r="J957" s="6"/>
      <c r="K957" s="7" t="s">
        <v>44</v>
      </c>
      <c r="L957" s="7" t="s">
        <v>27</v>
      </c>
      <c r="M957" s="7" t="s">
        <v>21</v>
      </c>
      <c r="N957" s="7">
        <f>COUNTIFS(A:A,A957,D:D,D957,E:E,I957)</f>
        <v>0</v>
      </c>
    </row>
    <row r="958" spans="1:14" x14ac:dyDescent="0.3">
      <c r="A958" s="7" t="s">
        <v>250</v>
      </c>
      <c r="B958" s="7" t="s">
        <v>251</v>
      </c>
      <c r="C958" s="7" t="s">
        <v>425</v>
      </c>
      <c r="D958" s="8">
        <v>45347</v>
      </c>
      <c r="E958" s="8" t="str">
        <f t="shared" si="55"/>
        <v>February</v>
      </c>
      <c r="F958">
        <f t="shared" si="56"/>
        <v>2024</v>
      </c>
      <c r="G958">
        <f t="shared" si="57"/>
        <v>1</v>
      </c>
      <c r="H958">
        <f t="shared" si="58"/>
        <v>0</v>
      </c>
      <c r="I958" s="6">
        <v>0.43125000000000002</v>
      </c>
      <c r="J958" s="6">
        <v>0.83263888888888893</v>
      </c>
      <c r="K958" s="7" t="s">
        <v>20</v>
      </c>
      <c r="L958" s="7" t="s">
        <v>14</v>
      </c>
      <c r="M958" s="7" t="s">
        <v>15</v>
      </c>
      <c r="N958" s="7">
        <f>COUNTIFS(A:A,A958,D:D,D958,E:E,I958)</f>
        <v>0</v>
      </c>
    </row>
    <row r="959" spans="1:14" x14ac:dyDescent="0.3">
      <c r="A959" s="7" t="s">
        <v>28</v>
      </c>
      <c r="B959" s="7" t="s">
        <v>29</v>
      </c>
      <c r="C959" s="7" t="s">
        <v>425</v>
      </c>
      <c r="D959" s="8">
        <v>45305</v>
      </c>
      <c r="E959" s="8" t="str">
        <f t="shared" si="55"/>
        <v>January</v>
      </c>
      <c r="F959">
        <f t="shared" si="56"/>
        <v>2024</v>
      </c>
      <c r="G959">
        <f t="shared" si="57"/>
        <v>1</v>
      </c>
      <c r="H959">
        <f t="shared" si="58"/>
        <v>1</v>
      </c>
      <c r="I959" s="6">
        <v>0.44166666666666665</v>
      </c>
      <c r="J959" s="6">
        <v>0.78749999999999998</v>
      </c>
      <c r="K959" s="7" t="s">
        <v>26</v>
      </c>
      <c r="L959" s="7" t="s">
        <v>14</v>
      </c>
      <c r="M959" s="7" t="s">
        <v>15</v>
      </c>
      <c r="N959" s="7">
        <f>COUNTIFS(A:A,A959,D:D,D959,E:E,I959)</f>
        <v>0</v>
      </c>
    </row>
    <row r="960" spans="1:14" x14ac:dyDescent="0.3">
      <c r="A960" s="7" t="s">
        <v>154</v>
      </c>
      <c r="B960" s="7" t="s">
        <v>155</v>
      </c>
      <c r="C960" s="7" t="s">
        <v>60</v>
      </c>
      <c r="D960" s="8">
        <v>45304</v>
      </c>
      <c r="E960" s="8" t="str">
        <f t="shared" si="55"/>
        <v>January</v>
      </c>
      <c r="F960">
        <f t="shared" si="56"/>
        <v>2024</v>
      </c>
      <c r="G960">
        <f t="shared" si="57"/>
        <v>1</v>
      </c>
      <c r="H960">
        <f t="shared" si="58"/>
        <v>0</v>
      </c>
      <c r="I960" s="6">
        <v>0.39861111111111114</v>
      </c>
      <c r="J960" s="6">
        <v>0.76944444444444449</v>
      </c>
      <c r="K960" s="7" t="s">
        <v>13</v>
      </c>
      <c r="L960" s="7" t="s">
        <v>27</v>
      </c>
      <c r="M960" s="7" t="s">
        <v>21</v>
      </c>
      <c r="N960" s="7">
        <f>COUNTIFS(A:A,A960,D:D,D960,E:E,I960)</f>
        <v>0</v>
      </c>
    </row>
    <row r="961" spans="1:14" x14ac:dyDescent="0.3">
      <c r="A961" s="7" t="s">
        <v>45</v>
      </c>
      <c r="B961" s="7" t="s">
        <v>46</v>
      </c>
      <c r="C961" s="7" t="s">
        <v>64</v>
      </c>
      <c r="D961" s="8">
        <v>45351</v>
      </c>
      <c r="E961" s="8" t="str">
        <f t="shared" si="55"/>
        <v>February</v>
      </c>
      <c r="F961">
        <f t="shared" si="56"/>
        <v>2024</v>
      </c>
      <c r="G961">
        <f t="shared" si="57"/>
        <v>1</v>
      </c>
      <c r="H961">
        <f t="shared" si="58"/>
        <v>0</v>
      </c>
      <c r="I961" s="6">
        <v>0.46944444444444444</v>
      </c>
      <c r="J961" s="6">
        <v>0.83125000000000004</v>
      </c>
      <c r="K961" s="7" t="s">
        <v>20</v>
      </c>
      <c r="L961" s="7" t="s">
        <v>14</v>
      </c>
      <c r="M961" s="7" t="s">
        <v>15</v>
      </c>
      <c r="N961" s="7">
        <f>COUNTIFS(A:A,A961,D:D,D961,E:E,I961)</f>
        <v>0</v>
      </c>
    </row>
    <row r="962" spans="1:14" x14ac:dyDescent="0.3">
      <c r="A962" s="7" t="s">
        <v>187</v>
      </c>
      <c r="B962" s="7" t="s">
        <v>188</v>
      </c>
      <c r="C962" s="7" t="s">
        <v>426</v>
      </c>
      <c r="D962" s="8">
        <v>45365</v>
      </c>
      <c r="E962" s="8" t="str">
        <f t="shared" ref="E962:E1025" si="59">TEXT(D962,"mmmm")</f>
        <v>March</v>
      </c>
      <c r="F962">
        <f t="shared" ref="F962:F1025" si="60">YEAR(D962)</f>
        <v>2024</v>
      </c>
      <c r="G962">
        <f t="shared" ref="G962:G1025" si="61">IF(LOWER(K962)="absent",0,1)</f>
        <v>1</v>
      </c>
      <c r="H962">
        <f t="shared" ref="H962:H1025" si="62">IF(K962="Late",1,0)</f>
        <v>0</v>
      </c>
      <c r="I962" s="6">
        <v>0.40555555555555556</v>
      </c>
      <c r="J962" s="6">
        <v>0.83472222222222225</v>
      </c>
      <c r="K962" s="7" t="s">
        <v>20</v>
      </c>
      <c r="L962" s="7" t="s">
        <v>14</v>
      </c>
      <c r="M962" s="7" t="s">
        <v>15</v>
      </c>
      <c r="N962" s="7">
        <f>COUNTIFS(A:A,A962,D:D,D962,E:E,I962)</f>
        <v>0</v>
      </c>
    </row>
    <row r="963" spans="1:14" x14ac:dyDescent="0.3">
      <c r="A963" s="7" t="s">
        <v>112</v>
      </c>
      <c r="B963" s="7" t="s">
        <v>113</v>
      </c>
      <c r="C963" s="7" t="s">
        <v>426</v>
      </c>
      <c r="D963" s="8">
        <v>45628</v>
      </c>
      <c r="E963" s="8" t="str">
        <f t="shared" si="59"/>
        <v>December</v>
      </c>
      <c r="F963">
        <f t="shared" si="60"/>
        <v>2024</v>
      </c>
      <c r="G963">
        <f t="shared" si="61"/>
        <v>1</v>
      </c>
      <c r="H963">
        <f t="shared" si="62"/>
        <v>1</v>
      </c>
      <c r="I963" s="6">
        <v>0.45902777777777776</v>
      </c>
      <c r="J963" s="6">
        <v>0.86805555555555558</v>
      </c>
      <c r="K963" s="7" t="s">
        <v>26</v>
      </c>
      <c r="L963" s="7" t="s">
        <v>27</v>
      </c>
      <c r="M963" s="7" t="s">
        <v>15</v>
      </c>
      <c r="N963" s="7">
        <f>COUNTIFS(A:A,A963,D:D,D963,E:E,I963)</f>
        <v>0</v>
      </c>
    </row>
    <row r="964" spans="1:14" x14ac:dyDescent="0.3">
      <c r="A964" s="7" t="s">
        <v>112</v>
      </c>
      <c r="B964" s="7" t="s">
        <v>113</v>
      </c>
      <c r="C964" s="7" t="s">
        <v>42</v>
      </c>
      <c r="D964" s="8">
        <v>45351</v>
      </c>
      <c r="E964" s="8" t="str">
        <f t="shared" si="59"/>
        <v>February</v>
      </c>
      <c r="F964">
        <f t="shared" si="60"/>
        <v>2024</v>
      </c>
      <c r="G964">
        <f t="shared" si="61"/>
        <v>1</v>
      </c>
      <c r="H964">
        <f t="shared" si="62"/>
        <v>0</v>
      </c>
      <c r="I964" s="6">
        <v>0.40555555555555556</v>
      </c>
      <c r="J964" s="6">
        <v>0.84861111111111109</v>
      </c>
      <c r="K964" s="7" t="s">
        <v>20</v>
      </c>
      <c r="L964" s="7" t="s">
        <v>27</v>
      </c>
      <c r="M964" s="7" t="s">
        <v>15</v>
      </c>
      <c r="N964" s="7">
        <f>COUNTIFS(A:A,A964,D:D,D964,E:E,I964)</f>
        <v>0</v>
      </c>
    </row>
    <row r="965" spans="1:14" x14ac:dyDescent="0.3">
      <c r="A965" s="7" t="s">
        <v>171</v>
      </c>
      <c r="B965" s="7" t="s">
        <v>172</v>
      </c>
      <c r="C965" s="7" t="s">
        <v>64</v>
      </c>
      <c r="D965" s="8">
        <v>45474</v>
      </c>
      <c r="E965" s="8" t="str">
        <f t="shared" si="59"/>
        <v>July</v>
      </c>
      <c r="F965">
        <f t="shared" si="60"/>
        <v>2024</v>
      </c>
      <c r="G965">
        <f t="shared" si="61"/>
        <v>0</v>
      </c>
      <c r="H965">
        <f t="shared" si="62"/>
        <v>0</v>
      </c>
      <c r="I965" s="6"/>
      <c r="J965" s="6"/>
      <c r="K965" s="7" t="s">
        <v>44</v>
      </c>
      <c r="L965" s="7" t="s">
        <v>27</v>
      </c>
      <c r="M965" s="7" t="s">
        <v>15</v>
      </c>
      <c r="N965" s="7">
        <f>COUNTIFS(A:A,A965,D:D,D965,E:E,I965)</f>
        <v>0</v>
      </c>
    </row>
    <row r="966" spans="1:14" x14ac:dyDescent="0.3">
      <c r="A966" s="7" t="s">
        <v>37</v>
      </c>
      <c r="B966" s="7" t="s">
        <v>38</v>
      </c>
      <c r="C966" s="7" t="s">
        <v>426</v>
      </c>
      <c r="D966" s="8">
        <v>45597</v>
      </c>
      <c r="E966" s="8" t="str">
        <f t="shared" si="59"/>
        <v>November</v>
      </c>
      <c r="F966">
        <f t="shared" si="60"/>
        <v>2024</v>
      </c>
      <c r="G966">
        <f t="shared" si="61"/>
        <v>1</v>
      </c>
      <c r="H966">
        <f t="shared" si="62"/>
        <v>0</v>
      </c>
      <c r="I966" s="6">
        <v>0.49583333333333335</v>
      </c>
      <c r="J966" s="6">
        <v>0.70347222222222228</v>
      </c>
      <c r="K966" s="7" t="s">
        <v>13</v>
      </c>
      <c r="L966" s="7" t="s">
        <v>14</v>
      </c>
      <c r="M966" s="7" t="s">
        <v>15</v>
      </c>
      <c r="N966" s="7">
        <f>COUNTIFS(A:A,A966,D:D,D966,E:E,I966)</f>
        <v>0</v>
      </c>
    </row>
    <row r="967" spans="1:14" x14ac:dyDescent="0.3">
      <c r="A967" s="7" t="s">
        <v>55</v>
      </c>
      <c r="B967" s="7" t="s">
        <v>56</v>
      </c>
      <c r="C967" s="7" t="s">
        <v>64</v>
      </c>
      <c r="D967" s="8">
        <v>45366</v>
      </c>
      <c r="E967" s="8" t="str">
        <f t="shared" si="59"/>
        <v>March</v>
      </c>
      <c r="F967">
        <f t="shared" si="60"/>
        <v>2024</v>
      </c>
      <c r="G967">
        <f t="shared" si="61"/>
        <v>1</v>
      </c>
      <c r="H967">
        <f t="shared" si="62"/>
        <v>0</v>
      </c>
      <c r="I967" s="6">
        <v>0.375</v>
      </c>
      <c r="J967" s="6">
        <v>0.69791666666666663</v>
      </c>
      <c r="K967" s="7" t="s">
        <v>13</v>
      </c>
      <c r="L967" s="7" t="s">
        <v>27</v>
      </c>
      <c r="M967" s="7" t="s">
        <v>15</v>
      </c>
      <c r="N967" s="7">
        <f>COUNTIFS(A:A,A967,D:D,D967,E:E,I967)</f>
        <v>0</v>
      </c>
    </row>
    <row r="968" spans="1:14" x14ac:dyDescent="0.3">
      <c r="A968" s="7" t="s">
        <v>9</v>
      </c>
      <c r="B968" s="7" t="s">
        <v>10</v>
      </c>
      <c r="C968" s="7" t="s">
        <v>426</v>
      </c>
      <c r="D968" s="8">
        <v>45305</v>
      </c>
      <c r="E968" s="8" t="str">
        <f t="shared" si="59"/>
        <v>January</v>
      </c>
      <c r="F968">
        <f t="shared" si="60"/>
        <v>2024</v>
      </c>
      <c r="G968">
        <f t="shared" si="61"/>
        <v>1</v>
      </c>
      <c r="H968">
        <f t="shared" si="62"/>
        <v>1</v>
      </c>
      <c r="I968" s="6">
        <v>0.34861111111111109</v>
      </c>
      <c r="J968" s="6">
        <v>0.74305555555555558</v>
      </c>
      <c r="K968" s="7" t="s">
        <v>26</v>
      </c>
      <c r="L968" s="7" t="s">
        <v>27</v>
      </c>
      <c r="M968" s="7" t="s">
        <v>21</v>
      </c>
      <c r="N968" s="7">
        <f>COUNTIFS(A:A,A968,D:D,D968,E:E,I968)</f>
        <v>0</v>
      </c>
    </row>
    <row r="969" spans="1:14" x14ac:dyDescent="0.3">
      <c r="A969" s="7" t="s">
        <v>157</v>
      </c>
      <c r="B969" s="7" t="s">
        <v>158</v>
      </c>
      <c r="C969" s="7" t="s">
        <v>60</v>
      </c>
      <c r="D969" s="8">
        <v>45337</v>
      </c>
      <c r="E969" s="8" t="str">
        <f t="shared" si="59"/>
        <v>February</v>
      </c>
      <c r="F969">
        <f t="shared" si="60"/>
        <v>2024</v>
      </c>
      <c r="G969">
        <f t="shared" si="61"/>
        <v>1</v>
      </c>
      <c r="H969">
        <f t="shared" si="62"/>
        <v>0</v>
      </c>
      <c r="I969" s="6">
        <v>0.43958333333333333</v>
      </c>
      <c r="J969" s="6">
        <v>0.85</v>
      </c>
      <c r="K969" s="7" t="s">
        <v>20</v>
      </c>
      <c r="L969" s="7" t="s">
        <v>14</v>
      </c>
      <c r="M969" s="7" t="s">
        <v>21</v>
      </c>
      <c r="N969" s="7">
        <f>COUNTIFS(A:A,A969,D:D,D969,E:E,I969)</f>
        <v>0</v>
      </c>
    </row>
    <row r="970" spans="1:14" x14ac:dyDescent="0.3">
      <c r="A970" s="7" t="s">
        <v>62</v>
      </c>
      <c r="B970" s="7" t="s">
        <v>63</v>
      </c>
      <c r="C970" s="7" t="s">
        <v>425</v>
      </c>
      <c r="D970" s="8">
        <v>45354</v>
      </c>
      <c r="E970" s="8" t="str">
        <f t="shared" si="59"/>
        <v>March</v>
      </c>
      <c r="F970">
        <f t="shared" si="60"/>
        <v>2024</v>
      </c>
      <c r="G970">
        <f t="shared" si="61"/>
        <v>0</v>
      </c>
      <c r="H970">
        <f t="shared" si="62"/>
        <v>0</v>
      </c>
      <c r="I970" s="6"/>
      <c r="J970" s="6"/>
      <c r="K970" s="7" t="s">
        <v>44</v>
      </c>
      <c r="L970" s="7" t="s">
        <v>27</v>
      </c>
      <c r="M970" s="7" t="s">
        <v>21</v>
      </c>
      <c r="N970" s="7">
        <f>COUNTIFS(A:A,A970,D:D,D970,E:E,I970)</f>
        <v>0</v>
      </c>
    </row>
    <row r="971" spans="1:14" x14ac:dyDescent="0.3">
      <c r="A971" s="7" t="s">
        <v>187</v>
      </c>
      <c r="B971" s="7" t="s">
        <v>188</v>
      </c>
      <c r="C971" s="7" t="s">
        <v>425</v>
      </c>
      <c r="D971" s="8">
        <v>45598</v>
      </c>
      <c r="E971" s="8" t="str">
        <f t="shared" si="59"/>
        <v>November</v>
      </c>
      <c r="F971">
        <f t="shared" si="60"/>
        <v>2024</v>
      </c>
      <c r="G971">
        <f t="shared" si="61"/>
        <v>1</v>
      </c>
      <c r="H971">
        <f t="shared" si="62"/>
        <v>0</v>
      </c>
      <c r="I971" s="6">
        <v>0.36527777777777776</v>
      </c>
      <c r="J971" s="6">
        <v>0.87222222222222223</v>
      </c>
      <c r="K971" s="7" t="s">
        <v>13</v>
      </c>
      <c r="L971" s="7" t="s">
        <v>27</v>
      </c>
      <c r="M971" s="7" t="s">
        <v>21</v>
      </c>
      <c r="N971" s="7">
        <f>COUNTIFS(A:A,A971,D:D,D971,E:E,I971)</f>
        <v>0</v>
      </c>
    </row>
    <row r="972" spans="1:14" x14ac:dyDescent="0.3">
      <c r="A972" s="7" t="s">
        <v>119</v>
      </c>
      <c r="B972" s="7" t="s">
        <v>120</v>
      </c>
      <c r="C972" s="7" t="s">
        <v>426</v>
      </c>
      <c r="D972" s="8">
        <v>45371</v>
      </c>
      <c r="E972" s="8" t="str">
        <f t="shared" si="59"/>
        <v>March</v>
      </c>
      <c r="F972">
        <f t="shared" si="60"/>
        <v>2024</v>
      </c>
      <c r="G972">
        <f t="shared" si="61"/>
        <v>1</v>
      </c>
      <c r="H972">
        <f t="shared" si="62"/>
        <v>0</v>
      </c>
      <c r="I972" s="6">
        <v>0.34513888888888888</v>
      </c>
      <c r="J972" s="6">
        <v>0.77777777777777779</v>
      </c>
      <c r="K972" s="7" t="s">
        <v>13</v>
      </c>
      <c r="L972" s="7" t="s">
        <v>27</v>
      </c>
      <c r="M972" s="7" t="s">
        <v>21</v>
      </c>
      <c r="N972" s="7">
        <f>COUNTIFS(A:A,A972,D:D,D972,E:E,I972)</f>
        <v>0</v>
      </c>
    </row>
    <row r="973" spans="1:14" x14ac:dyDescent="0.3">
      <c r="A973" s="7" t="s">
        <v>109</v>
      </c>
      <c r="B973" s="7" t="s">
        <v>110</v>
      </c>
      <c r="C973" s="7" t="s">
        <v>425</v>
      </c>
      <c r="D973" s="8">
        <v>45315</v>
      </c>
      <c r="E973" s="8" t="str">
        <f t="shared" si="59"/>
        <v>January</v>
      </c>
      <c r="F973">
        <f t="shared" si="60"/>
        <v>2024</v>
      </c>
      <c r="G973">
        <f t="shared" si="61"/>
        <v>1</v>
      </c>
      <c r="H973">
        <f t="shared" si="62"/>
        <v>1</v>
      </c>
      <c r="I973" s="6">
        <v>0.46875</v>
      </c>
      <c r="J973" s="6">
        <v>0.77013888888888893</v>
      </c>
      <c r="K973" s="7" t="s">
        <v>26</v>
      </c>
      <c r="L973" s="7" t="s">
        <v>27</v>
      </c>
      <c r="M973" s="7" t="s">
        <v>15</v>
      </c>
      <c r="N973" s="7">
        <f>COUNTIFS(A:A,A973,D:D,D973,E:E,I973)</f>
        <v>0</v>
      </c>
    </row>
    <row r="974" spans="1:14" x14ac:dyDescent="0.3">
      <c r="A974" s="7" t="s">
        <v>194</v>
      </c>
      <c r="B974" s="7" t="s">
        <v>195</v>
      </c>
      <c r="C974" s="7" t="s">
        <v>60</v>
      </c>
      <c r="D974" s="8">
        <v>45476</v>
      </c>
      <c r="E974" s="8" t="str">
        <f t="shared" si="59"/>
        <v>July</v>
      </c>
      <c r="F974">
        <f t="shared" si="60"/>
        <v>2024</v>
      </c>
      <c r="G974">
        <f t="shared" si="61"/>
        <v>0</v>
      </c>
      <c r="H974">
        <f t="shared" si="62"/>
        <v>0</v>
      </c>
      <c r="I974" s="6"/>
      <c r="J974" s="6"/>
      <c r="K974" s="7" t="s">
        <v>44</v>
      </c>
      <c r="L974" s="7" t="s">
        <v>14</v>
      </c>
      <c r="M974" s="7" t="s">
        <v>15</v>
      </c>
      <c r="N974" s="7">
        <f>COUNTIFS(A:A,A974,D:D,D974,E:E,I974)</f>
        <v>0</v>
      </c>
    </row>
    <row r="975" spans="1:14" x14ac:dyDescent="0.3">
      <c r="A975" s="7" t="s">
        <v>213</v>
      </c>
      <c r="B975" s="7" t="s">
        <v>214</v>
      </c>
      <c r="C975" s="7" t="s">
        <v>64</v>
      </c>
      <c r="D975" s="8">
        <v>45538</v>
      </c>
      <c r="E975" s="8" t="str">
        <f t="shared" si="59"/>
        <v>September</v>
      </c>
      <c r="F975">
        <f t="shared" si="60"/>
        <v>2024</v>
      </c>
      <c r="G975">
        <f t="shared" si="61"/>
        <v>1</v>
      </c>
      <c r="H975">
        <f t="shared" si="62"/>
        <v>0</v>
      </c>
      <c r="I975" s="6">
        <v>0.43055555555555558</v>
      </c>
      <c r="J975" s="6">
        <v>0.78402777777777777</v>
      </c>
      <c r="K975" s="7" t="s">
        <v>13</v>
      </c>
      <c r="L975" s="7" t="s">
        <v>27</v>
      </c>
      <c r="M975" s="7" t="s">
        <v>15</v>
      </c>
      <c r="N975" s="7">
        <f>COUNTIFS(A:A,A975,D:D,D975,E:E,I975)</f>
        <v>0</v>
      </c>
    </row>
    <row r="976" spans="1:14" x14ac:dyDescent="0.3">
      <c r="A976" s="7" t="s">
        <v>315</v>
      </c>
      <c r="B976" s="7" t="s">
        <v>316</v>
      </c>
      <c r="C976" s="7" t="s">
        <v>426</v>
      </c>
      <c r="D976" s="8">
        <v>45338</v>
      </c>
      <c r="E976" s="8" t="str">
        <f t="shared" si="59"/>
        <v>February</v>
      </c>
      <c r="F976">
        <f t="shared" si="60"/>
        <v>2024</v>
      </c>
      <c r="G976">
        <f t="shared" si="61"/>
        <v>1</v>
      </c>
      <c r="H976">
        <f t="shared" si="62"/>
        <v>0</v>
      </c>
      <c r="I976" s="6">
        <v>0.49375000000000002</v>
      </c>
      <c r="J976" s="6">
        <v>0.75763888888888886</v>
      </c>
      <c r="K976" s="7" t="s">
        <v>20</v>
      </c>
      <c r="L976" s="7" t="s">
        <v>14</v>
      </c>
      <c r="M976" s="7" t="s">
        <v>15</v>
      </c>
      <c r="N976" s="7">
        <f>COUNTIFS(A:A,A976,D:D,D976,E:E,I976)</f>
        <v>0</v>
      </c>
    </row>
    <row r="977" spans="1:14" x14ac:dyDescent="0.3">
      <c r="A977" s="7" t="s">
        <v>93</v>
      </c>
      <c r="B977" s="7" t="s">
        <v>94</v>
      </c>
      <c r="C977" s="7" t="s">
        <v>42</v>
      </c>
      <c r="D977" s="8">
        <v>45337</v>
      </c>
      <c r="E977" s="8" t="str">
        <f t="shared" si="59"/>
        <v>February</v>
      </c>
      <c r="F977">
        <f t="shared" si="60"/>
        <v>2024</v>
      </c>
      <c r="G977">
        <f t="shared" si="61"/>
        <v>0</v>
      </c>
      <c r="H977">
        <f t="shared" si="62"/>
        <v>0</v>
      </c>
      <c r="I977" s="6"/>
      <c r="J977" s="6"/>
      <c r="K977" s="7" t="s">
        <v>44</v>
      </c>
      <c r="L977" s="7" t="s">
        <v>14</v>
      </c>
      <c r="M977" s="7" t="s">
        <v>15</v>
      </c>
      <c r="N977" s="7">
        <f>COUNTIFS(A:A,A977,D:D,D977,E:E,I977)</f>
        <v>0</v>
      </c>
    </row>
    <row r="978" spans="1:14" x14ac:dyDescent="0.3">
      <c r="A978" s="7" t="s">
        <v>236</v>
      </c>
      <c r="B978" s="7" t="s">
        <v>237</v>
      </c>
      <c r="C978" s="7" t="s">
        <v>64</v>
      </c>
      <c r="D978" s="8">
        <v>45315</v>
      </c>
      <c r="E978" s="8" t="str">
        <f t="shared" si="59"/>
        <v>January</v>
      </c>
      <c r="F978">
        <f t="shared" si="60"/>
        <v>2024</v>
      </c>
      <c r="G978">
        <f t="shared" si="61"/>
        <v>1</v>
      </c>
      <c r="H978">
        <f t="shared" si="62"/>
        <v>0</v>
      </c>
      <c r="I978" s="6">
        <v>0.34513888888888888</v>
      </c>
      <c r="J978" s="6">
        <v>0.7319444444444444</v>
      </c>
      <c r="K978" s="7" t="s">
        <v>13</v>
      </c>
      <c r="L978" s="7" t="s">
        <v>27</v>
      </c>
      <c r="M978" s="7" t="s">
        <v>21</v>
      </c>
      <c r="N978" s="7">
        <f>COUNTIFS(A:A,A978,D:D,D978,E:E,I978)</f>
        <v>0</v>
      </c>
    </row>
    <row r="979" spans="1:14" x14ac:dyDescent="0.3">
      <c r="A979" s="7" t="s">
        <v>58</v>
      </c>
      <c r="B979" s="7" t="s">
        <v>59</v>
      </c>
      <c r="C979" s="7" t="s">
        <v>64</v>
      </c>
      <c r="D979" s="8">
        <v>45378</v>
      </c>
      <c r="E979" s="8" t="str">
        <f t="shared" si="59"/>
        <v>March</v>
      </c>
      <c r="F979">
        <f t="shared" si="60"/>
        <v>2024</v>
      </c>
      <c r="G979">
        <f t="shared" si="61"/>
        <v>1</v>
      </c>
      <c r="H979">
        <f t="shared" si="62"/>
        <v>0</v>
      </c>
      <c r="I979" s="6">
        <v>0.35138888888888886</v>
      </c>
      <c r="J979" s="6">
        <v>0.76458333333333328</v>
      </c>
      <c r="K979" s="7" t="s">
        <v>13</v>
      </c>
      <c r="L979" s="7" t="s">
        <v>14</v>
      </c>
      <c r="M979" s="7" t="s">
        <v>21</v>
      </c>
      <c r="N979" s="7">
        <f>COUNTIFS(A:A,A979,D:D,D979,E:E,I979)</f>
        <v>0</v>
      </c>
    </row>
    <row r="980" spans="1:14" x14ac:dyDescent="0.3">
      <c r="A980" s="7" t="s">
        <v>269</v>
      </c>
      <c r="B980" s="7" t="s">
        <v>270</v>
      </c>
      <c r="C980" s="7" t="s">
        <v>64</v>
      </c>
      <c r="D980" s="8">
        <v>45322</v>
      </c>
      <c r="E980" s="8" t="str">
        <f t="shared" si="59"/>
        <v>January</v>
      </c>
      <c r="F980">
        <f t="shared" si="60"/>
        <v>2024</v>
      </c>
      <c r="G980">
        <f t="shared" si="61"/>
        <v>1</v>
      </c>
      <c r="H980">
        <f t="shared" si="62"/>
        <v>1</v>
      </c>
      <c r="I980" s="6">
        <v>0.49791666666666667</v>
      </c>
      <c r="J980" s="6">
        <v>0.73819444444444449</v>
      </c>
      <c r="K980" s="7" t="s">
        <v>26</v>
      </c>
      <c r="L980" s="7" t="s">
        <v>27</v>
      </c>
      <c r="M980" s="7" t="s">
        <v>21</v>
      </c>
      <c r="N980" s="7">
        <f>COUNTIFS(A:A,A980,D:D,D980,E:E,I980)</f>
        <v>0</v>
      </c>
    </row>
    <row r="981" spans="1:14" x14ac:dyDescent="0.3">
      <c r="A981" s="7" t="s">
        <v>40</v>
      </c>
      <c r="B981" s="7" t="s">
        <v>41</v>
      </c>
      <c r="C981" s="7" t="s">
        <v>60</v>
      </c>
      <c r="D981" s="8">
        <v>45380</v>
      </c>
      <c r="E981" s="8" t="str">
        <f t="shared" si="59"/>
        <v>March</v>
      </c>
      <c r="F981">
        <f t="shared" si="60"/>
        <v>2024</v>
      </c>
      <c r="G981">
        <f t="shared" si="61"/>
        <v>0</v>
      </c>
      <c r="H981">
        <f t="shared" si="62"/>
        <v>0</v>
      </c>
      <c r="I981" s="6"/>
      <c r="J981" s="6"/>
      <c r="K981" s="7" t="s">
        <v>44</v>
      </c>
      <c r="L981" s="7" t="s">
        <v>14</v>
      </c>
      <c r="M981" s="7" t="s">
        <v>15</v>
      </c>
      <c r="N981" s="7">
        <f>COUNTIFS(A:A,A981,D:D,D981,E:E,I981)</f>
        <v>0</v>
      </c>
    </row>
    <row r="982" spans="1:14" x14ac:dyDescent="0.3">
      <c r="A982" s="7" t="s">
        <v>122</v>
      </c>
      <c r="B982" s="7" t="s">
        <v>123</v>
      </c>
      <c r="C982" s="7" t="s">
        <v>60</v>
      </c>
      <c r="D982" s="8">
        <v>45360</v>
      </c>
      <c r="E982" s="8" t="str">
        <f t="shared" si="59"/>
        <v>March</v>
      </c>
      <c r="F982">
        <f t="shared" si="60"/>
        <v>2024</v>
      </c>
      <c r="G982">
        <f t="shared" si="61"/>
        <v>1</v>
      </c>
      <c r="H982">
        <f t="shared" si="62"/>
        <v>0</v>
      </c>
      <c r="I982" s="6">
        <v>0.35694444444444445</v>
      </c>
      <c r="J982" s="6">
        <v>0.67777777777777781</v>
      </c>
      <c r="K982" s="7" t="s">
        <v>13</v>
      </c>
      <c r="L982" s="7" t="s">
        <v>14</v>
      </c>
      <c r="M982" s="7" t="s">
        <v>21</v>
      </c>
      <c r="N982" s="7">
        <f>COUNTIFS(A:A,A982,D:D,D982,E:E,I982)</f>
        <v>0</v>
      </c>
    </row>
    <row r="983" spans="1:14" x14ac:dyDescent="0.3">
      <c r="A983" s="7" t="s">
        <v>52</v>
      </c>
      <c r="B983" s="7" t="s">
        <v>53</v>
      </c>
      <c r="C983" s="7" t="s">
        <v>60</v>
      </c>
      <c r="D983" s="8">
        <v>45506</v>
      </c>
      <c r="E983" s="8" t="str">
        <f t="shared" si="59"/>
        <v>August</v>
      </c>
      <c r="F983">
        <f t="shared" si="60"/>
        <v>2024</v>
      </c>
      <c r="G983">
        <f t="shared" si="61"/>
        <v>1</v>
      </c>
      <c r="H983">
        <f t="shared" si="62"/>
        <v>1</v>
      </c>
      <c r="I983" s="6">
        <v>0.36388888888888887</v>
      </c>
      <c r="J983" s="6">
        <v>0.76041666666666663</v>
      </c>
      <c r="K983" s="7" t="s">
        <v>26</v>
      </c>
      <c r="L983" s="7" t="s">
        <v>14</v>
      </c>
      <c r="M983" s="7" t="s">
        <v>21</v>
      </c>
      <c r="N983" s="7">
        <f>COUNTIFS(A:A,A983,D:D,D983,E:E,I983)</f>
        <v>0</v>
      </c>
    </row>
    <row r="984" spans="1:14" x14ac:dyDescent="0.3">
      <c r="A984" s="7" t="s">
        <v>34</v>
      </c>
      <c r="B984" s="7" t="s">
        <v>35</v>
      </c>
      <c r="C984" s="7" t="s">
        <v>42</v>
      </c>
      <c r="D984" s="8">
        <v>45507</v>
      </c>
      <c r="E984" s="8" t="str">
        <f t="shared" si="59"/>
        <v>August</v>
      </c>
      <c r="F984">
        <f t="shared" si="60"/>
        <v>2024</v>
      </c>
      <c r="G984">
        <f t="shared" si="61"/>
        <v>1</v>
      </c>
      <c r="H984">
        <f t="shared" si="62"/>
        <v>0</v>
      </c>
      <c r="I984" s="6">
        <v>0.36249999999999999</v>
      </c>
      <c r="J984" s="6">
        <v>0.87013888888888891</v>
      </c>
      <c r="K984" s="7" t="s">
        <v>13</v>
      </c>
      <c r="L984" s="7" t="s">
        <v>27</v>
      </c>
      <c r="M984" s="7" t="s">
        <v>21</v>
      </c>
      <c r="N984" s="7">
        <f>COUNTIFS(A:A,A984,D:D,D984,E:E,I984)</f>
        <v>0</v>
      </c>
    </row>
    <row r="985" spans="1:14" x14ac:dyDescent="0.3">
      <c r="A985" s="7" t="s">
        <v>62</v>
      </c>
      <c r="B985" s="7" t="s">
        <v>63</v>
      </c>
      <c r="C985" s="7" t="s">
        <v>60</v>
      </c>
      <c r="D985" s="8">
        <v>45320</v>
      </c>
      <c r="E985" s="8" t="str">
        <f t="shared" si="59"/>
        <v>January</v>
      </c>
      <c r="F985">
        <f t="shared" si="60"/>
        <v>2024</v>
      </c>
      <c r="G985">
        <f t="shared" si="61"/>
        <v>0</v>
      </c>
      <c r="H985">
        <f t="shared" si="62"/>
        <v>0</v>
      </c>
      <c r="I985" s="6"/>
      <c r="J985" s="6"/>
      <c r="K985" s="7" t="s">
        <v>44</v>
      </c>
      <c r="L985" s="7" t="s">
        <v>27</v>
      </c>
      <c r="M985" s="7" t="s">
        <v>21</v>
      </c>
      <c r="N985" s="7">
        <f>COUNTIFS(A:A,A985,D:D,D985,E:E,I985)</f>
        <v>0</v>
      </c>
    </row>
    <row r="986" spans="1:14" x14ac:dyDescent="0.3">
      <c r="A986" s="7" t="s">
        <v>246</v>
      </c>
      <c r="B986" s="7" t="s">
        <v>247</v>
      </c>
      <c r="C986" s="7" t="s">
        <v>426</v>
      </c>
      <c r="D986" s="8">
        <v>45366</v>
      </c>
      <c r="E986" s="8" t="str">
        <f t="shared" si="59"/>
        <v>March</v>
      </c>
      <c r="F986">
        <f t="shared" si="60"/>
        <v>2024</v>
      </c>
      <c r="G986">
        <f t="shared" si="61"/>
        <v>1</v>
      </c>
      <c r="H986">
        <f t="shared" si="62"/>
        <v>0</v>
      </c>
      <c r="I986" s="6">
        <v>0.36388888888888887</v>
      </c>
      <c r="J986" s="6">
        <v>0.73263888888888884</v>
      </c>
      <c r="K986" s="7" t="s">
        <v>13</v>
      </c>
      <c r="L986" s="7" t="s">
        <v>27</v>
      </c>
      <c r="M986" s="7" t="s">
        <v>21</v>
      </c>
      <c r="N986" s="7">
        <f>COUNTIFS(A:A,A986,D:D,D986,E:E,I986)</f>
        <v>0</v>
      </c>
    </row>
    <row r="987" spans="1:14" x14ac:dyDescent="0.3">
      <c r="A987" s="7" t="s">
        <v>315</v>
      </c>
      <c r="B987" s="7" t="s">
        <v>316</v>
      </c>
      <c r="C987" s="7" t="s">
        <v>64</v>
      </c>
      <c r="D987" s="8">
        <v>45338</v>
      </c>
      <c r="E987" s="8" t="str">
        <f t="shared" si="59"/>
        <v>February</v>
      </c>
      <c r="F987">
        <f t="shared" si="60"/>
        <v>2024</v>
      </c>
      <c r="G987">
        <f t="shared" si="61"/>
        <v>1</v>
      </c>
      <c r="H987">
        <f t="shared" si="62"/>
        <v>1</v>
      </c>
      <c r="I987" s="6">
        <v>0.45416666666666666</v>
      </c>
      <c r="J987" s="6">
        <v>0.75555555555555554</v>
      </c>
      <c r="K987" s="7" t="s">
        <v>26</v>
      </c>
      <c r="L987" s="7" t="s">
        <v>27</v>
      </c>
      <c r="M987" s="7" t="s">
        <v>21</v>
      </c>
      <c r="N987" s="7">
        <f>COUNTIFS(A:A,A987,D:D,D987,E:E,I987)</f>
        <v>0</v>
      </c>
    </row>
    <row r="988" spans="1:14" x14ac:dyDescent="0.3">
      <c r="A988" s="7" t="s">
        <v>115</v>
      </c>
      <c r="B988" s="7" t="s">
        <v>116</v>
      </c>
      <c r="C988" s="7" t="s">
        <v>60</v>
      </c>
      <c r="D988" s="8">
        <v>45297</v>
      </c>
      <c r="E988" s="8" t="str">
        <f t="shared" si="59"/>
        <v>January</v>
      </c>
      <c r="F988">
        <f t="shared" si="60"/>
        <v>2024</v>
      </c>
      <c r="G988">
        <f t="shared" si="61"/>
        <v>1</v>
      </c>
      <c r="H988">
        <f t="shared" si="62"/>
        <v>0</v>
      </c>
      <c r="I988" s="6">
        <v>0.46944444444444444</v>
      </c>
      <c r="J988" s="6">
        <v>0.84027777777777779</v>
      </c>
      <c r="K988" s="7" t="s">
        <v>13</v>
      </c>
      <c r="L988" s="7" t="s">
        <v>14</v>
      </c>
      <c r="M988" s="7" t="s">
        <v>15</v>
      </c>
      <c r="N988" s="7">
        <f>COUNTIFS(A:A,A988,D:D,D988,E:E,I988)</f>
        <v>0</v>
      </c>
    </row>
    <row r="989" spans="1:14" x14ac:dyDescent="0.3">
      <c r="A989" s="7" t="s">
        <v>58</v>
      </c>
      <c r="B989" s="7" t="s">
        <v>59</v>
      </c>
      <c r="C989" s="7" t="s">
        <v>60</v>
      </c>
      <c r="D989" s="8">
        <v>45375</v>
      </c>
      <c r="E989" s="8" t="str">
        <f t="shared" si="59"/>
        <v>March</v>
      </c>
      <c r="F989">
        <f t="shared" si="60"/>
        <v>2024</v>
      </c>
      <c r="G989">
        <f t="shared" si="61"/>
        <v>1</v>
      </c>
      <c r="H989">
        <f t="shared" si="62"/>
        <v>0</v>
      </c>
      <c r="I989" s="6">
        <v>0.49236111111111114</v>
      </c>
      <c r="J989" s="6">
        <v>0.76388888888888884</v>
      </c>
      <c r="K989" s="7" t="s">
        <v>20</v>
      </c>
      <c r="L989" s="7" t="s">
        <v>14</v>
      </c>
      <c r="M989" s="7" t="s">
        <v>21</v>
      </c>
      <c r="N989" s="7">
        <f>COUNTIFS(A:A,A989,D:D,D989,E:E,I989)</f>
        <v>0</v>
      </c>
    </row>
    <row r="990" spans="1:14" x14ac:dyDescent="0.3">
      <c r="A990" s="7" t="s">
        <v>157</v>
      </c>
      <c r="B990" s="7" t="s">
        <v>158</v>
      </c>
      <c r="C990" s="7" t="s">
        <v>42</v>
      </c>
      <c r="D990" s="8">
        <v>45342</v>
      </c>
      <c r="E990" s="8" t="str">
        <f t="shared" si="59"/>
        <v>February</v>
      </c>
      <c r="F990">
        <f t="shared" si="60"/>
        <v>2024</v>
      </c>
      <c r="G990">
        <f t="shared" si="61"/>
        <v>0</v>
      </c>
      <c r="H990">
        <f t="shared" si="62"/>
        <v>0</v>
      </c>
      <c r="I990" s="6"/>
      <c r="J990" s="6"/>
      <c r="K990" s="7" t="s">
        <v>44</v>
      </c>
      <c r="L990" s="7" t="s">
        <v>14</v>
      </c>
      <c r="M990" s="7" t="s">
        <v>21</v>
      </c>
      <c r="N990" s="7">
        <f>COUNTIFS(A:A,A990,D:D,D990,E:E,I990)</f>
        <v>0</v>
      </c>
    </row>
    <row r="991" spans="1:14" x14ac:dyDescent="0.3">
      <c r="A991" s="7" t="s">
        <v>84</v>
      </c>
      <c r="B991" s="7" t="s">
        <v>85</v>
      </c>
      <c r="C991" s="7" t="s">
        <v>60</v>
      </c>
      <c r="D991" s="8">
        <v>45333</v>
      </c>
      <c r="E991" s="8" t="str">
        <f t="shared" si="59"/>
        <v>February</v>
      </c>
      <c r="F991">
        <f t="shared" si="60"/>
        <v>2024</v>
      </c>
      <c r="G991">
        <f t="shared" si="61"/>
        <v>0</v>
      </c>
      <c r="H991">
        <f t="shared" si="62"/>
        <v>0</v>
      </c>
      <c r="I991" s="6"/>
      <c r="J991" s="6"/>
      <c r="K991" s="7" t="s">
        <v>44</v>
      </c>
      <c r="L991" s="7" t="s">
        <v>27</v>
      </c>
      <c r="M991" s="7" t="s">
        <v>15</v>
      </c>
      <c r="N991" s="7">
        <f>COUNTIFS(A:A,A991,D:D,D991,E:E,I991)</f>
        <v>0</v>
      </c>
    </row>
    <row r="992" spans="1:14" x14ac:dyDescent="0.3">
      <c r="A992" s="7" t="s">
        <v>115</v>
      </c>
      <c r="B992" s="7" t="s">
        <v>116</v>
      </c>
      <c r="C992" s="7" t="s">
        <v>425</v>
      </c>
      <c r="D992" s="8">
        <v>45312</v>
      </c>
      <c r="E992" s="8" t="str">
        <f t="shared" si="59"/>
        <v>January</v>
      </c>
      <c r="F992">
        <f t="shared" si="60"/>
        <v>2024</v>
      </c>
      <c r="G992">
        <f t="shared" si="61"/>
        <v>1</v>
      </c>
      <c r="H992">
        <f t="shared" si="62"/>
        <v>1</v>
      </c>
      <c r="I992" s="6">
        <v>0.47638888888888886</v>
      </c>
      <c r="J992" s="6">
        <v>0.72083333333333333</v>
      </c>
      <c r="K992" s="7" t="s">
        <v>26</v>
      </c>
      <c r="L992" s="7" t="s">
        <v>27</v>
      </c>
      <c r="M992" s="7" t="s">
        <v>21</v>
      </c>
      <c r="N992" s="7">
        <f>COUNTIFS(A:A,A992,D:D,D992,E:E,I992)</f>
        <v>0</v>
      </c>
    </row>
    <row r="993" spans="1:14" x14ac:dyDescent="0.3">
      <c r="A993" s="7" t="s">
        <v>78</v>
      </c>
      <c r="B993" s="7" t="s">
        <v>79</v>
      </c>
      <c r="C993" s="7" t="s">
        <v>426</v>
      </c>
      <c r="D993" s="8">
        <v>45365</v>
      </c>
      <c r="E993" s="8" t="str">
        <f t="shared" si="59"/>
        <v>March</v>
      </c>
      <c r="F993">
        <f t="shared" si="60"/>
        <v>2024</v>
      </c>
      <c r="G993">
        <f t="shared" si="61"/>
        <v>1</v>
      </c>
      <c r="H993">
        <f t="shared" si="62"/>
        <v>1</v>
      </c>
      <c r="I993" s="6">
        <v>0.45694444444444443</v>
      </c>
      <c r="J993" s="6">
        <v>0.76249999999999996</v>
      </c>
      <c r="K993" s="7" t="s">
        <v>26</v>
      </c>
      <c r="L993" s="7" t="s">
        <v>14</v>
      </c>
      <c r="M993" s="7" t="s">
        <v>15</v>
      </c>
      <c r="N993" s="7">
        <f>COUNTIFS(A:A,A993,D:D,D993,E:E,I993)</f>
        <v>0</v>
      </c>
    </row>
    <row r="994" spans="1:14" x14ac:dyDescent="0.3">
      <c r="A994" s="7" t="s">
        <v>362</v>
      </c>
      <c r="B994" s="7" t="s">
        <v>363</v>
      </c>
      <c r="C994" s="7" t="s">
        <v>425</v>
      </c>
      <c r="D994" s="8">
        <v>45627</v>
      </c>
      <c r="E994" s="8" t="str">
        <f t="shared" si="59"/>
        <v>December</v>
      </c>
      <c r="F994">
        <f t="shared" si="60"/>
        <v>2024</v>
      </c>
      <c r="G994">
        <f t="shared" si="61"/>
        <v>1</v>
      </c>
      <c r="H994">
        <f t="shared" si="62"/>
        <v>0</v>
      </c>
      <c r="I994" s="6">
        <v>0.33541666666666664</v>
      </c>
      <c r="J994" s="6">
        <v>0.72222222222222221</v>
      </c>
      <c r="K994" s="7" t="s">
        <v>20</v>
      </c>
      <c r="L994" s="7" t="s">
        <v>27</v>
      </c>
      <c r="M994" s="7" t="s">
        <v>15</v>
      </c>
      <c r="N994" s="7">
        <f>COUNTIFS(A:A,A994,D:D,D994,E:E,I994)</f>
        <v>0</v>
      </c>
    </row>
    <row r="995" spans="1:14" x14ac:dyDescent="0.3">
      <c r="A995" s="7" t="s">
        <v>315</v>
      </c>
      <c r="B995" s="7" t="s">
        <v>316</v>
      </c>
      <c r="C995" s="7" t="s">
        <v>426</v>
      </c>
      <c r="D995" s="8">
        <v>45304</v>
      </c>
      <c r="E995" s="8" t="str">
        <f t="shared" si="59"/>
        <v>January</v>
      </c>
      <c r="F995">
        <f t="shared" si="60"/>
        <v>2024</v>
      </c>
      <c r="G995">
        <f t="shared" si="61"/>
        <v>1</v>
      </c>
      <c r="H995">
        <f t="shared" si="62"/>
        <v>0</v>
      </c>
      <c r="I995" s="6">
        <v>0.34513888888888888</v>
      </c>
      <c r="J995" s="6">
        <v>0.75347222222222221</v>
      </c>
      <c r="K995" s="7" t="s">
        <v>13</v>
      </c>
      <c r="L995" s="7" t="s">
        <v>27</v>
      </c>
      <c r="M995" s="7" t="s">
        <v>15</v>
      </c>
      <c r="N995" s="7">
        <f>COUNTIFS(A:A,A995,D:D,D995,E:E,I995)</f>
        <v>0</v>
      </c>
    </row>
    <row r="996" spans="1:14" x14ac:dyDescent="0.3">
      <c r="A996" s="7" t="s">
        <v>72</v>
      </c>
      <c r="B996" s="7" t="s">
        <v>73</v>
      </c>
      <c r="C996" s="7" t="s">
        <v>426</v>
      </c>
      <c r="D996" s="8">
        <v>45322</v>
      </c>
      <c r="E996" s="8" t="str">
        <f t="shared" si="59"/>
        <v>January</v>
      </c>
      <c r="F996">
        <f t="shared" si="60"/>
        <v>2024</v>
      </c>
      <c r="G996">
        <f t="shared" si="61"/>
        <v>1</v>
      </c>
      <c r="H996">
        <f t="shared" si="62"/>
        <v>0</v>
      </c>
      <c r="I996" s="6">
        <v>0.34861111111111109</v>
      </c>
      <c r="J996" s="6">
        <v>0.72291666666666665</v>
      </c>
      <c r="K996" s="7" t="s">
        <v>13</v>
      </c>
      <c r="L996" s="7" t="s">
        <v>14</v>
      </c>
      <c r="M996" s="7" t="s">
        <v>21</v>
      </c>
      <c r="N996" s="7">
        <f>COUNTIFS(A:A,A996,D:D,D996,E:E,I996)</f>
        <v>0</v>
      </c>
    </row>
    <row r="997" spans="1:14" x14ac:dyDescent="0.3">
      <c r="A997" s="7" t="s">
        <v>141</v>
      </c>
      <c r="B997" s="7" t="s">
        <v>142</v>
      </c>
      <c r="C997" s="7" t="s">
        <v>42</v>
      </c>
      <c r="D997" s="8">
        <v>45371</v>
      </c>
      <c r="E997" s="8" t="str">
        <f t="shared" si="59"/>
        <v>March</v>
      </c>
      <c r="F997">
        <f t="shared" si="60"/>
        <v>2024</v>
      </c>
      <c r="G997">
        <f t="shared" si="61"/>
        <v>1</v>
      </c>
      <c r="H997">
        <f t="shared" si="62"/>
        <v>1</v>
      </c>
      <c r="I997" s="6">
        <v>0.48958333333333331</v>
      </c>
      <c r="J997" s="6">
        <v>0.73402777777777772</v>
      </c>
      <c r="K997" s="7" t="s">
        <v>26</v>
      </c>
      <c r="L997" s="7" t="s">
        <v>27</v>
      </c>
      <c r="M997" s="7" t="s">
        <v>15</v>
      </c>
      <c r="N997" s="7">
        <f>COUNTIFS(A:A,A997,D:D,D997,E:E,I997)</f>
        <v>0</v>
      </c>
    </row>
    <row r="998" spans="1:14" x14ac:dyDescent="0.3">
      <c r="A998" s="7" t="s">
        <v>90</v>
      </c>
      <c r="B998" s="7" t="s">
        <v>91</v>
      </c>
      <c r="C998" s="7" t="s">
        <v>60</v>
      </c>
      <c r="D998" s="8">
        <v>45343</v>
      </c>
      <c r="E998" s="8" t="str">
        <f t="shared" si="59"/>
        <v>February</v>
      </c>
      <c r="F998">
        <f t="shared" si="60"/>
        <v>2024</v>
      </c>
      <c r="G998">
        <f t="shared" si="61"/>
        <v>1</v>
      </c>
      <c r="H998">
        <f t="shared" si="62"/>
        <v>0</v>
      </c>
      <c r="I998" s="6">
        <v>0.43125000000000002</v>
      </c>
      <c r="J998" s="6">
        <v>0.7895833333333333</v>
      </c>
      <c r="K998" s="7" t="s">
        <v>20</v>
      </c>
      <c r="L998" s="7" t="s">
        <v>27</v>
      </c>
      <c r="M998" s="7" t="s">
        <v>21</v>
      </c>
      <c r="N998" s="7">
        <f>COUNTIFS(A:A,A998,D:D,D998,E:E,I998)</f>
        <v>0</v>
      </c>
    </row>
    <row r="999" spans="1:14" x14ac:dyDescent="0.3">
      <c r="A999" s="7" t="s">
        <v>141</v>
      </c>
      <c r="B999" s="7" t="s">
        <v>142</v>
      </c>
      <c r="C999" s="7" t="s">
        <v>426</v>
      </c>
      <c r="D999" s="8">
        <v>45305</v>
      </c>
      <c r="E999" s="8" t="str">
        <f t="shared" si="59"/>
        <v>January</v>
      </c>
      <c r="F999">
        <f t="shared" si="60"/>
        <v>2024</v>
      </c>
      <c r="G999">
        <f t="shared" si="61"/>
        <v>1</v>
      </c>
      <c r="H999">
        <f t="shared" si="62"/>
        <v>1</v>
      </c>
      <c r="I999" s="6">
        <v>0.46527777777777779</v>
      </c>
      <c r="J999" s="6">
        <v>0.72638888888888886</v>
      </c>
      <c r="K999" s="7" t="s">
        <v>26</v>
      </c>
      <c r="L999" s="7" t="s">
        <v>14</v>
      </c>
      <c r="M999" s="7" t="s">
        <v>15</v>
      </c>
      <c r="N999" s="7">
        <f>COUNTIFS(A:A,A999,D:D,D999,E:E,I999)</f>
        <v>0</v>
      </c>
    </row>
    <row r="1000" spans="1:14" x14ac:dyDescent="0.3">
      <c r="A1000" s="7" t="s">
        <v>138</v>
      </c>
      <c r="B1000" s="7" t="s">
        <v>139</v>
      </c>
      <c r="C1000" s="7" t="s">
        <v>64</v>
      </c>
      <c r="D1000" s="8">
        <v>45538</v>
      </c>
      <c r="E1000" s="8" t="str">
        <f t="shared" si="59"/>
        <v>September</v>
      </c>
      <c r="F1000">
        <f t="shared" si="60"/>
        <v>2024</v>
      </c>
      <c r="G1000">
        <f t="shared" si="61"/>
        <v>0</v>
      </c>
      <c r="H1000">
        <f t="shared" si="62"/>
        <v>0</v>
      </c>
      <c r="I1000" s="6"/>
      <c r="J1000" s="6"/>
      <c r="K1000" s="7" t="s">
        <v>44</v>
      </c>
      <c r="L1000" s="7" t="s">
        <v>27</v>
      </c>
      <c r="M1000" s="7" t="s">
        <v>15</v>
      </c>
      <c r="N1000" s="7">
        <f>COUNTIFS(A:A,A1000,D:D,D1000,E:E,I1000)</f>
        <v>0</v>
      </c>
    </row>
    <row r="1001" spans="1:14" x14ac:dyDescent="0.3">
      <c r="A1001" s="7" t="s">
        <v>31</v>
      </c>
      <c r="B1001" s="7" t="s">
        <v>32</v>
      </c>
      <c r="C1001" s="7" t="s">
        <v>425</v>
      </c>
      <c r="D1001" s="8">
        <v>45413</v>
      </c>
      <c r="E1001" s="8" t="str">
        <f t="shared" si="59"/>
        <v>May</v>
      </c>
      <c r="F1001">
        <f t="shared" si="60"/>
        <v>2024</v>
      </c>
      <c r="G1001">
        <f t="shared" si="61"/>
        <v>1</v>
      </c>
      <c r="H1001">
        <f t="shared" si="62"/>
        <v>1</v>
      </c>
      <c r="I1001" s="6">
        <v>0.45</v>
      </c>
      <c r="J1001" s="6">
        <v>0.83819444444444446</v>
      </c>
      <c r="K1001" s="7" t="s">
        <v>26</v>
      </c>
      <c r="L1001" s="7" t="s">
        <v>27</v>
      </c>
      <c r="M1001" s="7" t="s">
        <v>15</v>
      </c>
      <c r="N1001" s="7">
        <f>COUNTIFS(A:A,A1001,D:D,D1001,E:E,I1001)</f>
        <v>0</v>
      </c>
    </row>
    <row r="1002" spans="1:14" x14ac:dyDescent="0.3">
      <c r="A1002" s="7" t="s">
        <v>115</v>
      </c>
      <c r="B1002" s="7" t="s">
        <v>116</v>
      </c>
      <c r="C1002" s="7" t="s">
        <v>64</v>
      </c>
      <c r="D1002" s="8">
        <v>45377</v>
      </c>
      <c r="E1002" s="8" t="str">
        <f t="shared" si="59"/>
        <v>March</v>
      </c>
      <c r="F1002">
        <f t="shared" si="60"/>
        <v>2024</v>
      </c>
      <c r="G1002">
        <f t="shared" si="61"/>
        <v>0</v>
      </c>
      <c r="H1002">
        <f t="shared" si="62"/>
        <v>0</v>
      </c>
      <c r="I1002" s="6"/>
      <c r="J1002" s="6"/>
      <c r="K1002" s="7" t="s">
        <v>44</v>
      </c>
      <c r="L1002" s="7" t="s">
        <v>14</v>
      </c>
      <c r="M1002" s="7" t="s">
        <v>21</v>
      </c>
      <c r="N1002" s="7">
        <f>COUNTIFS(A:A,A1002,D:D,D1002,E:E,I1002)</f>
        <v>0</v>
      </c>
    </row>
    <row r="1003" spans="1:14" x14ac:dyDescent="0.3">
      <c r="A1003" s="7" t="s">
        <v>75</v>
      </c>
      <c r="B1003" s="7" t="s">
        <v>76</v>
      </c>
      <c r="C1003" s="7" t="s">
        <v>425</v>
      </c>
      <c r="D1003" s="8">
        <v>45414</v>
      </c>
      <c r="E1003" s="8" t="str">
        <f t="shared" si="59"/>
        <v>May</v>
      </c>
      <c r="F1003">
        <f t="shared" si="60"/>
        <v>2024</v>
      </c>
      <c r="G1003">
        <f t="shared" si="61"/>
        <v>0</v>
      </c>
      <c r="H1003">
        <f t="shared" si="62"/>
        <v>0</v>
      </c>
      <c r="I1003" s="6"/>
      <c r="J1003" s="6"/>
      <c r="K1003" s="7" t="s">
        <v>44</v>
      </c>
      <c r="L1003" s="7" t="s">
        <v>14</v>
      </c>
      <c r="M1003" s="7" t="s">
        <v>15</v>
      </c>
      <c r="N1003" s="7">
        <f>COUNTIFS(A:A,A1003,D:D,D1003,E:E,I1003)</f>
        <v>0</v>
      </c>
    </row>
    <row r="1004" spans="1:14" x14ac:dyDescent="0.3">
      <c r="A1004" s="7" t="s">
        <v>62</v>
      </c>
      <c r="B1004" s="7" t="s">
        <v>63</v>
      </c>
      <c r="C1004" s="7" t="s">
        <v>64</v>
      </c>
      <c r="D1004" s="8">
        <v>45317</v>
      </c>
      <c r="E1004" s="8" t="str">
        <f t="shared" si="59"/>
        <v>January</v>
      </c>
      <c r="F1004">
        <f t="shared" si="60"/>
        <v>2024</v>
      </c>
      <c r="G1004">
        <f t="shared" si="61"/>
        <v>1</v>
      </c>
      <c r="H1004">
        <f t="shared" si="62"/>
        <v>0</v>
      </c>
      <c r="I1004" s="6">
        <v>0.37013888888888891</v>
      </c>
      <c r="J1004" s="6">
        <v>0.85833333333333328</v>
      </c>
      <c r="K1004" s="7" t="s">
        <v>20</v>
      </c>
      <c r="L1004" s="7" t="s">
        <v>14</v>
      </c>
      <c r="M1004" s="7" t="s">
        <v>21</v>
      </c>
      <c r="N1004" s="7">
        <f>COUNTIFS(A:A,A1004,D:D,D1004,E:E,I1004)</f>
        <v>0</v>
      </c>
    </row>
    <row r="1005" spans="1:14" x14ac:dyDescent="0.3">
      <c r="A1005" s="7" t="s">
        <v>58</v>
      </c>
      <c r="B1005" s="7" t="s">
        <v>59</v>
      </c>
      <c r="C1005" s="7" t="s">
        <v>426</v>
      </c>
      <c r="D1005" s="8">
        <v>45376</v>
      </c>
      <c r="E1005" s="8" t="str">
        <f t="shared" si="59"/>
        <v>March</v>
      </c>
      <c r="F1005">
        <f t="shared" si="60"/>
        <v>2024</v>
      </c>
      <c r="G1005">
        <f t="shared" si="61"/>
        <v>0</v>
      </c>
      <c r="H1005">
        <f t="shared" si="62"/>
        <v>0</v>
      </c>
      <c r="I1005" s="6"/>
      <c r="J1005" s="6"/>
      <c r="K1005" s="7" t="s">
        <v>44</v>
      </c>
      <c r="L1005" s="7" t="s">
        <v>27</v>
      </c>
      <c r="M1005" s="7" t="s">
        <v>15</v>
      </c>
      <c r="N1005" s="7">
        <f>COUNTIFS(A:A,A1005,D:D,D1005,E:E,I1005)</f>
        <v>0</v>
      </c>
    </row>
    <row r="1006" spans="1:14" x14ac:dyDescent="0.3">
      <c r="A1006" s="7" t="s">
        <v>48</v>
      </c>
      <c r="B1006" s="7" t="s">
        <v>49</v>
      </c>
      <c r="C1006" s="7" t="s">
        <v>64</v>
      </c>
      <c r="D1006" s="8">
        <v>45373</v>
      </c>
      <c r="E1006" s="8" t="str">
        <f t="shared" si="59"/>
        <v>March</v>
      </c>
      <c r="F1006">
        <f t="shared" si="60"/>
        <v>2024</v>
      </c>
      <c r="G1006">
        <f t="shared" si="61"/>
        <v>0</v>
      </c>
      <c r="H1006">
        <f t="shared" si="62"/>
        <v>0</v>
      </c>
      <c r="I1006" s="6"/>
      <c r="J1006" s="6"/>
      <c r="K1006" s="7" t="s">
        <v>44</v>
      </c>
      <c r="L1006" s="7" t="s">
        <v>14</v>
      </c>
      <c r="M1006" s="7" t="s">
        <v>21</v>
      </c>
      <c r="N1006" s="7">
        <f>COUNTIFS(A:A,A1006,D:D,D1006,E:E,I1006)</f>
        <v>0</v>
      </c>
    </row>
    <row r="1007" spans="1:14" x14ac:dyDescent="0.3">
      <c r="A1007" s="7" t="s">
        <v>191</v>
      </c>
      <c r="B1007" s="7" t="s">
        <v>192</v>
      </c>
      <c r="C1007" s="7" t="s">
        <v>426</v>
      </c>
      <c r="D1007" s="8">
        <v>45379</v>
      </c>
      <c r="E1007" s="8" t="str">
        <f t="shared" si="59"/>
        <v>March</v>
      </c>
      <c r="F1007">
        <f t="shared" si="60"/>
        <v>2024</v>
      </c>
      <c r="G1007">
        <f t="shared" si="61"/>
        <v>1</v>
      </c>
      <c r="H1007">
        <f t="shared" si="62"/>
        <v>0</v>
      </c>
      <c r="I1007" s="6">
        <v>0.39652777777777776</v>
      </c>
      <c r="J1007" s="6">
        <v>0.78472222222222221</v>
      </c>
      <c r="K1007" s="7" t="s">
        <v>20</v>
      </c>
      <c r="L1007" s="7" t="s">
        <v>14</v>
      </c>
      <c r="M1007" s="7" t="s">
        <v>21</v>
      </c>
      <c r="N1007" s="7">
        <f>COUNTIFS(A:A,A1007,D:D,D1007,E:E,I1007)</f>
        <v>0</v>
      </c>
    </row>
    <row r="1008" spans="1:14" x14ac:dyDescent="0.3">
      <c r="A1008" s="7" t="s">
        <v>362</v>
      </c>
      <c r="B1008" s="7" t="s">
        <v>363</v>
      </c>
      <c r="C1008" s="7" t="s">
        <v>64</v>
      </c>
      <c r="D1008" s="8">
        <v>45305</v>
      </c>
      <c r="E1008" s="8" t="str">
        <f t="shared" si="59"/>
        <v>January</v>
      </c>
      <c r="F1008">
        <f t="shared" si="60"/>
        <v>2024</v>
      </c>
      <c r="G1008">
        <f t="shared" si="61"/>
        <v>1</v>
      </c>
      <c r="H1008">
        <f t="shared" si="62"/>
        <v>0</v>
      </c>
      <c r="I1008" s="6">
        <v>0.36736111111111114</v>
      </c>
      <c r="J1008" s="6">
        <v>0.71875</v>
      </c>
      <c r="K1008" s="7" t="s">
        <v>13</v>
      </c>
      <c r="L1008" s="7" t="s">
        <v>27</v>
      </c>
      <c r="M1008" s="7" t="s">
        <v>21</v>
      </c>
      <c r="N1008" s="7">
        <f>COUNTIFS(A:A,A1008,D:D,D1008,E:E,I1008)</f>
        <v>0</v>
      </c>
    </row>
    <row r="1009" spans="1:14" x14ac:dyDescent="0.3">
      <c r="A1009" s="7" t="s">
        <v>96</v>
      </c>
      <c r="B1009" s="7" t="s">
        <v>97</v>
      </c>
      <c r="C1009" s="7" t="s">
        <v>60</v>
      </c>
      <c r="D1009" s="8">
        <v>45307</v>
      </c>
      <c r="E1009" s="8" t="str">
        <f t="shared" si="59"/>
        <v>January</v>
      </c>
      <c r="F1009">
        <f t="shared" si="60"/>
        <v>2024</v>
      </c>
      <c r="G1009">
        <f t="shared" si="61"/>
        <v>1</v>
      </c>
      <c r="H1009">
        <f t="shared" si="62"/>
        <v>0</v>
      </c>
      <c r="I1009" s="6">
        <v>0.41944444444444445</v>
      </c>
      <c r="J1009" s="6">
        <v>0.8256944444444444</v>
      </c>
      <c r="K1009" s="7" t="s">
        <v>13</v>
      </c>
      <c r="L1009" s="7" t="s">
        <v>14</v>
      </c>
      <c r="M1009" s="7" t="s">
        <v>15</v>
      </c>
      <c r="N1009" s="7">
        <f>COUNTIFS(A:A,A1009,D:D,D1009,E:E,I1009)</f>
        <v>0</v>
      </c>
    </row>
    <row r="1010" spans="1:14" x14ac:dyDescent="0.3">
      <c r="A1010" s="7" t="s">
        <v>37</v>
      </c>
      <c r="B1010" s="7" t="s">
        <v>38</v>
      </c>
      <c r="C1010" s="7" t="s">
        <v>60</v>
      </c>
      <c r="D1010" s="8">
        <v>45567</v>
      </c>
      <c r="E1010" s="8" t="str">
        <f t="shared" si="59"/>
        <v>October</v>
      </c>
      <c r="F1010">
        <f t="shared" si="60"/>
        <v>2024</v>
      </c>
      <c r="G1010">
        <f t="shared" si="61"/>
        <v>1</v>
      </c>
      <c r="H1010">
        <f t="shared" si="62"/>
        <v>1</v>
      </c>
      <c r="I1010" s="6">
        <v>0.34930555555555554</v>
      </c>
      <c r="J1010" s="6">
        <v>0.71944444444444444</v>
      </c>
      <c r="K1010" s="7" t="s">
        <v>26</v>
      </c>
      <c r="L1010" s="7" t="s">
        <v>27</v>
      </c>
      <c r="M1010" s="7" t="s">
        <v>15</v>
      </c>
      <c r="N1010" s="7">
        <f>COUNTIFS(A:A,A1010,D:D,D1010,E:E,I1010)</f>
        <v>0</v>
      </c>
    </row>
    <row r="1011" spans="1:14" x14ac:dyDescent="0.3">
      <c r="A1011" s="7" t="s">
        <v>213</v>
      </c>
      <c r="B1011" s="7" t="s">
        <v>214</v>
      </c>
      <c r="C1011" s="7" t="s">
        <v>425</v>
      </c>
      <c r="D1011" s="8">
        <v>45537</v>
      </c>
      <c r="E1011" s="8" t="str">
        <f t="shared" si="59"/>
        <v>September</v>
      </c>
      <c r="F1011">
        <f t="shared" si="60"/>
        <v>2024</v>
      </c>
      <c r="G1011">
        <f t="shared" si="61"/>
        <v>0</v>
      </c>
      <c r="H1011">
        <f t="shared" si="62"/>
        <v>0</v>
      </c>
      <c r="I1011" s="6"/>
      <c r="J1011" s="6"/>
      <c r="K1011" s="7" t="s">
        <v>44</v>
      </c>
      <c r="L1011" s="7" t="s">
        <v>27</v>
      </c>
      <c r="M1011" s="7" t="s">
        <v>15</v>
      </c>
      <c r="N1011" s="7">
        <f>COUNTIFS(A:A,A1011,D:D,D1011,E:E,I1011)</f>
        <v>0</v>
      </c>
    </row>
    <row r="1012" spans="1:14" x14ac:dyDescent="0.3">
      <c r="A1012" s="7" t="s">
        <v>81</v>
      </c>
      <c r="B1012" s="7" t="s">
        <v>82</v>
      </c>
      <c r="C1012" s="7" t="s">
        <v>42</v>
      </c>
      <c r="D1012" s="8">
        <v>45323</v>
      </c>
      <c r="E1012" s="8" t="str">
        <f t="shared" si="59"/>
        <v>February</v>
      </c>
      <c r="F1012">
        <f t="shared" si="60"/>
        <v>2024</v>
      </c>
      <c r="G1012">
        <f t="shared" si="61"/>
        <v>0</v>
      </c>
      <c r="H1012">
        <f t="shared" si="62"/>
        <v>0</v>
      </c>
      <c r="I1012" s="6"/>
      <c r="J1012" s="6"/>
      <c r="K1012" s="7" t="s">
        <v>44</v>
      </c>
      <c r="L1012" s="7" t="s">
        <v>27</v>
      </c>
      <c r="M1012" s="7" t="s">
        <v>15</v>
      </c>
      <c r="N1012" s="7">
        <f>COUNTIFS(A:A,A1012,D:D,D1012,E:E,I1012)</f>
        <v>0</v>
      </c>
    </row>
    <row r="1013" spans="1:14" x14ac:dyDescent="0.3">
      <c r="A1013" s="7" t="s">
        <v>109</v>
      </c>
      <c r="B1013" s="7" t="s">
        <v>110</v>
      </c>
      <c r="C1013" s="7" t="s">
        <v>425</v>
      </c>
      <c r="D1013" s="8">
        <v>45357</v>
      </c>
      <c r="E1013" s="8" t="str">
        <f t="shared" si="59"/>
        <v>March</v>
      </c>
      <c r="F1013">
        <f t="shared" si="60"/>
        <v>2024</v>
      </c>
      <c r="G1013">
        <f t="shared" si="61"/>
        <v>1</v>
      </c>
      <c r="H1013">
        <f t="shared" si="62"/>
        <v>0</v>
      </c>
      <c r="I1013" s="6">
        <v>0.41111111111111109</v>
      </c>
      <c r="J1013" s="6">
        <v>0.69861111111111107</v>
      </c>
      <c r="K1013" s="7" t="s">
        <v>20</v>
      </c>
      <c r="L1013" s="7" t="s">
        <v>27</v>
      </c>
      <c r="M1013" s="7" t="s">
        <v>21</v>
      </c>
      <c r="N1013" s="7">
        <f>COUNTIFS(A:A,A1013,D:D,D1013,E:E,I1013)</f>
        <v>0</v>
      </c>
    </row>
    <row r="1014" spans="1:14" x14ac:dyDescent="0.3">
      <c r="A1014" s="7" t="s">
        <v>224</v>
      </c>
      <c r="B1014" s="7" t="s">
        <v>225</v>
      </c>
      <c r="C1014" s="7" t="s">
        <v>425</v>
      </c>
      <c r="D1014" s="8">
        <v>45538</v>
      </c>
      <c r="E1014" s="8" t="str">
        <f t="shared" si="59"/>
        <v>September</v>
      </c>
      <c r="F1014">
        <f t="shared" si="60"/>
        <v>2024</v>
      </c>
      <c r="G1014">
        <f t="shared" si="61"/>
        <v>1</v>
      </c>
      <c r="H1014">
        <f t="shared" si="62"/>
        <v>1</v>
      </c>
      <c r="I1014" s="6">
        <v>0.33680555555555558</v>
      </c>
      <c r="J1014" s="6">
        <v>0.71180555555555558</v>
      </c>
      <c r="K1014" s="7" t="s">
        <v>26</v>
      </c>
      <c r="L1014" s="7" t="s">
        <v>14</v>
      </c>
      <c r="M1014" s="7" t="s">
        <v>21</v>
      </c>
      <c r="N1014" s="7">
        <f>COUNTIFS(A:A,A1014,D:D,D1014,E:E,I1014)</f>
        <v>0</v>
      </c>
    </row>
    <row r="1015" spans="1:14" x14ac:dyDescent="0.3">
      <c r="A1015" s="7" t="s">
        <v>62</v>
      </c>
      <c r="B1015" s="7" t="s">
        <v>63</v>
      </c>
      <c r="C1015" s="7" t="s">
        <v>64</v>
      </c>
      <c r="D1015" s="8">
        <v>45372</v>
      </c>
      <c r="E1015" s="8" t="str">
        <f t="shared" si="59"/>
        <v>March</v>
      </c>
      <c r="F1015">
        <f t="shared" si="60"/>
        <v>2024</v>
      </c>
      <c r="G1015">
        <f t="shared" si="61"/>
        <v>1</v>
      </c>
      <c r="H1015">
        <f t="shared" si="62"/>
        <v>0</v>
      </c>
      <c r="I1015" s="6">
        <v>0.41944444444444445</v>
      </c>
      <c r="J1015" s="6">
        <v>0.70625000000000004</v>
      </c>
      <c r="K1015" s="7" t="s">
        <v>20</v>
      </c>
      <c r="L1015" s="7" t="s">
        <v>27</v>
      </c>
      <c r="M1015" s="7" t="s">
        <v>21</v>
      </c>
      <c r="N1015" s="7">
        <f>COUNTIFS(A:A,A1015,D:D,D1015,E:E,I1015)</f>
        <v>0</v>
      </c>
    </row>
    <row r="1016" spans="1:14" x14ac:dyDescent="0.3">
      <c r="A1016" s="7" t="s">
        <v>62</v>
      </c>
      <c r="B1016" s="7" t="s">
        <v>63</v>
      </c>
      <c r="C1016" s="7" t="s">
        <v>64</v>
      </c>
      <c r="D1016" s="8">
        <v>45323</v>
      </c>
      <c r="E1016" s="8" t="str">
        <f t="shared" si="59"/>
        <v>February</v>
      </c>
      <c r="F1016">
        <f t="shared" si="60"/>
        <v>2024</v>
      </c>
      <c r="G1016">
        <f t="shared" si="61"/>
        <v>1</v>
      </c>
      <c r="H1016">
        <f t="shared" si="62"/>
        <v>0</v>
      </c>
      <c r="I1016" s="6">
        <v>0.38055555555555554</v>
      </c>
      <c r="J1016" s="6">
        <v>0.74583333333333335</v>
      </c>
      <c r="K1016" s="7" t="s">
        <v>13</v>
      </c>
      <c r="L1016" s="7" t="s">
        <v>27</v>
      </c>
      <c r="M1016" s="7" t="s">
        <v>21</v>
      </c>
      <c r="N1016" s="7">
        <f>COUNTIFS(A:A,A1016,D:D,D1016,E:E,I1016)</f>
        <v>0</v>
      </c>
    </row>
    <row r="1017" spans="1:14" x14ac:dyDescent="0.3">
      <c r="A1017" s="7" t="s">
        <v>9</v>
      </c>
      <c r="B1017" s="7" t="s">
        <v>10</v>
      </c>
      <c r="C1017" s="7" t="s">
        <v>425</v>
      </c>
      <c r="D1017" s="8">
        <v>45344</v>
      </c>
      <c r="E1017" s="8" t="str">
        <f t="shared" si="59"/>
        <v>February</v>
      </c>
      <c r="F1017">
        <f t="shared" si="60"/>
        <v>2024</v>
      </c>
      <c r="G1017">
        <f t="shared" si="61"/>
        <v>1</v>
      </c>
      <c r="H1017">
        <f t="shared" si="62"/>
        <v>0</v>
      </c>
      <c r="I1017" s="6">
        <v>0.46319444444444446</v>
      </c>
      <c r="J1017" s="6">
        <v>0.79652777777777772</v>
      </c>
      <c r="K1017" s="7" t="s">
        <v>13</v>
      </c>
      <c r="L1017" s="7" t="s">
        <v>14</v>
      </c>
      <c r="M1017" s="7" t="s">
        <v>15</v>
      </c>
      <c r="N1017" s="7">
        <f>COUNTIFS(A:A,A1017,D:D,D1017,E:E,I1017)</f>
        <v>0</v>
      </c>
    </row>
    <row r="1018" spans="1:14" x14ac:dyDescent="0.3">
      <c r="A1018" s="7" t="s">
        <v>154</v>
      </c>
      <c r="B1018" s="7" t="s">
        <v>155</v>
      </c>
      <c r="C1018" s="7" t="s">
        <v>60</v>
      </c>
      <c r="D1018" s="8">
        <v>45378</v>
      </c>
      <c r="E1018" s="8" t="str">
        <f t="shared" si="59"/>
        <v>March</v>
      </c>
      <c r="F1018">
        <f t="shared" si="60"/>
        <v>2024</v>
      </c>
      <c r="G1018">
        <f t="shared" si="61"/>
        <v>1</v>
      </c>
      <c r="H1018">
        <f t="shared" si="62"/>
        <v>1</v>
      </c>
      <c r="I1018" s="6">
        <v>0.35833333333333334</v>
      </c>
      <c r="J1018" s="6">
        <v>0.83125000000000004</v>
      </c>
      <c r="K1018" s="7" t="s">
        <v>26</v>
      </c>
      <c r="L1018" s="7" t="s">
        <v>27</v>
      </c>
      <c r="M1018" s="7" t="s">
        <v>15</v>
      </c>
      <c r="N1018" s="7">
        <f>COUNTIFS(A:A,A1018,D:D,D1018,E:E,I1018)</f>
        <v>0</v>
      </c>
    </row>
    <row r="1019" spans="1:14" x14ac:dyDescent="0.3">
      <c r="A1019" s="7" t="s">
        <v>78</v>
      </c>
      <c r="B1019" s="7" t="s">
        <v>79</v>
      </c>
      <c r="C1019" s="7" t="s">
        <v>64</v>
      </c>
      <c r="D1019" s="8">
        <v>45373</v>
      </c>
      <c r="E1019" s="8" t="str">
        <f t="shared" si="59"/>
        <v>March</v>
      </c>
      <c r="F1019">
        <f t="shared" si="60"/>
        <v>2024</v>
      </c>
      <c r="G1019">
        <f t="shared" si="61"/>
        <v>1</v>
      </c>
      <c r="H1019">
        <f t="shared" si="62"/>
        <v>0</v>
      </c>
      <c r="I1019" s="6">
        <v>0.3840277777777778</v>
      </c>
      <c r="J1019" s="6">
        <v>0.81944444444444442</v>
      </c>
      <c r="K1019" s="7" t="s">
        <v>13</v>
      </c>
      <c r="L1019" s="7" t="s">
        <v>27</v>
      </c>
      <c r="M1019" s="7" t="s">
        <v>21</v>
      </c>
      <c r="N1019" s="7">
        <f>COUNTIFS(A:A,A1019,D:D,D1019,E:E,I1019)</f>
        <v>0</v>
      </c>
    </row>
    <row r="1020" spans="1:14" x14ac:dyDescent="0.3">
      <c r="A1020" s="7" t="s">
        <v>224</v>
      </c>
      <c r="B1020" s="7" t="s">
        <v>225</v>
      </c>
      <c r="C1020" s="7" t="s">
        <v>64</v>
      </c>
      <c r="D1020" s="8">
        <v>45354</v>
      </c>
      <c r="E1020" s="8" t="str">
        <f t="shared" si="59"/>
        <v>March</v>
      </c>
      <c r="F1020">
        <f t="shared" si="60"/>
        <v>2024</v>
      </c>
      <c r="G1020">
        <f t="shared" si="61"/>
        <v>0</v>
      </c>
      <c r="H1020">
        <f t="shared" si="62"/>
        <v>0</v>
      </c>
      <c r="I1020" s="6"/>
      <c r="J1020" s="6"/>
      <c r="K1020" s="7" t="s">
        <v>44</v>
      </c>
      <c r="L1020" s="7" t="s">
        <v>27</v>
      </c>
      <c r="M1020" s="7" t="s">
        <v>15</v>
      </c>
      <c r="N1020" s="7">
        <f>COUNTIFS(A:A,A1020,D:D,D1020,E:E,I1020)</f>
        <v>0</v>
      </c>
    </row>
    <row r="1021" spans="1:14" x14ac:dyDescent="0.3">
      <c r="A1021" s="7" t="s">
        <v>37</v>
      </c>
      <c r="B1021" s="7" t="s">
        <v>38</v>
      </c>
      <c r="C1021" s="7" t="s">
        <v>60</v>
      </c>
      <c r="D1021" s="8">
        <v>45292</v>
      </c>
      <c r="E1021" s="8" t="str">
        <f t="shared" si="59"/>
        <v>January</v>
      </c>
      <c r="F1021">
        <f t="shared" si="60"/>
        <v>2024</v>
      </c>
      <c r="G1021">
        <f t="shared" si="61"/>
        <v>1</v>
      </c>
      <c r="H1021">
        <f t="shared" si="62"/>
        <v>0</v>
      </c>
      <c r="I1021" s="6">
        <v>0.46319444444444446</v>
      </c>
      <c r="J1021" s="6">
        <v>0.78055555555555556</v>
      </c>
      <c r="K1021" s="7" t="s">
        <v>13</v>
      </c>
      <c r="L1021" s="7" t="s">
        <v>27</v>
      </c>
      <c r="M1021" s="7" t="s">
        <v>15</v>
      </c>
      <c r="N1021" s="7">
        <f>COUNTIFS(A:A,A1021,D:D,D1021,E:E,I1021)</f>
        <v>0</v>
      </c>
    </row>
    <row r="1022" spans="1:14" x14ac:dyDescent="0.3">
      <c r="A1022" s="7" t="s">
        <v>291</v>
      </c>
      <c r="B1022" s="7" t="s">
        <v>292</v>
      </c>
      <c r="C1022" s="7" t="s">
        <v>425</v>
      </c>
      <c r="D1022" s="8">
        <v>45332</v>
      </c>
      <c r="E1022" s="8" t="str">
        <f t="shared" si="59"/>
        <v>February</v>
      </c>
      <c r="F1022">
        <f t="shared" si="60"/>
        <v>2024</v>
      </c>
      <c r="G1022">
        <f t="shared" si="61"/>
        <v>1</v>
      </c>
      <c r="H1022">
        <f t="shared" si="62"/>
        <v>1</v>
      </c>
      <c r="I1022" s="6">
        <v>0.45833333333333331</v>
      </c>
      <c r="J1022" s="6">
        <v>0.68888888888888888</v>
      </c>
      <c r="K1022" s="7" t="s">
        <v>26</v>
      </c>
      <c r="L1022" s="7" t="s">
        <v>14</v>
      </c>
      <c r="M1022" s="7" t="s">
        <v>21</v>
      </c>
      <c r="N1022" s="7">
        <f>COUNTIFS(A:A,A1022,D:D,D1022,E:E,I1022)</f>
        <v>0</v>
      </c>
    </row>
    <row r="1023" spans="1:14" x14ac:dyDescent="0.3">
      <c r="A1023" s="7" t="s">
        <v>362</v>
      </c>
      <c r="B1023" s="7" t="s">
        <v>363</v>
      </c>
      <c r="C1023" s="7" t="s">
        <v>425</v>
      </c>
      <c r="D1023" s="8">
        <v>45295</v>
      </c>
      <c r="E1023" s="8" t="str">
        <f t="shared" si="59"/>
        <v>January</v>
      </c>
      <c r="F1023">
        <f t="shared" si="60"/>
        <v>2024</v>
      </c>
      <c r="G1023">
        <f t="shared" si="61"/>
        <v>0</v>
      </c>
      <c r="H1023">
        <f t="shared" si="62"/>
        <v>0</v>
      </c>
      <c r="I1023" s="6"/>
      <c r="J1023" s="6"/>
      <c r="K1023" s="7" t="s">
        <v>44</v>
      </c>
      <c r="L1023" s="7" t="s">
        <v>27</v>
      </c>
      <c r="M1023" s="7" t="s">
        <v>21</v>
      </c>
      <c r="N1023" s="7">
        <f>COUNTIFS(A:A,A1023,D:D,D1023,E:E,I1023)</f>
        <v>0</v>
      </c>
    </row>
    <row r="1024" spans="1:14" x14ac:dyDescent="0.3">
      <c r="A1024" s="7" t="s">
        <v>362</v>
      </c>
      <c r="B1024" s="7" t="s">
        <v>363</v>
      </c>
      <c r="C1024" s="7" t="s">
        <v>425</v>
      </c>
      <c r="D1024" s="8">
        <v>45320</v>
      </c>
      <c r="E1024" s="8" t="str">
        <f t="shared" si="59"/>
        <v>January</v>
      </c>
      <c r="F1024">
        <f t="shared" si="60"/>
        <v>2024</v>
      </c>
      <c r="G1024">
        <f t="shared" si="61"/>
        <v>0</v>
      </c>
      <c r="H1024">
        <f t="shared" si="62"/>
        <v>0</v>
      </c>
      <c r="I1024" s="6"/>
      <c r="J1024" s="6"/>
      <c r="K1024" s="7" t="s">
        <v>44</v>
      </c>
      <c r="L1024" s="7" t="s">
        <v>14</v>
      </c>
      <c r="M1024" s="7" t="s">
        <v>15</v>
      </c>
      <c r="N1024" s="7">
        <f>COUNTIFS(A:A,A1024,D:D,D1024,E:E,I1024)</f>
        <v>0</v>
      </c>
    </row>
    <row r="1025" spans="1:14" x14ac:dyDescent="0.3">
      <c r="A1025" s="7" t="s">
        <v>157</v>
      </c>
      <c r="B1025" s="7" t="s">
        <v>158</v>
      </c>
      <c r="C1025" s="7" t="s">
        <v>425</v>
      </c>
      <c r="D1025" s="8">
        <v>45507</v>
      </c>
      <c r="E1025" s="8" t="str">
        <f t="shared" si="59"/>
        <v>August</v>
      </c>
      <c r="F1025">
        <f t="shared" si="60"/>
        <v>2024</v>
      </c>
      <c r="G1025">
        <f t="shared" si="61"/>
        <v>0</v>
      </c>
      <c r="H1025">
        <f t="shared" si="62"/>
        <v>0</v>
      </c>
      <c r="I1025" s="6"/>
      <c r="J1025" s="6"/>
      <c r="K1025" s="7" t="s">
        <v>44</v>
      </c>
      <c r="L1025" s="7" t="s">
        <v>14</v>
      </c>
      <c r="M1025" s="7" t="s">
        <v>21</v>
      </c>
      <c r="N1025" s="7">
        <f>COUNTIFS(A:A,A1025,D:D,D1025,E:E,I1025)</f>
        <v>0</v>
      </c>
    </row>
    <row r="1026" spans="1:14" x14ac:dyDescent="0.3">
      <c r="A1026" s="7" t="s">
        <v>191</v>
      </c>
      <c r="B1026" s="7" t="s">
        <v>192</v>
      </c>
      <c r="C1026" s="7" t="s">
        <v>64</v>
      </c>
      <c r="D1026" s="8">
        <v>45376</v>
      </c>
      <c r="E1026" s="8" t="str">
        <f t="shared" ref="E1026:E1089" si="63">TEXT(D1026,"mmmm")</f>
        <v>March</v>
      </c>
      <c r="F1026">
        <f t="shared" ref="F1026:F1089" si="64">YEAR(D1026)</f>
        <v>2024</v>
      </c>
      <c r="G1026">
        <f t="shared" ref="G1026:G1089" si="65">IF(LOWER(K1026)="absent",0,1)</f>
        <v>1</v>
      </c>
      <c r="H1026">
        <f t="shared" ref="H1026:H1089" si="66">IF(K1026="Late",1,0)</f>
        <v>0</v>
      </c>
      <c r="I1026" s="6">
        <v>0.41388888888888886</v>
      </c>
      <c r="J1026" s="6">
        <v>0.86111111111111116</v>
      </c>
      <c r="K1026" s="7" t="s">
        <v>20</v>
      </c>
      <c r="L1026" s="7" t="s">
        <v>27</v>
      </c>
      <c r="M1026" s="7" t="s">
        <v>15</v>
      </c>
      <c r="N1026" s="7">
        <f>COUNTIFS(A:A,A1026,D:D,D1026,E:E,I1026)</f>
        <v>0</v>
      </c>
    </row>
    <row r="1027" spans="1:14" x14ac:dyDescent="0.3">
      <c r="A1027" s="7" t="s">
        <v>224</v>
      </c>
      <c r="B1027" s="7" t="s">
        <v>225</v>
      </c>
      <c r="C1027" s="7" t="s">
        <v>42</v>
      </c>
      <c r="D1027" s="8">
        <v>45536</v>
      </c>
      <c r="E1027" s="8" t="str">
        <f t="shared" si="63"/>
        <v>September</v>
      </c>
      <c r="F1027">
        <f t="shared" si="64"/>
        <v>2024</v>
      </c>
      <c r="G1027">
        <f t="shared" si="65"/>
        <v>1</v>
      </c>
      <c r="H1027">
        <f t="shared" si="66"/>
        <v>1</v>
      </c>
      <c r="I1027" s="6">
        <v>0.42708333333333331</v>
      </c>
      <c r="J1027" s="6">
        <v>0.80625000000000002</v>
      </c>
      <c r="K1027" s="7" t="s">
        <v>26</v>
      </c>
      <c r="L1027" s="7" t="s">
        <v>14</v>
      </c>
      <c r="M1027" s="7" t="s">
        <v>15</v>
      </c>
      <c r="N1027" s="7">
        <f>COUNTIFS(A:A,A1027,D:D,D1027,E:E,I1027)</f>
        <v>0</v>
      </c>
    </row>
    <row r="1028" spans="1:14" x14ac:dyDescent="0.3">
      <c r="A1028" s="7" t="s">
        <v>69</v>
      </c>
      <c r="B1028" s="7" t="s">
        <v>70</v>
      </c>
      <c r="C1028" s="7" t="s">
        <v>64</v>
      </c>
      <c r="D1028" s="8">
        <v>45368</v>
      </c>
      <c r="E1028" s="8" t="str">
        <f t="shared" si="63"/>
        <v>March</v>
      </c>
      <c r="F1028">
        <f t="shared" si="64"/>
        <v>2024</v>
      </c>
      <c r="G1028">
        <f t="shared" si="65"/>
        <v>1</v>
      </c>
      <c r="H1028">
        <f t="shared" si="66"/>
        <v>1</v>
      </c>
      <c r="I1028" s="6">
        <v>0.45763888888888887</v>
      </c>
      <c r="J1028" s="6">
        <v>0.68819444444444444</v>
      </c>
      <c r="K1028" s="7" t="s">
        <v>26</v>
      </c>
      <c r="L1028" s="7" t="s">
        <v>27</v>
      </c>
      <c r="M1028" s="7" t="s">
        <v>15</v>
      </c>
      <c r="N1028" s="7">
        <f>COUNTIFS(A:A,A1028,D:D,D1028,E:E,I1028)</f>
        <v>0</v>
      </c>
    </row>
    <row r="1029" spans="1:14" x14ac:dyDescent="0.3">
      <c r="A1029" s="7" t="s">
        <v>246</v>
      </c>
      <c r="B1029" s="7" t="s">
        <v>247</v>
      </c>
      <c r="C1029" s="7" t="s">
        <v>60</v>
      </c>
      <c r="D1029" s="8">
        <v>45310</v>
      </c>
      <c r="E1029" s="8" t="str">
        <f t="shared" si="63"/>
        <v>January</v>
      </c>
      <c r="F1029">
        <f t="shared" si="64"/>
        <v>2024</v>
      </c>
      <c r="G1029">
        <f t="shared" si="65"/>
        <v>1</v>
      </c>
      <c r="H1029">
        <f t="shared" si="66"/>
        <v>0</v>
      </c>
      <c r="I1029" s="6">
        <v>0.34583333333333333</v>
      </c>
      <c r="J1029" s="6">
        <v>0.80486111111111114</v>
      </c>
      <c r="K1029" s="7" t="s">
        <v>13</v>
      </c>
      <c r="L1029" s="7" t="s">
        <v>27</v>
      </c>
      <c r="M1029" s="7" t="s">
        <v>15</v>
      </c>
      <c r="N1029" s="7">
        <f>COUNTIFS(A:A,A1029,D:D,D1029,E:E,I1029)</f>
        <v>0</v>
      </c>
    </row>
    <row r="1030" spans="1:14" x14ac:dyDescent="0.3">
      <c r="A1030" s="7" t="s">
        <v>154</v>
      </c>
      <c r="B1030" s="7" t="s">
        <v>155</v>
      </c>
      <c r="C1030" s="7" t="s">
        <v>425</v>
      </c>
      <c r="D1030" s="8">
        <v>45324</v>
      </c>
      <c r="E1030" s="8" t="str">
        <f t="shared" si="63"/>
        <v>February</v>
      </c>
      <c r="F1030">
        <f t="shared" si="64"/>
        <v>2024</v>
      </c>
      <c r="G1030">
        <f t="shared" si="65"/>
        <v>1</v>
      </c>
      <c r="H1030">
        <f t="shared" si="66"/>
        <v>0</v>
      </c>
      <c r="I1030" s="6">
        <v>0.47916666666666669</v>
      </c>
      <c r="J1030" s="6">
        <v>0.8569444444444444</v>
      </c>
      <c r="K1030" s="7" t="s">
        <v>20</v>
      </c>
      <c r="L1030" s="7" t="s">
        <v>14</v>
      </c>
      <c r="M1030" s="7" t="s">
        <v>21</v>
      </c>
      <c r="N1030" s="7">
        <f>COUNTIFS(A:A,A1030,D:D,D1030,E:E,I1030)</f>
        <v>0</v>
      </c>
    </row>
    <row r="1031" spans="1:14" x14ac:dyDescent="0.3">
      <c r="A1031" s="7" t="s">
        <v>72</v>
      </c>
      <c r="B1031" s="7" t="s">
        <v>73</v>
      </c>
      <c r="C1031" s="7" t="s">
        <v>60</v>
      </c>
      <c r="D1031" s="8">
        <v>45347</v>
      </c>
      <c r="E1031" s="8" t="str">
        <f t="shared" si="63"/>
        <v>February</v>
      </c>
      <c r="F1031">
        <f t="shared" si="64"/>
        <v>2024</v>
      </c>
      <c r="G1031">
        <f t="shared" si="65"/>
        <v>1</v>
      </c>
      <c r="H1031">
        <f t="shared" si="66"/>
        <v>1</v>
      </c>
      <c r="I1031" s="6">
        <v>0.46250000000000002</v>
      </c>
      <c r="J1031" s="6">
        <v>0.69513888888888886</v>
      </c>
      <c r="K1031" s="7" t="s">
        <v>26</v>
      </c>
      <c r="L1031" s="7" t="s">
        <v>27</v>
      </c>
      <c r="M1031" s="7" t="s">
        <v>15</v>
      </c>
      <c r="N1031" s="7">
        <f>COUNTIFS(A:A,A1031,D:D,D1031,E:E,I1031)</f>
        <v>0</v>
      </c>
    </row>
    <row r="1032" spans="1:14" x14ac:dyDescent="0.3">
      <c r="A1032" s="7" t="s">
        <v>250</v>
      </c>
      <c r="B1032" s="7" t="s">
        <v>251</v>
      </c>
      <c r="C1032" s="7" t="s">
        <v>64</v>
      </c>
      <c r="D1032" s="8">
        <v>45345</v>
      </c>
      <c r="E1032" s="8" t="str">
        <f t="shared" si="63"/>
        <v>February</v>
      </c>
      <c r="F1032">
        <f t="shared" si="64"/>
        <v>2024</v>
      </c>
      <c r="G1032">
        <f t="shared" si="65"/>
        <v>1</v>
      </c>
      <c r="H1032">
        <f t="shared" si="66"/>
        <v>0</v>
      </c>
      <c r="I1032" s="6">
        <v>0.34861111111111109</v>
      </c>
      <c r="J1032" s="6">
        <v>0.75069444444444444</v>
      </c>
      <c r="K1032" s="7" t="s">
        <v>20</v>
      </c>
      <c r="L1032" s="7" t="s">
        <v>14</v>
      </c>
      <c r="M1032" s="7" t="s">
        <v>21</v>
      </c>
      <c r="N1032" s="7">
        <f>COUNTIFS(A:A,A1032,D:D,D1032,E:E,I1032)</f>
        <v>0</v>
      </c>
    </row>
    <row r="1033" spans="1:14" x14ac:dyDescent="0.3">
      <c r="A1033" s="7" t="s">
        <v>213</v>
      </c>
      <c r="B1033" s="7" t="s">
        <v>214</v>
      </c>
      <c r="C1033" s="7" t="s">
        <v>64</v>
      </c>
      <c r="D1033" s="8">
        <v>45314</v>
      </c>
      <c r="E1033" s="8" t="str">
        <f t="shared" si="63"/>
        <v>January</v>
      </c>
      <c r="F1033">
        <f t="shared" si="64"/>
        <v>2024</v>
      </c>
      <c r="G1033">
        <f t="shared" si="65"/>
        <v>1</v>
      </c>
      <c r="H1033">
        <f t="shared" si="66"/>
        <v>1</v>
      </c>
      <c r="I1033" s="6">
        <v>0.37916666666666665</v>
      </c>
      <c r="J1033" s="6">
        <v>0.81319444444444444</v>
      </c>
      <c r="K1033" s="7" t="s">
        <v>26</v>
      </c>
      <c r="L1033" s="7" t="s">
        <v>14</v>
      </c>
      <c r="M1033" s="7" t="s">
        <v>15</v>
      </c>
      <c r="N1033" s="7">
        <f>COUNTIFS(A:A,A1033,D:D,D1033,E:E,I1033)</f>
        <v>0</v>
      </c>
    </row>
    <row r="1034" spans="1:14" x14ac:dyDescent="0.3">
      <c r="A1034" s="7" t="s">
        <v>269</v>
      </c>
      <c r="B1034" s="7" t="s">
        <v>270</v>
      </c>
      <c r="C1034" s="7" t="s">
        <v>42</v>
      </c>
      <c r="D1034" s="8">
        <v>45304</v>
      </c>
      <c r="E1034" s="8" t="str">
        <f t="shared" si="63"/>
        <v>January</v>
      </c>
      <c r="F1034">
        <f t="shared" si="64"/>
        <v>2024</v>
      </c>
      <c r="G1034">
        <f t="shared" si="65"/>
        <v>1</v>
      </c>
      <c r="H1034">
        <f t="shared" si="66"/>
        <v>1</v>
      </c>
      <c r="I1034" s="6">
        <v>0.37291666666666667</v>
      </c>
      <c r="J1034" s="6">
        <v>0.77986111111111112</v>
      </c>
      <c r="K1034" s="7" t="s">
        <v>26</v>
      </c>
      <c r="L1034" s="7" t="s">
        <v>27</v>
      </c>
      <c r="M1034" s="7" t="s">
        <v>15</v>
      </c>
      <c r="N1034" s="7">
        <f>COUNTIFS(A:A,A1034,D:D,D1034,E:E,I1034)</f>
        <v>0</v>
      </c>
    </row>
    <row r="1035" spans="1:14" x14ac:dyDescent="0.3">
      <c r="A1035" s="7" t="s">
        <v>9</v>
      </c>
      <c r="B1035" s="7" t="s">
        <v>10</v>
      </c>
      <c r="C1035" s="7" t="s">
        <v>426</v>
      </c>
      <c r="D1035" s="8">
        <v>45318</v>
      </c>
      <c r="E1035" s="8" t="str">
        <f t="shared" si="63"/>
        <v>January</v>
      </c>
      <c r="F1035">
        <f t="shared" si="64"/>
        <v>2024</v>
      </c>
      <c r="G1035">
        <f t="shared" si="65"/>
        <v>1</v>
      </c>
      <c r="H1035">
        <f t="shared" si="66"/>
        <v>0</v>
      </c>
      <c r="I1035" s="6">
        <v>0.34305555555555556</v>
      </c>
      <c r="J1035" s="6">
        <v>0.82361111111111107</v>
      </c>
      <c r="K1035" s="7" t="s">
        <v>13</v>
      </c>
      <c r="L1035" s="7" t="s">
        <v>27</v>
      </c>
      <c r="M1035" s="7" t="s">
        <v>15</v>
      </c>
      <c r="N1035" s="7">
        <f>COUNTIFS(A:A,A1035,D:D,D1035,E:E,I1035)</f>
        <v>0</v>
      </c>
    </row>
    <row r="1036" spans="1:14" x14ac:dyDescent="0.3">
      <c r="A1036" s="7" t="s">
        <v>84</v>
      </c>
      <c r="B1036" s="7" t="s">
        <v>85</v>
      </c>
      <c r="C1036" s="7" t="s">
        <v>64</v>
      </c>
      <c r="D1036" s="8">
        <v>45322</v>
      </c>
      <c r="E1036" s="8" t="str">
        <f t="shared" si="63"/>
        <v>January</v>
      </c>
      <c r="F1036">
        <f t="shared" si="64"/>
        <v>2024</v>
      </c>
      <c r="G1036">
        <f t="shared" si="65"/>
        <v>1</v>
      </c>
      <c r="H1036">
        <f t="shared" si="66"/>
        <v>0</v>
      </c>
      <c r="I1036" s="6">
        <v>0.4597222222222222</v>
      </c>
      <c r="J1036" s="6">
        <v>0.75208333333333333</v>
      </c>
      <c r="K1036" s="7" t="s">
        <v>13</v>
      </c>
      <c r="L1036" s="7" t="s">
        <v>14</v>
      </c>
      <c r="M1036" s="7" t="s">
        <v>21</v>
      </c>
      <c r="N1036" s="7">
        <f>COUNTIFS(A:A,A1036,D:D,D1036,E:E,I1036)</f>
        <v>0</v>
      </c>
    </row>
    <row r="1037" spans="1:14" x14ac:dyDescent="0.3">
      <c r="A1037" s="7" t="s">
        <v>236</v>
      </c>
      <c r="B1037" s="7" t="s">
        <v>237</v>
      </c>
      <c r="C1037" s="7" t="s">
        <v>425</v>
      </c>
      <c r="D1037" s="8">
        <v>45505</v>
      </c>
      <c r="E1037" s="8" t="str">
        <f t="shared" si="63"/>
        <v>August</v>
      </c>
      <c r="F1037">
        <f t="shared" si="64"/>
        <v>2024</v>
      </c>
      <c r="G1037">
        <f t="shared" si="65"/>
        <v>0</v>
      </c>
      <c r="H1037">
        <f t="shared" si="66"/>
        <v>0</v>
      </c>
      <c r="I1037" s="6"/>
      <c r="J1037" s="6"/>
      <c r="K1037" s="7" t="s">
        <v>44</v>
      </c>
      <c r="L1037" s="7" t="s">
        <v>14</v>
      </c>
      <c r="M1037" s="7" t="s">
        <v>15</v>
      </c>
      <c r="N1037" s="7">
        <f>COUNTIFS(A:A,A1037,D:D,D1037,E:E,I1037)</f>
        <v>0</v>
      </c>
    </row>
    <row r="1038" spans="1:14" x14ac:dyDescent="0.3">
      <c r="A1038" s="7" t="s">
        <v>134</v>
      </c>
      <c r="B1038" s="7" t="s">
        <v>135</v>
      </c>
      <c r="C1038" s="7" t="s">
        <v>60</v>
      </c>
      <c r="D1038" s="8">
        <v>45475</v>
      </c>
      <c r="E1038" s="8" t="str">
        <f t="shared" si="63"/>
        <v>July</v>
      </c>
      <c r="F1038">
        <f t="shared" si="64"/>
        <v>2024</v>
      </c>
      <c r="G1038">
        <f t="shared" si="65"/>
        <v>1</v>
      </c>
      <c r="H1038">
        <f t="shared" si="66"/>
        <v>0</v>
      </c>
      <c r="I1038" s="6">
        <v>0.44236111111111109</v>
      </c>
      <c r="J1038" s="6">
        <v>0.69444444444444442</v>
      </c>
      <c r="K1038" s="7" t="s">
        <v>13</v>
      </c>
      <c r="L1038" s="7" t="s">
        <v>27</v>
      </c>
      <c r="M1038" s="7" t="s">
        <v>21</v>
      </c>
      <c r="N1038" s="7">
        <f>COUNTIFS(A:A,A1038,D:D,D1038,E:E,I1038)</f>
        <v>0</v>
      </c>
    </row>
    <row r="1039" spans="1:14" x14ac:dyDescent="0.3">
      <c r="A1039" s="7" t="s">
        <v>37</v>
      </c>
      <c r="B1039" s="7" t="s">
        <v>38</v>
      </c>
      <c r="C1039" s="7" t="s">
        <v>64</v>
      </c>
      <c r="D1039" s="8">
        <v>45566</v>
      </c>
      <c r="E1039" s="8" t="str">
        <f t="shared" si="63"/>
        <v>October</v>
      </c>
      <c r="F1039">
        <f t="shared" si="64"/>
        <v>2024</v>
      </c>
      <c r="G1039">
        <f t="shared" si="65"/>
        <v>1</v>
      </c>
      <c r="H1039">
        <f t="shared" si="66"/>
        <v>0</v>
      </c>
      <c r="I1039" s="6">
        <v>0.34861111111111109</v>
      </c>
      <c r="J1039" s="6">
        <v>0.71805555555555556</v>
      </c>
      <c r="K1039" s="7" t="s">
        <v>13</v>
      </c>
      <c r="L1039" s="7" t="s">
        <v>14</v>
      </c>
      <c r="M1039" s="7" t="s">
        <v>21</v>
      </c>
      <c r="N1039" s="7">
        <f>COUNTIFS(A:A,A1039,D:D,D1039,E:E,I1039)</f>
        <v>0</v>
      </c>
    </row>
    <row r="1040" spans="1:14" x14ac:dyDescent="0.3">
      <c r="A1040" s="7" t="s">
        <v>109</v>
      </c>
      <c r="B1040" s="7" t="s">
        <v>110</v>
      </c>
      <c r="C1040" s="7" t="s">
        <v>425</v>
      </c>
      <c r="D1040" s="8">
        <v>45384</v>
      </c>
      <c r="E1040" s="8" t="str">
        <f t="shared" si="63"/>
        <v>April</v>
      </c>
      <c r="F1040">
        <f t="shared" si="64"/>
        <v>2024</v>
      </c>
      <c r="G1040">
        <f t="shared" si="65"/>
        <v>1</v>
      </c>
      <c r="H1040">
        <f t="shared" si="66"/>
        <v>0</v>
      </c>
      <c r="I1040" s="6">
        <v>0.48958333333333331</v>
      </c>
      <c r="J1040" s="6">
        <v>0.75277777777777777</v>
      </c>
      <c r="K1040" s="7" t="s">
        <v>13</v>
      </c>
      <c r="L1040" s="7" t="s">
        <v>14</v>
      </c>
      <c r="M1040" s="7" t="s">
        <v>15</v>
      </c>
      <c r="N1040" s="7">
        <f>COUNTIFS(A:A,A1040,D:D,D1040,E:E,I1040)</f>
        <v>0</v>
      </c>
    </row>
    <row r="1041" spans="1:14" x14ac:dyDescent="0.3">
      <c r="A1041" s="7" t="s">
        <v>87</v>
      </c>
      <c r="B1041" s="7" t="s">
        <v>88</v>
      </c>
      <c r="C1041" s="7" t="s">
        <v>425</v>
      </c>
      <c r="D1041" s="8">
        <v>45304</v>
      </c>
      <c r="E1041" s="8" t="str">
        <f t="shared" si="63"/>
        <v>January</v>
      </c>
      <c r="F1041">
        <f t="shared" si="64"/>
        <v>2024</v>
      </c>
      <c r="G1041">
        <f t="shared" si="65"/>
        <v>1</v>
      </c>
      <c r="H1041">
        <f t="shared" si="66"/>
        <v>0</v>
      </c>
      <c r="I1041" s="6">
        <v>0.42152777777777778</v>
      </c>
      <c r="J1041" s="6">
        <v>0.68611111111111112</v>
      </c>
      <c r="K1041" s="7" t="s">
        <v>20</v>
      </c>
      <c r="L1041" s="7" t="s">
        <v>14</v>
      </c>
      <c r="M1041" s="7" t="s">
        <v>21</v>
      </c>
      <c r="N1041" s="7">
        <f>COUNTIFS(A:A,A1041,D:D,D1041,E:E,I1041)</f>
        <v>0</v>
      </c>
    </row>
    <row r="1042" spans="1:14" x14ac:dyDescent="0.3">
      <c r="A1042" s="7" t="s">
        <v>236</v>
      </c>
      <c r="B1042" s="7" t="s">
        <v>237</v>
      </c>
      <c r="C1042" s="7" t="s">
        <v>64</v>
      </c>
      <c r="D1042" s="8">
        <v>45312</v>
      </c>
      <c r="E1042" s="8" t="str">
        <f t="shared" si="63"/>
        <v>January</v>
      </c>
      <c r="F1042">
        <f t="shared" si="64"/>
        <v>2024</v>
      </c>
      <c r="G1042">
        <f t="shared" si="65"/>
        <v>1</v>
      </c>
      <c r="H1042">
        <f t="shared" si="66"/>
        <v>0</v>
      </c>
      <c r="I1042" s="6">
        <v>0.4201388888888889</v>
      </c>
      <c r="J1042" s="6">
        <v>0.72916666666666663</v>
      </c>
      <c r="K1042" s="7" t="s">
        <v>20</v>
      </c>
      <c r="L1042" s="7" t="s">
        <v>14</v>
      </c>
      <c r="M1042" s="7" t="s">
        <v>15</v>
      </c>
      <c r="N1042" s="7">
        <f>COUNTIFS(A:A,A1042,D:D,D1042,E:E,I1042)</f>
        <v>0</v>
      </c>
    </row>
    <row r="1043" spans="1:14" x14ac:dyDescent="0.3">
      <c r="A1043" s="7" t="s">
        <v>224</v>
      </c>
      <c r="B1043" s="7" t="s">
        <v>225</v>
      </c>
      <c r="C1043" s="7" t="s">
        <v>425</v>
      </c>
      <c r="D1043" s="8">
        <v>45307</v>
      </c>
      <c r="E1043" s="8" t="str">
        <f t="shared" si="63"/>
        <v>January</v>
      </c>
      <c r="F1043">
        <f t="shared" si="64"/>
        <v>2024</v>
      </c>
      <c r="G1043">
        <f t="shared" si="65"/>
        <v>1</v>
      </c>
      <c r="H1043">
        <f t="shared" si="66"/>
        <v>0</v>
      </c>
      <c r="I1043" s="6">
        <v>0.33888888888888891</v>
      </c>
      <c r="J1043" s="6">
        <v>0.77013888888888893</v>
      </c>
      <c r="K1043" s="7" t="s">
        <v>20</v>
      </c>
      <c r="L1043" s="7" t="s">
        <v>27</v>
      </c>
      <c r="M1043" s="7" t="s">
        <v>21</v>
      </c>
      <c r="N1043" s="7">
        <f>COUNTIFS(A:A,A1043,D:D,D1043,E:E,I1043)</f>
        <v>0</v>
      </c>
    </row>
    <row r="1044" spans="1:14" x14ac:dyDescent="0.3">
      <c r="A1044" s="7" t="s">
        <v>81</v>
      </c>
      <c r="B1044" s="7" t="s">
        <v>82</v>
      </c>
      <c r="C1044" s="7" t="s">
        <v>426</v>
      </c>
      <c r="D1044" s="8">
        <v>45370</v>
      </c>
      <c r="E1044" s="8" t="str">
        <f t="shared" si="63"/>
        <v>March</v>
      </c>
      <c r="F1044">
        <f t="shared" si="64"/>
        <v>2024</v>
      </c>
      <c r="G1044">
        <f t="shared" si="65"/>
        <v>1</v>
      </c>
      <c r="H1044">
        <f t="shared" si="66"/>
        <v>0</v>
      </c>
      <c r="I1044" s="6">
        <v>0.46180555555555558</v>
      </c>
      <c r="J1044" s="6">
        <v>0.77013888888888893</v>
      </c>
      <c r="K1044" s="7" t="s">
        <v>13</v>
      </c>
      <c r="L1044" s="7" t="s">
        <v>27</v>
      </c>
      <c r="M1044" s="7" t="s">
        <v>21</v>
      </c>
      <c r="N1044" s="7">
        <f>COUNTIFS(A:A,A1044,D:D,D1044,E:E,I1044)</f>
        <v>0</v>
      </c>
    </row>
    <row r="1045" spans="1:14" x14ac:dyDescent="0.3">
      <c r="A1045" s="7" t="s">
        <v>119</v>
      </c>
      <c r="B1045" s="7" t="s">
        <v>120</v>
      </c>
      <c r="C1045" s="7" t="s">
        <v>425</v>
      </c>
      <c r="D1045" s="8">
        <v>45324</v>
      </c>
      <c r="E1045" s="8" t="str">
        <f t="shared" si="63"/>
        <v>February</v>
      </c>
      <c r="F1045">
        <f t="shared" si="64"/>
        <v>2024</v>
      </c>
      <c r="G1045">
        <f t="shared" si="65"/>
        <v>1</v>
      </c>
      <c r="H1045">
        <f t="shared" si="66"/>
        <v>0</v>
      </c>
      <c r="I1045" s="6">
        <v>0.44791666666666669</v>
      </c>
      <c r="J1045" s="6">
        <v>0.84305555555555556</v>
      </c>
      <c r="K1045" s="7" t="s">
        <v>20</v>
      </c>
      <c r="L1045" s="7" t="s">
        <v>14</v>
      </c>
      <c r="M1045" s="7" t="s">
        <v>21</v>
      </c>
      <c r="N1045" s="7">
        <f>COUNTIFS(A:A,A1045,D:D,D1045,E:E,I1045)</f>
        <v>0</v>
      </c>
    </row>
    <row r="1046" spans="1:14" x14ac:dyDescent="0.3">
      <c r="A1046" s="7" t="s">
        <v>362</v>
      </c>
      <c r="B1046" s="7" t="s">
        <v>363</v>
      </c>
      <c r="C1046" s="7" t="s">
        <v>425</v>
      </c>
      <c r="D1046" s="8">
        <v>45444</v>
      </c>
      <c r="E1046" s="8" t="str">
        <f t="shared" si="63"/>
        <v>June</v>
      </c>
      <c r="F1046">
        <f t="shared" si="64"/>
        <v>2024</v>
      </c>
      <c r="G1046">
        <f t="shared" si="65"/>
        <v>0</v>
      </c>
      <c r="H1046">
        <f t="shared" si="66"/>
        <v>0</v>
      </c>
      <c r="I1046" s="6"/>
      <c r="J1046" s="6"/>
      <c r="K1046" s="7" t="s">
        <v>44</v>
      </c>
      <c r="L1046" s="7" t="s">
        <v>27</v>
      </c>
      <c r="M1046" s="7" t="s">
        <v>15</v>
      </c>
      <c r="N1046" s="7">
        <f>COUNTIFS(A:A,A1046,D:D,D1046,E:E,I1046)</f>
        <v>0</v>
      </c>
    </row>
    <row r="1047" spans="1:14" x14ac:dyDescent="0.3">
      <c r="A1047" s="7" t="s">
        <v>75</v>
      </c>
      <c r="B1047" s="7" t="s">
        <v>76</v>
      </c>
      <c r="C1047" s="7" t="s">
        <v>64</v>
      </c>
      <c r="D1047" s="8">
        <v>45302</v>
      </c>
      <c r="E1047" s="8" t="str">
        <f t="shared" si="63"/>
        <v>January</v>
      </c>
      <c r="F1047">
        <f t="shared" si="64"/>
        <v>2024</v>
      </c>
      <c r="G1047">
        <f t="shared" si="65"/>
        <v>1</v>
      </c>
      <c r="H1047">
        <f t="shared" si="66"/>
        <v>0</v>
      </c>
      <c r="I1047" s="6">
        <v>0.3527777777777778</v>
      </c>
      <c r="J1047" s="6">
        <v>0.84791666666666665</v>
      </c>
      <c r="K1047" s="7" t="s">
        <v>20</v>
      </c>
      <c r="L1047" s="7" t="s">
        <v>14</v>
      </c>
      <c r="M1047" s="7" t="s">
        <v>21</v>
      </c>
      <c r="N1047" s="7">
        <f>COUNTIFS(A:A,A1047,D:D,D1047,E:E,I1047)</f>
        <v>0</v>
      </c>
    </row>
    <row r="1048" spans="1:14" x14ac:dyDescent="0.3">
      <c r="A1048" s="7" t="s">
        <v>90</v>
      </c>
      <c r="B1048" s="7" t="s">
        <v>91</v>
      </c>
      <c r="C1048" s="7" t="s">
        <v>42</v>
      </c>
      <c r="D1048" s="8">
        <v>45328</v>
      </c>
      <c r="E1048" s="8" t="str">
        <f t="shared" si="63"/>
        <v>February</v>
      </c>
      <c r="F1048">
        <f t="shared" si="64"/>
        <v>2024</v>
      </c>
      <c r="G1048">
        <f t="shared" si="65"/>
        <v>1</v>
      </c>
      <c r="H1048">
        <f t="shared" si="66"/>
        <v>0</v>
      </c>
      <c r="I1048" s="6">
        <v>0.39305555555555555</v>
      </c>
      <c r="J1048" s="6">
        <v>0.70347222222222228</v>
      </c>
      <c r="K1048" s="7" t="s">
        <v>13</v>
      </c>
      <c r="L1048" s="7" t="s">
        <v>27</v>
      </c>
      <c r="M1048" s="7" t="s">
        <v>15</v>
      </c>
      <c r="N1048" s="7">
        <f>COUNTIFS(A:A,A1048,D:D,D1048,E:E,I1048)</f>
        <v>0</v>
      </c>
    </row>
    <row r="1049" spans="1:14" x14ac:dyDescent="0.3">
      <c r="A1049" s="7" t="s">
        <v>213</v>
      </c>
      <c r="B1049" s="7" t="s">
        <v>214</v>
      </c>
      <c r="C1049" s="7" t="s">
        <v>425</v>
      </c>
      <c r="D1049" s="8">
        <v>45310</v>
      </c>
      <c r="E1049" s="8" t="str">
        <f t="shared" si="63"/>
        <v>January</v>
      </c>
      <c r="F1049">
        <f t="shared" si="64"/>
        <v>2024</v>
      </c>
      <c r="G1049">
        <f t="shared" si="65"/>
        <v>1</v>
      </c>
      <c r="H1049">
        <f t="shared" si="66"/>
        <v>0</v>
      </c>
      <c r="I1049" s="6">
        <v>0.47083333333333333</v>
      </c>
      <c r="J1049" s="6">
        <v>0.75763888888888886</v>
      </c>
      <c r="K1049" s="7" t="s">
        <v>13</v>
      </c>
      <c r="L1049" s="7" t="s">
        <v>14</v>
      </c>
      <c r="M1049" s="7" t="s">
        <v>21</v>
      </c>
      <c r="N1049" s="7">
        <f>COUNTIFS(A:A,A1049,D:D,D1049,E:E,I1049)</f>
        <v>0</v>
      </c>
    </row>
    <row r="1050" spans="1:14" x14ac:dyDescent="0.3">
      <c r="A1050" s="7" t="s">
        <v>52</v>
      </c>
      <c r="B1050" s="7" t="s">
        <v>53</v>
      </c>
      <c r="C1050" s="7" t="s">
        <v>426</v>
      </c>
      <c r="D1050" s="8">
        <v>45507</v>
      </c>
      <c r="E1050" s="8" t="str">
        <f t="shared" si="63"/>
        <v>August</v>
      </c>
      <c r="F1050">
        <f t="shared" si="64"/>
        <v>2024</v>
      </c>
      <c r="G1050">
        <f t="shared" si="65"/>
        <v>1</v>
      </c>
      <c r="H1050">
        <f t="shared" si="66"/>
        <v>0</v>
      </c>
      <c r="I1050" s="6">
        <v>0.44097222222222221</v>
      </c>
      <c r="J1050" s="6">
        <v>0.66805555555555551</v>
      </c>
      <c r="K1050" s="7" t="s">
        <v>13</v>
      </c>
      <c r="L1050" s="7" t="s">
        <v>27</v>
      </c>
      <c r="M1050" s="7" t="s">
        <v>15</v>
      </c>
      <c r="N1050" s="7">
        <f>COUNTIFS(A:A,A1050,D:D,D1050,E:E,I1050)</f>
        <v>0</v>
      </c>
    </row>
    <row r="1051" spans="1:14" x14ac:dyDescent="0.3">
      <c r="A1051" s="7" t="s">
        <v>216</v>
      </c>
      <c r="B1051" s="7" t="s">
        <v>217</v>
      </c>
      <c r="C1051" s="7" t="s">
        <v>64</v>
      </c>
      <c r="D1051" s="8">
        <v>45376</v>
      </c>
      <c r="E1051" s="8" t="str">
        <f t="shared" si="63"/>
        <v>March</v>
      </c>
      <c r="F1051">
        <f t="shared" si="64"/>
        <v>2024</v>
      </c>
      <c r="G1051">
        <f t="shared" si="65"/>
        <v>1</v>
      </c>
      <c r="H1051">
        <f t="shared" si="66"/>
        <v>0</v>
      </c>
      <c r="I1051" s="6">
        <v>0.34722222222222221</v>
      </c>
      <c r="J1051" s="6">
        <v>0.83680555555555558</v>
      </c>
      <c r="K1051" s="7" t="s">
        <v>20</v>
      </c>
      <c r="L1051" s="7" t="s">
        <v>14</v>
      </c>
      <c r="M1051" s="7" t="s">
        <v>21</v>
      </c>
      <c r="N1051" s="7">
        <f>COUNTIFS(A:A,A1051,D:D,D1051,E:E,I1051)</f>
        <v>0</v>
      </c>
    </row>
    <row r="1052" spans="1:14" x14ac:dyDescent="0.3">
      <c r="A1052" s="7" t="s">
        <v>81</v>
      </c>
      <c r="B1052" s="7" t="s">
        <v>82</v>
      </c>
      <c r="C1052" s="7" t="s">
        <v>60</v>
      </c>
      <c r="D1052" s="8">
        <v>45352</v>
      </c>
      <c r="E1052" s="8" t="str">
        <f t="shared" si="63"/>
        <v>March</v>
      </c>
      <c r="F1052">
        <f t="shared" si="64"/>
        <v>2024</v>
      </c>
      <c r="G1052">
        <f t="shared" si="65"/>
        <v>0</v>
      </c>
      <c r="H1052">
        <f t="shared" si="66"/>
        <v>0</v>
      </c>
      <c r="I1052" s="6"/>
      <c r="J1052" s="6"/>
      <c r="K1052" s="7" t="s">
        <v>44</v>
      </c>
      <c r="L1052" s="7" t="s">
        <v>27</v>
      </c>
      <c r="M1052" s="7" t="s">
        <v>15</v>
      </c>
      <c r="N1052" s="7">
        <f>COUNTIFS(A:A,A1052,D:D,D1052,E:E,I1052)</f>
        <v>0</v>
      </c>
    </row>
    <row r="1053" spans="1:14" x14ac:dyDescent="0.3">
      <c r="A1053" s="7" t="s">
        <v>138</v>
      </c>
      <c r="B1053" s="7" t="s">
        <v>139</v>
      </c>
      <c r="C1053" s="7" t="s">
        <v>64</v>
      </c>
      <c r="D1053" s="8">
        <v>45320</v>
      </c>
      <c r="E1053" s="8" t="str">
        <f t="shared" si="63"/>
        <v>January</v>
      </c>
      <c r="F1053">
        <f t="shared" si="64"/>
        <v>2024</v>
      </c>
      <c r="G1053">
        <f t="shared" si="65"/>
        <v>0</v>
      </c>
      <c r="H1053">
        <f t="shared" si="66"/>
        <v>0</v>
      </c>
      <c r="I1053" s="6"/>
      <c r="J1053" s="6"/>
      <c r="K1053" s="7" t="s">
        <v>44</v>
      </c>
      <c r="L1053" s="7" t="s">
        <v>14</v>
      </c>
      <c r="M1053" s="7" t="s">
        <v>15</v>
      </c>
      <c r="N1053" s="7">
        <f>COUNTIFS(A:A,A1053,D:D,D1053,E:E,I1053)</f>
        <v>0</v>
      </c>
    </row>
    <row r="1054" spans="1:14" x14ac:dyDescent="0.3">
      <c r="A1054" s="7" t="s">
        <v>40</v>
      </c>
      <c r="B1054" s="7" t="s">
        <v>41</v>
      </c>
      <c r="C1054" s="7" t="s">
        <v>425</v>
      </c>
      <c r="D1054" s="8">
        <v>45365</v>
      </c>
      <c r="E1054" s="8" t="str">
        <f t="shared" si="63"/>
        <v>March</v>
      </c>
      <c r="F1054">
        <f t="shared" si="64"/>
        <v>2024</v>
      </c>
      <c r="G1054">
        <f t="shared" si="65"/>
        <v>1</v>
      </c>
      <c r="H1054">
        <f t="shared" si="66"/>
        <v>0</v>
      </c>
      <c r="I1054" s="6">
        <v>0.38263888888888886</v>
      </c>
      <c r="J1054" s="6">
        <v>0.78541666666666665</v>
      </c>
      <c r="K1054" s="7" t="s">
        <v>20</v>
      </c>
      <c r="L1054" s="7" t="s">
        <v>27</v>
      </c>
      <c r="M1054" s="7" t="s">
        <v>21</v>
      </c>
      <c r="N1054" s="7">
        <f>COUNTIFS(A:A,A1054,D:D,D1054,E:E,I1054)</f>
        <v>0</v>
      </c>
    </row>
    <row r="1055" spans="1:14" x14ac:dyDescent="0.3">
      <c r="A1055" s="7" t="s">
        <v>37</v>
      </c>
      <c r="B1055" s="7" t="s">
        <v>38</v>
      </c>
      <c r="C1055" s="7" t="s">
        <v>425</v>
      </c>
      <c r="D1055" s="8">
        <v>45538</v>
      </c>
      <c r="E1055" s="8" t="str">
        <f t="shared" si="63"/>
        <v>September</v>
      </c>
      <c r="F1055">
        <f t="shared" si="64"/>
        <v>2024</v>
      </c>
      <c r="G1055">
        <f t="shared" si="65"/>
        <v>1</v>
      </c>
      <c r="H1055">
        <f t="shared" si="66"/>
        <v>0</v>
      </c>
      <c r="I1055" s="6">
        <v>0.38263888888888886</v>
      </c>
      <c r="J1055" s="6">
        <v>0.86736111111111114</v>
      </c>
      <c r="K1055" s="7" t="s">
        <v>20</v>
      </c>
      <c r="L1055" s="7" t="s">
        <v>14</v>
      </c>
      <c r="M1055" s="7" t="s">
        <v>15</v>
      </c>
      <c r="N1055" s="7">
        <f>COUNTIFS(A:A,A1055,D:D,D1055,E:E,I1055)</f>
        <v>0</v>
      </c>
    </row>
    <row r="1056" spans="1:14" x14ac:dyDescent="0.3">
      <c r="A1056" s="7" t="s">
        <v>236</v>
      </c>
      <c r="B1056" s="7" t="s">
        <v>237</v>
      </c>
      <c r="C1056" s="7" t="s">
        <v>425</v>
      </c>
      <c r="D1056" s="8">
        <v>45374</v>
      </c>
      <c r="E1056" s="8" t="str">
        <f t="shared" si="63"/>
        <v>March</v>
      </c>
      <c r="F1056">
        <f t="shared" si="64"/>
        <v>2024</v>
      </c>
      <c r="G1056">
        <f t="shared" si="65"/>
        <v>1</v>
      </c>
      <c r="H1056">
        <f t="shared" si="66"/>
        <v>0</v>
      </c>
      <c r="I1056" s="6">
        <v>0.34097222222222223</v>
      </c>
      <c r="J1056" s="6">
        <v>0.83194444444444449</v>
      </c>
      <c r="K1056" s="7" t="s">
        <v>13</v>
      </c>
      <c r="L1056" s="7" t="s">
        <v>27</v>
      </c>
      <c r="M1056" s="7" t="s">
        <v>21</v>
      </c>
      <c r="N1056" s="7">
        <f>COUNTIFS(A:A,A1056,D:D,D1056,E:E,I1056)</f>
        <v>0</v>
      </c>
    </row>
    <row r="1057" spans="1:14" x14ac:dyDescent="0.3">
      <c r="A1057" s="7" t="s">
        <v>250</v>
      </c>
      <c r="B1057" s="7" t="s">
        <v>251</v>
      </c>
      <c r="C1057" s="7" t="s">
        <v>64</v>
      </c>
      <c r="D1057" s="8">
        <v>45380</v>
      </c>
      <c r="E1057" s="8" t="str">
        <f t="shared" si="63"/>
        <v>March</v>
      </c>
      <c r="F1057">
        <f t="shared" si="64"/>
        <v>2024</v>
      </c>
      <c r="G1057">
        <f t="shared" si="65"/>
        <v>0</v>
      </c>
      <c r="H1057">
        <f t="shared" si="66"/>
        <v>0</v>
      </c>
      <c r="I1057" s="6"/>
      <c r="J1057" s="6"/>
      <c r="K1057" s="7" t="s">
        <v>44</v>
      </c>
      <c r="L1057" s="7" t="s">
        <v>27</v>
      </c>
      <c r="M1057" s="7" t="s">
        <v>21</v>
      </c>
      <c r="N1057" s="7">
        <f>COUNTIFS(A:A,A1057,D:D,D1057,E:E,I1057)</f>
        <v>0</v>
      </c>
    </row>
    <row r="1058" spans="1:14" x14ac:dyDescent="0.3">
      <c r="A1058" s="7" t="s">
        <v>58</v>
      </c>
      <c r="B1058" s="7" t="s">
        <v>59</v>
      </c>
      <c r="C1058" s="7" t="s">
        <v>42</v>
      </c>
      <c r="D1058" s="8">
        <v>45375</v>
      </c>
      <c r="E1058" s="8" t="str">
        <f t="shared" si="63"/>
        <v>March</v>
      </c>
      <c r="F1058">
        <f t="shared" si="64"/>
        <v>2024</v>
      </c>
      <c r="G1058">
        <f t="shared" si="65"/>
        <v>1</v>
      </c>
      <c r="H1058">
        <f t="shared" si="66"/>
        <v>1</v>
      </c>
      <c r="I1058" s="6">
        <v>0.41736111111111113</v>
      </c>
      <c r="J1058" s="6">
        <v>0.86875000000000002</v>
      </c>
      <c r="K1058" s="7" t="s">
        <v>26</v>
      </c>
      <c r="L1058" s="7" t="s">
        <v>27</v>
      </c>
      <c r="M1058" s="7" t="s">
        <v>15</v>
      </c>
      <c r="N1058" s="7">
        <f>COUNTIFS(A:A,A1058,D:D,D1058,E:E,I1058)</f>
        <v>0</v>
      </c>
    </row>
    <row r="1059" spans="1:14" x14ac:dyDescent="0.3">
      <c r="A1059" s="7" t="s">
        <v>187</v>
      </c>
      <c r="B1059" s="7" t="s">
        <v>188</v>
      </c>
      <c r="C1059" s="7" t="s">
        <v>60</v>
      </c>
      <c r="D1059" s="8">
        <v>45378</v>
      </c>
      <c r="E1059" s="8" t="str">
        <f t="shared" si="63"/>
        <v>March</v>
      </c>
      <c r="F1059">
        <f t="shared" si="64"/>
        <v>2024</v>
      </c>
      <c r="G1059">
        <f t="shared" si="65"/>
        <v>1</v>
      </c>
      <c r="H1059">
        <f t="shared" si="66"/>
        <v>0</v>
      </c>
      <c r="I1059" s="6">
        <v>0.47291666666666665</v>
      </c>
      <c r="J1059" s="6">
        <v>0.77361111111111114</v>
      </c>
      <c r="K1059" s="7" t="s">
        <v>13</v>
      </c>
      <c r="L1059" s="7" t="s">
        <v>14</v>
      </c>
      <c r="M1059" s="7" t="s">
        <v>15</v>
      </c>
      <c r="N1059" s="7">
        <f>COUNTIFS(A:A,A1059,D:D,D1059,E:E,I1059)</f>
        <v>0</v>
      </c>
    </row>
    <row r="1060" spans="1:14" x14ac:dyDescent="0.3">
      <c r="A1060" s="7" t="s">
        <v>197</v>
      </c>
      <c r="B1060" s="7" t="s">
        <v>198</v>
      </c>
      <c r="C1060" s="7" t="s">
        <v>64</v>
      </c>
      <c r="D1060" s="8">
        <v>45445</v>
      </c>
      <c r="E1060" s="8" t="str">
        <f t="shared" si="63"/>
        <v>June</v>
      </c>
      <c r="F1060">
        <f t="shared" si="64"/>
        <v>2024</v>
      </c>
      <c r="G1060">
        <f t="shared" si="65"/>
        <v>0</v>
      </c>
      <c r="H1060">
        <f t="shared" si="66"/>
        <v>0</v>
      </c>
      <c r="I1060" s="6"/>
      <c r="J1060" s="6"/>
      <c r="K1060" s="7" t="s">
        <v>44</v>
      </c>
      <c r="L1060" s="7" t="s">
        <v>27</v>
      </c>
      <c r="M1060" s="7" t="s">
        <v>21</v>
      </c>
      <c r="N1060" s="7">
        <f>COUNTIFS(A:A,A1060,D:D,D1060,E:E,I1060)</f>
        <v>0</v>
      </c>
    </row>
    <row r="1061" spans="1:14" x14ac:dyDescent="0.3">
      <c r="A1061" s="7" t="s">
        <v>96</v>
      </c>
      <c r="B1061" s="7" t="s">
        <v>97</v>
      </c>
      <c r="C1061" s="7" t="s">
        <v>64</v>
      </c>
      <c r="D1061" s="8">
        <v>45354</v>
      </c>
      <c r="E1061" s="8" t="str">
        <f t="shared" si="63"/>
        <v>March</v>
      </c>
      <c r="F1061">
        <f t="shared" si="64"/>
        <v>2024</v>
      </c>
      <c r="G1061">
        <f t="shared" si="65"/>
        <v>1</v>
      </c>
      <c r="H1061">
        <f t="shared" si="66"/>
        <v>0</v>
      </c>
      <c r="I1061" s="6">
        <v>0.44722222222222224</v>
      </c>
      <c r="J1061" s="6">
        <v>0.67291666666666672</v>
      </c>
      <c r="K1061" s="7" t="s">
        <v>13</v>
      </c>
      <c r="L1061" s="7" t="s">
        <v>27</v>
      </c>
      <c r="M1061" s="7" t="s">
        <v>15</v>
      </c>
      <c r="N1061" s="7">
        <f>COUNTIFS(A:A,A1061,D:D,D1061,E:E,I1061)</f>
        <v>0</v>
      </c>
    </row>
    <row r="1062" spans="1:14" x14ac:dyDescent="0.3">
      <c r="A1062" s="7" t="s">
        <v>187</v>
      </c>
      <c r="B1062" s="7" t="s">
        <v>188</v>
      </c>
      <c r="C1062" s="7" t="s">
        <v>60</v>
      </c>
      <c r="D1062" s="8">
        <v>45372</v>
      </c>
      <c r="E1062" s="8" t="str">
        <f t="shared" si="63"/>
        <v>March</v>
      </c>
      <c r="F1062">
        <f t="shared" si="64"/>
        <v>2024</v>
      </c>
      <c r="G1062">
        <f t="shared" si="65"/>
        <v>1</v>
      </c>
      <c r="H1062">
        <f t="shared" si="66"/>
        <v>1</v>
      </c>
      <c r="I1062" s="6">
        <v>0.35833333333333334</v>
      </c>
      <c r="J1062" s="6">
        <v>0.84861111111111109</v>
      </c>
      <c r="K1062" s="7" t="s">
        <v>26</v>
      </c>
      <c r="L1062" s="7" t="s">
        <v>14</v>
      </c>
      <c r="M1062" s="7" t="s">
        <v>21</v>
      </c>
      <c r="N1062" s="7">
        <f>COUNTIFS(A:A,A1062,D:D,D1062,E:E,I1062)</f>
        <v>0</v>
      </c>
    </row>
    <row r="1063" spans="1:14" x14ac:dyDescent="0.3">
      <c r="A1063" s="7" t="s">
        <v>134</v>
      </c>
      <c r="B1063" s="7" t="s">
        <v>135</v>
      </c>
      <c r="C1063" s="7" t="s">
        <v>426</v>
      </c>
      <c r="D1063" s="8">
        <v>45627</v>
      </c>
      <c r="E1063" s="8" t="str">
        <f t="shared" si="63"/>
        <v>December</v>
      </c>
      <c r="F1063">
        <f t="shared" si="64"/>
        <v>2024</v>
      </c>
      <c r="G1063">
        <f t="shared" si="65"/>
        <v>1</v>
      </c>
      <c r="H1063">
        <f t="shared" si="66"/>
        <v>0</v>
      </c>
      <c r="I1063" s="6">
        <v>0.49236111111111114</v>
      </c>
      <c r="J1063" s="6">
        <v>0.84027777777777779</v>
      </c>
      <c r="K1063" s="7" t="s">
        <v>13</v>
      </c>
      <c r="L1063" s="7" t="s">
        <v>27</v>
      </c>
      <c r="M1063" s="7" t="s">
        <v>21</v>
      </c>
      <c r="N1063" s="7">
        <f>COUNTIFS(A:A,A1063,D:D,D1063,E:E,I1063)</f>
        <v>0</v>
      </c>
    </row>
    <row r="1064" spans="1:14" x14ac:dyDescent="0.3">
      <c r="A1064" s="7" t="s">
        <v>62</v>
      </c>
      <c r="B1064" s="7" t="s">
        <v>63</v>
      </c>
      <c r="C1064" s="7" t="s">
        <v>426</v>
      </c>
      <c r="D1064" s="8">
        <v>45346</v>
      </c>
      <c r="E1064" s="8" t="str">
        <f t="shared" si="63"/>
        <v>February</v>
      </c>
      <c r="F1064">
        <f t="shared" si="64"/>
        <v>2024</v>
      </c>
      <c r="G1064">
        <f t="shared" si="65"/>
        <v>0</v>
      </c>
      <c r="H1064">
        <f t="shared" si="66"/>
        <v>0</v>
      </c>
      <c r="I1064" s="6"/>
      <c r="J1064" s="6"/>
      <c r="K1064" s="7" t="s">
        <v>44</v>
      </c>
      <c r="L1064" s="7" t="s">
        <v>27</v>
      </c>
      <c r="M1064" s="7" t="s">
        <v>21</v>
      </c>
      <c r="N1064" s="7">
        <f>COUNTIFS(A:A,A1064,D:D,D1064,E:E,I1064)</f>
        <v>0</v>
      </c>
    </row>
    <row r="1065" spans="1:14" x14ac:dyDescent="0.3">
      <c r="A1065" s="7" t="s">
        <v>72</v>
      </c>
      <c r="B1065" s="7" t="s">
        <v>73</v>
      </c>
      <c r="C1065" s="7" t="s">
        <v>425</v>
      </c>
      <c r="D1065" s="8">
        <v>45365</v>
      </c>
      <c r="E1065" s="8" t="str">
        <f t="shared" si="63"/>
        <v>March</v>
      </c>
      <c r="F1065">
        <f t="shared" si="64"/>
        <v>2024</v>
      </c>
      <c r="G1065">
        <f t="shared" si="65"/>
        <v>0</v>
      </c>
      <c r="H1065">
        <f t="shared" si="66"/>
        <v>0</v>
      </c>
      <c r="I1065" s="6"/>
      <c r="J1065" s="6"/>
      <c r="K1065" s="7" t="s">
        <v>44</v>
      </c>
      <c r="L1065" s="7" t="s">
        <v>27</v>
      </c>
      <c r="M1065" s="7" t="s">
        <v>21</v>
      </c>
      <c r="N1065" s="7">
        <f>COUNTIFS(A:A,A1065,D:D,D1065,E:E,I1065)</f>
        <v>0</v>
      </c>
    </row>
    <row r="1066" spans="1:14" x14ac:dyDescent="0.3">
      <c r="A1066" s="7" t="s">
        <v>84</v>
      </c>
      <c r="B1066" s="7" t="s">
        <v>85</v>
      </c>
      <c r="C1066" s="7" t="s">
        <v>426</v>
      </c>
      <c r="D1066" s="8">
        <v>45340</v>
      </c>
      <c r="E1066" s="8" t="str">
        <f t="shared" si="63"/>
        <v>February</v>
      </c>
      <c r="F1066">
        <f t="shared" si="64"/>
        <v>2024</v>
      </c>
      <c r="G1066">
        <f t="shared" si="65"/>
        <v>1</v>
      </c>
      <c r="H1066">
        <f t="shared" si="66"/>
        <v>1</v>
      </c>
      <c r="I1066" s="6">
        <v>0.38750000000000001</v>
      </c>
      <c r="J1066" s="6">
        <v>0.80555555555555558</v>
      </c>
      <c r="K1066" s="7" t="s">
        <v>26</v>
      </c>
      <c r="L1066" s="7" t="s">
        <v>14</v>
      </c>
      <c r="M1066" s="7" t="s">
        <v>15</v>
      </c>
      <c r="N1066" s="7">
        <f>COUNTIFS(A:A,A1066,D:D,D1066,E:E,I1066)</f>
        <v>0</v>
      </c>
    </row>
    <row r="1067" spans="1:14" x14ac:dyDescent="0.3">
      <c r="A1067" s="7" t="s">
        <v>115</v>
      </c>
      <c r="B1067" s="7" t="s">
        <v>116</v>
      </c>
      <c r="C1067" s="7" t="s">
        <v>426</v>
      </c>
      <c r="D1067" s="8">
        <v>45370</v>
      </c>
      <c r="E1067" s="8" t="str">
        <f t="shared" si="63"/>
        <v>March</v>
      </c>
      <c r="F1067">
        <f t="shared" si="64"/>
        <v>2024</v>
      </c>
      <c r="G1067">
        <f t="shared" si="65"/>
        <v>1</v>
      </c>
      <c r="H1067">
        <f t="shared" si="66"/>
        <v>1</v>
      </c>
      <c r="I1067" s="6">
        <v>0.36527777777777776</v>
      </c>
      <c r="J1067" s="6">
        <v>0.70833333333333337</v>
      </c>
      <c r="K1067" s="7" t="s">
        <v>26</v>
      </c>
      <c r="L1067" s="7" t="s">
        <v>27</v>
      </c>
      <c r="M1067" s="7" t="s">
        <v>15</v>
      </c>
      <c r="N1067" s="7">
        <f>COUNTIFS(A:A,A1067,D:D,D1067,E:E,I1067)</f>
        <v>0</v>
      </c>
    </row>
    <row r="1068" spans="1:14" x14ac:dyDescent="0.3">
      <c r="A1068" s="7" t="s">
        <v>48</v>
      </c>
      <c r="B1068" s="7" t="s">
        <v>49</v>
      </c>
      <c r="C1068" s="7" t="s">
        <v>60</v>
      </c>
      <c r="D1068" s="8">
        <v>45297</v>
      </c>
      <c r="E1068" s="8" t="str">
        <f t="shared" si="63"/>
        <v>January</v>
      </c>
      <c r="F1068">
        <f t="shared" si="64"/>
        <v>2024</v>
      </c>
      <c r="G1068">
        <f t="shared" si="65"/>
        <v>1</v>
      </c>
      <c r="H1068">
        <f t="shared" si="66"/>
        <v>0</v>
      </c>
      <c r="I1068" s="6">
        <v>0.41388888888888886</v>
      </c>
      <c r="J1068" s="6">
        <v>0.66874999999999996</v>
      </c>
      <c r="K1068" s="7" t="s">
        <v>20</v>
      </c>
      <c r="L1068" s="7" t="s">
        <v>14</v>
      </c>
      <c r="M1068" s="7" t="s">
        <v>15</v>
      </c>
      <c r="N1068" s="7">
        <f>COUNTIFS(A:A,A1068,D:D,D1068,E:E,I1068)</f>
        <v>0</v>
      </c>
    </row>
    <row r="1069" spans="1:14" x14ac:dyDescent="0.3">
      <c r="A1069" s="7" t="s">
        <v>102</v>
      </c>
      <c r="B1069" s="7" t="s">
        <v>103</v>
      </c>
      <c r="C1069" s="7" t="s">
        <v>42</v>
      </c>
      <c r="D1069" s="8">
        <v>45337</v>
      </c>
      <c r="E1069" s="8" t="str">
        <f t="shared" si="63"/>
        <v>February</v>
      </c>
      <c r="F1069">
        <f t="shared" si="64"/>
        <v>2024</v>
      </c>
      <c r="G1069">
        <f t="shared" si="65"/>
        <v>1</v>
      </c>
      <c r="H1069">
        <f t="shared" si="66"/>
        <v>0</v>
      </c>
      <c r="I1069" s="6">
        <v>0.37916666666666665</v>
      </c>
      <c r="J1069" s="6">
        <v>0.85833333333333328</v>
      </c>
      <c r="K1069" s="7" t="s">
        <v>13</v>
      </c>
      <c r="L1069" s="7" t="s">
        <v>27</v>
      </c>
      <c r="M1069" s="7" t="s">
        <v>21</v>
      </c>
      <c r="N1069" s="7">
        <f>COUNTIFS(A:A,A1069,D:D,D1069,E:E,I1069)</f>
        <v>0</v>
      </c>
    </row>
    <row r="1070" spans="1:14" x14ac:dyDescent="0.3">
      <c r="A1070" s="7" t="s">
        <v>28</v>
      </c>
      <c r="B1070" s="7" t="s">
        <v>29</v>
      </c>
      <c r="C1070" s="7" t="s">
        <v>425</v>
      </c>
      <c r="D1070" s="8">
        <v>45345</v>
      </c>
      <c r="E1070" s="8" t="str">
        <f t="shared" si="63"/>
        <v>February</v>
      </c>
      <c r="F1070">
        <f t="shared" si="64"/>
        <v>2024</v>
      </c>
      <c r="G1070">
        <f t="shared" si="65"/>
        <v>1</v>
      </c>
      <c r="H1070">
        <f t="shared" si="66"/>
        <v>0</v>
      </c>
      <c r="I1070" s="6">
        <v>0.48333333333333334</v>
      </c>
      <c r="J1070" s="6">
        <v>0.74583333333333335</v>
      </c>
      <c r="K1070" s="7" t="s">
        <v>20</v>
      </c>
      <c r="L1070" s="7" t="s">
        <v>27</v>
      </c>
      <c r="M1070" s="7" t="s">
        <v>15</v>
      </c>
      <c r="N1070" s="7">
        <f>COUNTIFS(A:A,A1070,D:D,D1070,E:E,I1070)</f>
        <v>0</v>
      </c>
    </row>
    <row r="1071" spans="1:14" x14ac:dyDescent="0.3">
      <c r="A1071" s="7" t="s">
        <v>246</v>
      </c>
      <c r="B1071" s="7" t="s">
        <v>247</v>
      </c>
      <c r="C1071" s="7" t="s">
        <v>426</v>
      </c>
      <c r="D1071" s="8">
        <v>45317</v>
      </c>
      <c r="E1071" s="8" t="str">
        <f t="shared" si="63"/>
        <v>January</v>
      </c>
      <c r="F1071">
        <f t="shared" si="64"/>
        <v>2024</v>
      </c>
      <c r="G1071">
        <f t="shared" si="65"/>
        <v>0</v>
      </c>
      <c r="H1071">
        <f t="shared" si="66"/>
        <v>0</v>
      </c>
      <c r="I1071" s="6"/>
      <c r="J1071" s="6"/>
      <c r="K1071" s="7" t="s">
        <v>44</v>
      </c>
      <c r="L1071" s="7" t="s">
        <v>14</v>
      </c>
      <c r="M1071" s="7" t="s">
        <v>21</v>
      </c>
      <c r="N1071" s="7">
        <f>COUNTIFS(A:A,A1071,D:D,D1071,E:E,I1071)</f>
        <v>0</v>
      </c>
    </row>
    <row r="1072" spans="1:14" x14ac:dyDescent="0.3">
      <c r="A1072" s="7" t="s">
        <v>87</v>
      </c>
      <c r="B1072" s="7" t="s">
        <v>88</v>
      </c>
      <c r="C1072" s="7" t="s">
        <v>42</v>
      </c>
      <c r="D1072" s="8">
        <v>45598</v>
      </c>
      <c r="E1072" s="8" t="str">
        <f t="shared" si="63"/>
        <v>November</v>
      </c>
      <c r="F1072">
        <f t="shared" si="64"/>
        <v>2024</v>
      </c>
      <c r="G1072">
        <f t="shared" si="65"/>
        <v>0</v>
      </c>
      <c r="H1072">
        <f t="shared" si="66"/>
        <v>0</v>
      </c>
      <c r="I1072" s="6"/>
      <c r="J1072" s="6"/>
      <c r="K1072" s="7" t="s">
        <v>44</v>
      </c>
      <c r="L1072" s="7" t="s">
        <v>14</v>
      </c>
      <c r="M1072" s="7" t="s">
        <v>21</v>
      </c>
      <c r="N1072" s="7">
        <f>COUNTIFS(A:A,A1072,D:D,D1072,E:E,I1072)</f>
        <v>0</v>
      </c>
    </row>
    <row r="1073" spans="1:14" x14ac:dyDescent="0.3">
      <c r="A1073" s="7" t="s">
        <v>362</v>
      </c>
      <c r="B1073" s="7" t="s">
        <v>363</v>
      </c>
      <c r="C1073" s="7" t="s">
        <v>64</v>
      </c>
      <c r="D1073" s="8">
        <v>45332</v>
      </c>
      <c r="E1073" s="8" t="str">
        <f t="shared" si="63"/>
        <v>February</v>
      </c>
      <c r="F1073">
        <f t="shared" si="64"/>
        <v>2024</v>
      </c>
      <c r="G1073">
        <f t="shared" si="65"/>
        <v>1</v>
      </c>
      <c r="H1073">
        <f t="shared" si="66"/>
        <v>0</v>
      </c>
      <c r="I1073" s="6">
        <v>0.43541666666666667</v>
      </c>
      <c r="J1073" s="6">
        <v>0.68055555555555558</v>
      </c>
      <c r="K1073" s="7" t="s">
        <v>20</v>
      </c>
      <c r="L1073" s="7" t="s">
        <v>14</v>
      </c>
      <c r="M1073" s="7" t="s">
        <v>21</v>
      </c>
      <c r="N1073" s="7">
        <f>COUNTIFS(A:A,A1073,D:D,D1073,E:E,I1073)</f>
        <v>0</v>
      </c>
    </row>
    <row r="1074" spans="1:14" x14ac:dyDescent="0.3">
      <c r="A1074" s="7" t="s">
        <v>115</v>
      </c>
      <c r="B1074" s="7" t="s">
        <v>116</v>
      </c>
      <c r="C1074" s="7" t="s">
        <v>42</v>
      </c>
      <c r="D1074" s="8">
        <v>45414</v>
      </c>
      <c r="E1074" s="8" t="str">
        <f t="shared" si="63"/>
        <v>May</v>
      </c>
      <c r="F1074">
        <f t="shared" si="64"/>
        <v>2024</v>
      </c>
      <c r="G1074">
        <f t="shared" si="65"/>
        <v>1</v>
      </c>
      <c r="H1074">
        <f t="shared" si="66"/>
        <v>0</v>
      </c>
      <c r="I1074" s="6">
        <v>0.43194444444444446</v>
      </c>
      <c r="J1074" s="6">
        <v>0.70416666666666672</v>
      </c>
      <c r="K1074" s="7" t="s">
        <v>20</v>
      </c>
      <c r="L1074" s="7" t="s">
        <v>14</v>
      </c>
      <c r="M1074" s="7" t="s">
        <v>21</v>
      </c>
      <c r="N1074" s="7">
        <f>COUNTIFS(A:A,A1074,D:D,D1074,E:E,I1074)</f>
        <v>0</v>
      </c>
    </row>
    <row r="1075" spans="1:14" x14ac:dyDescent="0.3">
      <c r="A1075" s="7" t="s">
        <v>66</v>
      </c>
      <c r="B1075" s="7" t="s">
        <v>67</v>
      </c>
      <c r="C1075" s="7" t="s">
        <v>64</v>
      </c>
      <c r="D1075" s="8">
        <v>45370</v>
      </c>
      <c r="E1075" s="8" t="str">
        <f t="shared" si="63"/>
        <v>March</v>
      </c>
      <c r="F1075">
        <f t="shared" si="64"/>
        <v>2024</v>
      </c>
      <c r="G1075">
        <f t="shared" si="65"/>
        <v>1</v>
      </c>
      <c r="H1075">
        <f t="shared" si="66"/>
        <v>1</v>
      </c>
      <c r="I1075" s="6">
        <v>0.39166666666666666</v>
      </c>
      <c r="J1075" s="6">
        <v>0.76388888888888884</v>
      </c>
      <c r="K1075" s="7" t="s">
        <v>26</v>
      </c>
      <c r="L1075" s="7" t="s">
        <v>14</v>
      </c>
      <c r="M1075" s="7" t="s">
        <v>21</v>
      </c>
      <c r="N1075" s="7">
        <f>COUNTIFS(A:A,A1075,D:D,D1075,E:E,I1075)</f>
        <v>0</v>
      </c>
    </row>
    <row r="1076" spans="1:14" x14ac:dyDescent="0.3">
      <c r="A1076" s="7" t="s">
        <v>236</v>
      </c>
      <c r="B1076" s="7" t="s">
        <v>237</v>
      </c>
      <c r="C1076" s="7" t="s">
        <v>64</v>
      </c>
      <c r="D1076" s="8">
        <v>45366</v>
      </c>
      <c r="E1076" s="8" t="str">
        <f t="shared" si="63"/>
        <v>March</v>
      </c>
      <c r="F1076">
        <f t="shared" si="64"/>
        <v>2024</v>
      </c>
      <c r="G1076">
        <f t="shared" si="65"/>
        <v>1</v>
      </c>
      <c r="H1076">
        <f t="shared" si="66"/>
        <v>0</v>
      </c>
      <c r="I1076" s="6">
        <v>0.39861111111111114</v>
      </c>
      <c r="J1076" s="6">
        <v>0.67361111111111116</v>
      </c>
      <c r="K1076" s="7" t="s">
        <v>20</v>
      </c>
      <c r="L1076" s="7" t="s">
        <v>14</v>
      </c>
      <c r="M1076" s="7" t="s">
        <v>15</v>
      </c>
      <c r="N1076" s="7">
        <f>COUNTIFS(A:A,A1076,D:D,D1076,E:E,I1076)</f>
        <v>0</v>
      </c>
    </row>
    <row r="1077" spans="1:14" x14ac:dyDescent="0.3">
      <c r="A1077" s="7" t="s">
        <v>55</v>
      </c>
      <c r="B1077" s="7" t="s">
        <v>56</v>
      </c>
      <c r="C1077" s="7" t="s">
        <v>60</v>
      </c>
      <c r="D1077" s="8">
        <v>45380</v>
      </c>
      <c r="E1077" s="8" t="str">
        <f t="shared" si="63"/>
        <v>March</v>
      </c>
      <c r="F1077">
        <f t="shared" si="64"/>
        <v>2024</v>
      </c>
      <c r="G1077">
        <f t="shared" si="65"/>
        <v>1</v>
      </c>
      <c r="H1077">
        <f t="shared" si="66"/>
        <v>0</v>
      </c>
      <c r="I1077" s="6">
        <v>0.34513888888888888</v>
      </c>
      <c r="J1077" s="6">
        <v>0.78611111111111109</v>
      </c>
      <c r="K1077" s="7" t="s">
        <v>13</v>
      </c>
      <c r="L1077" s="7" t="s">
        <v>27</v>
      </c>
      <c r="M1077" s="7" t="s">
        <v>21</v>
      </c>
      <c r="N1077" s="7">
        <f>COUNTIFS(A:A,A1077,D:D,D1077,E:E,I1077)</f>
        <v>0</v>
      </c>
    </row>
    <row r="1078" spans="1:14" x14ac:dyDescent="0.3">
      <c r="A1078" s="7" t="s">
        <v>66</v>
      </c>
      <c r="B1078" s="7" t="s">
        <v>67</v>
      </c>
      <c r="C1078" s="7" t="s">
        <v>64</v>
      </c>
      <c r="D1078" s="8">
        <v>45335</v>
      </c>
      <c r="E1078" s="8" t="str">
        <f t="shared" si="63"/>
        <v>February</v>
      </c>
      <c r="F1078">
        <f t="shared" si="64"/>
        <v>2024</v>
      </c>
      <c r="G1078">
        <f t="shared" si="65"/>
        <v>1</v>
      </c>
      <c r="H1078">
        <f t="shared" si="66"/>
        <v>1</v>
      </c>
      <c r="I1078" s="6">
        <v>0.41944444444444445</v>
      </c>
      <c r="J1078" s="6">
        <v>0.69444444444444442</v>
      </c>
      <c r="K1078" s="7" t="s">
        <v>26</v>
      </c>
      <c r="L1078" s="7" t="s">
        <v>27</v>
      </c>
      <c r="M1078" s="7" t="s">
        <v>15</v>
      </c>
      <c r="N1078" s="7">
        <f>COUNTIFS(A:A,A1078,D:D,D1078,E:E,I1078)</f>
        <v>0</v>
      </c>
    </row>
    <row r="1079" spans="1:14" x14ac:dyDescent="0.3">
      <c r="A1079" s="7" t="s">
        <v>250</v>
      </c>
      <c r="B1079" s="7" t="s">
        <v>251</v>
      </c>
      <c r="C1079" s="7" t="s">
        <v>42</v>
      </c>
      <c r="D1079" s="8">
        <v>45365</v>
      </c>
      <c r="E1079" s="8" t="str">
        <f t="shared" si="63"/>
        <v>March</v>
      </c>
      <c r="F1079">
        <f t="shared" si="64"/>
        <v>2024</v>
      </c>
      <c r="G1079">
        <f t="shared" si="65"/>
        <v>0</v>
      </c>
      <c r="H1079">
        <f t="shared" si="66"/>
        <v>0</v>
      </c>
      <c r="I1079" s="6"/>
      <c r="J1079" s="6"/>
      <c r="K1079" s="7" t="s">
        <v>44</v>
      </c>
      <c r="L1079" s="7" t="s">
        <v>14</v>
      </c>
      <c r="M1079" s="7" t="s">
        <v>15</v>
      </c>
      <c r="N1079" s="7">
        <f>COUNTIFS(A:A,A1079,D:D,D1079,E:E,I1079)</f>
        <v>0</v>
      </c>
    </row>
    <row r="1080" spans="1:14" x14ac:dyDescent="0.3">
      <c r="A1080" s="7" t="s">
        <v>48</v>
      </c>
      <c r="B1080" s="7" t="s">
        <v>49</v>
      </c>
      <c r="C1080" s="7" t="s">
        <v>64</v>
      </c>
      <c r="D1080" s="8">
        <v>45568</v>
      </c>
      <c r="E1080" s="8" t="str">
        <f t="shared" si="63"/>
        <v>October</v>
      </c>
      <c r="F1080">
        <f t="shared" si="64"/>
        <v>2024</v>
      </c>
      <c r="G1080">
        <f t="shared" si="65"/>
        <v>1</v>
      </c>
      <c r="H1080">
        <f t="shared" si="66"/>
        <v>0</v>
      </c>
      <c r="I1080" s="6">
        <v>0.46805555555555556</v>
      </c>
      <c r="J1080" s="6">
        <v>0.78888888888888886</v>
      </c>
      <c r="K1080" s="7" t="s">
        <v>13</v>
      </c>
      <c r="L1080" s="7" t="s">
        <v>14</v>
      </c>
      <c r="M1080" s="7" t="s">
        <v>21</v>
      </c>
      <c r="N1080" s="7">
        <f>COUNTIFS(A:A,A1080,D:D,D1080,E:E,I1080)</f>
        <v>0</v>
      </c>
    </row>
    <row r="1081" spans="1:14" x14ac:dyDescent="0.3">
      <c r="A1081" s="7" t="s">
        <v>250</v>
      </c>
      <c r="B1081" s="7" t="s">
        <v>251</v>
      </c>
      <c r="C1081" s="7" t="s">
        <v>426</v>
      </c>
      <c r="D1081" s="8">
        <v>45309</v>
      </c>
      <c r="E1081" s="8" t="str">
        <f t="shared" si="63"/>
        <v>January</v>
      </c>
      <c r="F1081">
        <f t="shared" si="64"/>
        <v>2024</v>
      </c>
      <c r="G1081">
        <f t="shared" si="65"/>
        <v>1</v>
      </c>
      <c r="H1081">
        <f t="shared" si="66"/>
        <v>1</v>
      </c>
      <c r="I1081" s="6">
        <v>0.38472222222222224</v>
      </c>
      <c r="J1081" s="6">
        <v>0.67708333333333337</v>
      </c>
      <c r="K1081" s="7" t="s">
        <v>26</v>
      </c>
      <c r="L1081" s="7" t="s">
        <v>14</v>
      </c>
      <c r="M1081" s="7" t="s">
        <v>15</v>
      </c>
      <c r="N1081" s="7">
        <f>COUNTIFS(A:A,A1081,D:D,D1081,E:E,I1081)</f>
        <v>0</v>
      </c>
    </row>
    <row r="1082" spans="1:14" x14ac:dyDescent="0.3">
      <c r="A1082" s="7" t="s">
        <v>224</v>
      </c>
      <c r="B1082" s="7" t="s">
        <v>225</v>
      </c>
      <c r="C1082" s="7" t="s">
        <v>60</v>
      </c>
      <c r="D1082" s="8">
        <v>45359</v>
      </c>
      <c r="E1082" s="8" t="str">
        <f t="shared" si="63"/>
        <v>March</v>
      </c>
      <c r="F1082">
        <f t="shared" si="64"/>
        <v>2024</v>
      </c>
      <c r="G1082">
        <f t="shared" si="65"/>
        <v>1</v>
      </c>
      <c r="H1082">
        <f t="shared" si="66"/>
        <v>0</v>
      </c>
      <c r="I1082" s="6">
        <v>0.3888888888888889</v>
      </c>
      <c r="J1082" s="6">
        <v>0.81527777777777777</v>
      </c>
      <c r="K1082" s="7" t="s">
        <v>13</v>
      </c>
      <c r="L1082" s="7" t="s">
        <v>27</v>
      </c>
      <c r="M1082" s="7" t="s">
        <v>15</v>
      </c>
      <c r="N1082" s="7">
        <f>COUNTIFS(A:A,A1082,D:D,D1082,E:E,I1082)</f>
        <v>0</v>
      </c>
    </row>
    <row r="1083" spans="1:14" x14ac:dyDescent="0.3">
      <c r="A1083" s="7" t="s">
        <v>213</v>
      </c>
      <c r="B1083" s="7" t="s">
        <v>214</v>
      </c>
      <c r="C1083" s="7" t="s">
        <v>426</v>
      </c>
      <c r="D1083" s="8">
        <v>45317</v>
      </c>
      <c r="E1083" s="8" t="str">
        <f t="shared" si="63"/>
        <v>January</v>
      </c>
      <c r="F1083">
        <f t="shared" si="64"/>
        <v>2024</v>
      </c>
      <c r="G1083">
        <f t="shared" si="65"/>
        <v>1</v>
      </c>
      <c r="H1083">
        <f t="shared" si="66"/>
        <v>1</v>
      </c>
      <c r="I1083" s="6">
        <v>0.43194444444444446</v>
      </c>
      <c r="J1083" s="6">
        <v>0.7319444444444444</v>
      </c>
      <c r="K1083" s="7" t="s">
        <v>26</v>
      </c>
      <c r="L1083" s="7" t="s">
        <v>14</v>
      </c>
      <c r="M1083" s="7" t="s">
        <v>15</v>
      </c>
      <c r="N1083" s="7">
        <f>COUNTIFS(A:A,A1083,D:D,D1083,E:E,I1083)</f>
        <v>0</v>
      </c>
    </row>
    <row r="1084" spans="1:14" x14ac:dyDescent="0.3">
      <c r="A1084" s="7" t="s">
        <v>204</v>
      </c>
      <c r="B1084" s="7" t="s">
        <v>205</v>
      </c>
      <c r="C1084" s="7" t="s">
        <v>425</v>
      </c>
      <c r="D1084" s="8">
        <v>45294</v>
      </c>
      <c r="E1084" s="8" t="str">
        <f t="shared" si="63"/>
        <v>January</v>
      </c>
      <c r="F1084">
        <f t="shared" si="64"/>
        <v>2024</v>
      </c>
      <c r="G1084">
        <f t="shared" si="65"/>
        <v>0</v>
      </c>
      <c r="H1084">
        <f t="shared" si="66"/>
        <v>0</v>
      </c>
      <c r="I1084" s="6"/>
      <c r="J1084" s="6"/>
      <c r="K1084" s="7" t="s">
        <v>44</v>
      </c>
      <c r="L1084" s="7" t="s">
        <v>27</v>
      </c>
      <c r="M1084" s="7" t="s">
        <v>15</v>
      </c>
      <c r="N1084" s="7">
        <f>COUNTIFS(A:A,A1084,D:D,D1084,E:E,I1084)</f>
        <v>0</v>
      </c>
    </row>
    <row r="1085" spans="1:14" x14ac:dyDescent="0.3">
      <c r="A1085" s="7" t="s">
        <v>66</v>
      </c>
      <c r="B1085" s="7" t="s">
        <v>67</v>
      </c>
      <c r="C1085" s="7" t="s">
        <v>426</v>
      </c>
      <c r="D1085" s="8">
        <v>45337</v>
      </c>
      <c r="E1085" s="8" t="str">
        <f t="shared" si="63"/>
        <v>February</v>
      </c>
      <c r="F1085">
        <f t="shared" si="64"/>
        <v>2024</v>
      </c>
      <c r="G1085">
        <f t="shared" si="65"/>
        <v>1</v>
      </c>
      <c r="H1085">
        <f t="shared" si="66"/>
        <v>0</v>
      </c>
      <c r="I1085" s="6">
        <v>0.38055555555555554</v>
      </c>
      <c r="J1085" s="6">
        <v>0.84652777777777777</v>
      </c>
      <c r="K1085" s="7" t="s">
        <v>20</v>
      </c>
      <c r="L1085" s="7" t="s">
        <v>14</v>
      </c>
      <c r="M1085" s="7" t="s">
        <v>21</v>
      </c>
      <c r="N1085" s="7">
        <f>COUNTIFS(A:A,A1085,D:D,D1085,E:E,I1085)</f>
        <v>0</v>
      </c>
    </row>
    <row r="1086" spans="1:14" x14ac:dyDescent="0.3">
      <c r="A1086" s="7" t="s">
        <v>58</v>
      </c>
      <c r="B1086" s="7" t="s">
        <v>59</v>
      </c>
      <c r="C1086" s="7" t="s">
        <v>42</v>
      </c>
      <c r="D1086" s="8">
        <v>45352</v>
      </c>
      <c r="E1086" s="8" t="str">
        <f t="shared" si="63"/>
        <v>March</v>
      </c>
      <c r="F1086">
        <f t="shared" si="64"/>
        <v>2024</v>
      </c>
      <c r="G1086">
        <f t="shared" si="65"/>
        <v>1</v>
      </c>
      <c r="H1086">
        <f t="shared" si="66"/>
        <v>0</v>
      </c>
      <c r="I1086" s="6">
        <v>0.45555555555555555</v>
      </c>
      <c r="J1086" s="6">
        <v>0.71875</v>
      </c>
      <c r="K1086" s="7" t="s">
        <v>13</v>
      </c>
      <c r="L1086" s="7" t="s">
        <v>27</v>
      </c>
      <c r="M1086" s="7" t="s">
        <v>21</v>
      </c>
      <c r="N1086" s="7">
        <f>COUNTIFS(A:A,A1086,D:D,D1086,E:E,I1086)</f>
        <v>0</v>
      </c>
    </row>
    <row r="1087" spans="1:14" x14ac:dyDescent="0.3">
      <c r="A1087" s="7" t="s">
        <v>187</v>
      </c>
      <c r="B1087" s="7" t="s">
        <v>188</v>
      </c>
      <c r="C1087" s="7" t="s">
        <v>425</v>
      </c>
      <c r="D1087" s="8">
        <v>45384</v>
      </c>
      <c r="E1087" s="8" t="str">
        <f t="shared" si="63"/>
        <v>April</v>
      </c>
      <c r="F1087">
        <f t="shared" si="64"/>
        <v>2024</v>
      </c>
      <c r="G1087">
        <f t="shared" si="65"/>
        <v>1</v>
      </c>
      <c r="H1087">
        <f t="shared" si="66"/>
        <v>0</v>
      </c>
      <c r="I1087" s="6">
        <v>0.45347222222222222</v>
      </c>
      <c r="J1087" s="6">
        <v>0.74305555555555558</v>
      </c>
      <c r="K1087" s="7" t="s">
        <v>13</v>
      </c>
      <c r="L1087" s="7" t="s">
        <v>14</v>
      </c>
      <c r="M1087" s="7" t="s">
        <v>21</v>
      </c>
      <c r="N1087" s="7">
        <f>COUNTIFS(A:A,A1087,D:D,D1087,E:E,I1087)</f>
        <v>0</v>
      </c>
    </row>
    <row r="1088" spans="1:14" x14ac:dyDescent="0.3">
      <c r="A1088" s="7" t="s">
        <v>81</v>
      </c>
      <c r="B1088" s="7" t="s">
        <v>82</v>
      </c>
      <c r="C1088" s="7" t="s">
        <v>42</v>
      </c>
      <c r="D1088" s="8">
        <v>45352</v>
      </c>
      <c r="E1088" s="8" t="str">
        <f t="shared" si="63"/>
        <v>March</v>
      </c>
      <c r="F1088">
        <f t="shared" si="64"/>
        <v>2024</v>
      </c>
      <c r="G1088">
        <f t="shared" si="65"/>
        <v>1</v>
      </c>
      <c r="H1088">
        <f t="shared" si="66"/>
        <v>0</v>
      </c>
      <c r="I1088" s="6">
        <v>0.4152777777777778</v>
      </c>
      <c r="J1088" s="6">
        <v>0.70972222222222225</v>
      </c>
      <c r="K1088" s="7" t="s">
        <v>13</v>
      </c>
      <c r="L1088" s="7" t="s">
        <v>27</v>
      </c>
      <c r="M1088" s="7" t="s">
        <v>15</v>
      </c>
      <c r="N1088" s="7">
        <f>COUNTIFS(A:A,A1088,D:D,D1088,E:E,I1088)</f>
        <v>0</v>
      </c>
    </row>
    <row r="1089" spans="1:14" x14ac:dyDescent="0.3">
      <c r="A1089" s="7" t="s">
        <v>90</v>
      </c>
      <c r="B1089" s="7" t="s">
        <v>91</v>
      </c>
      <c r="C1089" s="7" t="s">
        <v>60</v>
      </c>
      <c r="D1089" s="8">
        <v>45629</v>
      </c>
      <c r="E1089" s="8" t="str">
        <f t="shared" si="63"/>
        <v>December</v>
      </c>
      <c r="F1089">
        <f t="shared" si="64"/>
        <v>2024</v>
      </c>
      <c r="G1089">
        <f t="shared" si="65"/>
        <v>1</v>
      </c>
      <c r="H1089">
        <f t="shared" si="66"/>
        <v>0</v>
      </c>
      <c r="I1089" s="6">
        <v>0.43888888888888888</v>
      </c>
      <c r="J1089" s="6">
        <v>0.82708333333333328</v>
      </c>
      <c r="K1089" s="7" t="s">
        <v>20</v>
      </c>
      <c r="L1089" s="7" t="s">
        <v>14</v>
      </c>
      <c r="M1089" s="7" t="s">
        <v>21</v>
      </c>
      <c r="N1089" s="7">
        <f>COUNTIFS(A:A,A1089,D:D,D1089,E:E,I1089)</f>
        <v>0</v>
      </c>
    </row>
    <row r="1090" spans="1:14" x14ac:dyDescent="0.3">
      <c r="A1090" s="7" t="s">
        <v>200</v>
      </c>
      <c r="B1090" s="7" t="s">
        <v>201</v>
      </c>
      <c r="C1090" s="7" t="s">
        <v>64</v>
      </c>
      <c r="D1090" s="8">
        <v>45300</v>
      </c>
      <c r="E1090" s="8" t="str">
        <f t="shared" ref="E1090:E1153" si="67">TEXT(D1090,"mmmm")</f>
        <v>January</v>
      </c>
      <c r="F1090">
        <f t="shared" ref="F1090:F1153" si="68">YEAR(D1090)</f>
        <v>2024</v>
      </c>
      <c r="G1090">
        <f t="shared" ref="G1090:G1153" si="69">IF(LOWER(K1090)="absent",0,1)</f>
        <v>0</v>
      </c>
      <c r="H1090">
        <f t="shared" ref="H1090:H1153" si="70">IF(K1090="Late",1,0)</f>
        <v>0</v>
      </c>
      <c r="I1090" s="6"/>
      <c r="J1090" s="6"/>
      <c r="K1090" s="7" t="s">
        <v>44</v>
      </c>
      <c r="L1090" s="7" t="s">
        <v>27</v>
      </c>
      <c r="M1090" s="7" t="s">
        <v>15</v>
      </c>
      <c r="N1090" s="7">
        <f>COUNTIFS(A:A,A1090,D:D,D1090,E:E,I1090)</f>
        <v>0</v>
      </c>
    </row>
    <row r="1091" spans="1:14" x14ac:dyDescent="0.3">
      <c r="A1091" s="7" t="s">
        <v>130</v>
      </c>
      <c r="B1091" s="7" t="s">
        <v>131</v>
      </c>
      <c r="C1091" s="7" t="s">
        <v>64</v>
      </c>
      <c r="D1091" s="8">
        <v>45446</v>
      </c>
      <c r="E1091" s="8" t="str">
        <f t="shared" si="67"/>
        <v>June</v>
      </c>
      <c r="F1091">
        <f t="shared" si="68"/>
        <v>2024</v>
      </c>
      <c r="G1091">
        <f t="shared" si="69"/>
        <v>1</v>
      </c>
      <c r="H1091">
        <f t="shared" si="70"/>
        <v>0</v>
      </c>
      <c r="I1091" s="6">
        <v>0.35486111111111113</v>
      </c>
      <c r="J1091" s="6">
        <v>0.82361111111111107</v>
      </c>
      <c r="K1091" s="7" t="s">
        <v>13</v>
      </c>
      <c r="L1091" s="7" t="s">
        <v>27</v>
      </c>
      <c r="M1091" s="7" t="s">
        <v>21</v>
      </c>
      <c r="N1091" s="7">
        <f>COUNTIFS(A:A,A1091,D:D,D1091,E:E,I1091)</f>
        <v>0</v>
      </c>
    </row>
    <row r="1092" spans="1:14" x14ac:dyDescent="0.3">
      <c r="A1092" s="7" t="s">
        <v>52</v>
      </c>
      <c r="B1092" s="7" t="s">
        <v>53</v>
      </c>
      <c r="C1092" s="7" t="s">
        <v>60</v>
      </c>
      <c r="D1092" s="8">
        <v>45345</v>
      </c>
      <c r="E1092" s="8" t="str">
        <f t="shared" si="67"/>
        <v>February</v>
      </c>
      <c r="F1092">
        <f t="shared" si="68"/>
        <v>2024</v>
      </c>
      <c r="G1092">
        <f t="shared" si="69"/>
        <v>1</v>
      </c>
      <c r="H1092">
        <f t="shared" si="70"/>
        <v>0</v>
      </c>
      <c r="I1092" s="6">
        <v>0.45416666666666666</v>
      </c>
      <c r="J1092" s="6">
        <v>0.71597222222222223</v>
      </c>
      <c r="K1092" s="7" t="s">
        <v>13</v>
      </c>
      <c r="L1092" s="7" t="s">
        <v>14</v>
      </c>
      <c r="M1092" s="7" t="s">
        <v>21</v>
      </c>
      <c r="N1092" s="7">
        <f>COUNTIFS(A:A,A1092,D:D,D1092,E:E,I1092)</f>
        <v>0</v>
      </c>
    </row>
    <row r="1093" spans="1:14" x14ac:dyDescent="0.3">
      <c r="A1093" s="7" t="s">
        <v>134</v>
      </c>
      <c r="B1093" s="7" t="s">
        <v>135</v>
      </c>
      <c r="C1093" s="7" t="s">
        <v>64</v>
      </c>
      <c r="D1093" s="8">
        <v>45338</v>
      </c>
      <c r="E1093" s="8" t="str">
        <f t="shared" si="67"/>
        <v>February</v>
      </c>
      <c r="F1093">
        <f t="shared" si="68"/>
        <v>2024</v>
      </c>
      <c r="G1093">
        <f t="shared" si="69"/>
        <v>1</v>
      </c>
      <c r="H1093">
        <f t="shared" si="70"/>
        <v>1</v>
      </c>
      <c r="I1093" s="6">
        <v>0.39027777777777778</v>
      </c>
      <c r="J1093" s="6">
        <v>0.72291666666666665</v>
      </c>
      <c r="K1093" s="7" t="s">
        <v>26</v>
      </c>
      <c r="L1093" s="7" t="s">
        <v>27</v>
      </c>
      <c r="M1093" s="7" t="s">
        <v>21</v>
      </c>
      <c r="N1093" s="7">
        <f>COUNTIFS(A:A,A1093,D:D,D1093,E:E,I1093)</f>
        <v>0</v>
      </c>
    </row>
    <row r="1094" spans="1:14" x14ac:dyDescent="0.3">
      <c r="A1094" s="7" t="s">
        <v>146</v>
      </c>
      <c r="B1094" s="7" t="s">
        <v>147</v>
      </c>
      <c r="C1094" s="7" t="s">
        <v>64</v>
      </c>
      <c r="D1094" s="8">
        <v>45307</v>
      </c>
      <c r="E1094" s="8" t="str">
        <f t="shared" si="67"/>
        <v>January</v>
      </c>
      <c r="F1094">
        <f t="shared" si="68"/>
        <v>2024</v>
      </c>
      <c r="G1094">
        <f t="shared" si="69"/>
        <v>1</v>
      </c>
      <c r="H1094">
        <f t="shared" si="70"/>
        <v>0</v>
      </c>
      <c r="I1094" s="6">
        <v>0.46944444444444444</v>
      </c>
      <c r="J1094" s="6">
        <v>0.68125000000000002</v>
      </c>
      <c r="K1094" s="7" t="s">
        <v>20</v>
      </c>
      <c r="L1094" s="7" t="s">
        <v>14</v>
      </c>
      <c r="M1094" s="7" t="s">
        <v>21</v>
      </c>
      <c r="N1094" s="7">
        <f>COUNTIFS(A:A,A1094,D:D,D1094,E:E,I1094)</f>
        <v>0</v>
      </c>
    </row>
    <row r="1095" spans="1:14" x14ac:dyDescent="0.3">
      <c r="A1095" s="7" t="s">
        <v>315</v>
      </c>
      <c r="B1095" s="7" t="s">
        <v>316</v>
      </c>
      <c r="C1095" s="7" t="s">
        <v>60</v>
      </c>
      <c r="D1095" s="8">
        <v>45369</v>
      </c>
      <c r="E1095" s="8" t="str">
        <f t="shared" si="67"/>
        <v>March</v>
      </c>
      <c r="F1095">
        <f t="shared" si="68"/>
        <v>2024</v>
      </c>
      <c r="G1095">
        <f t="shared" si="69"/>
        <v>0</v>
      </c>
      <c r="H1095">
        <f t="shared" si="70"/>
        <v>0</v>
      </c>
      <c r="I1095" s="6"/>
      <c r="J1095" s="6"/>
      <c r="K1095" s="7" t="s">
        <v>44</v>
      </c>
      <c r="L1095" s="7" t="s">
        <v>14</v>
      </c>
      <c r="M1095" s="7" t="s">
        <v>15</v>
      </c>
      <c r="N1095" s="7">
        <f>COUNTIFS(A:A,A1095,D:D,D1095,E:E,I1095)</f>
        <v>0</v>
      </c>
    </row>
    <row r="1096" spans="1:14" x14ac:dyDescent="0.3">
      <c r="A1096" s="7" t="s">
        <v>84</v>
      </c>
      <c r="B1096" s="7" t="s">
        <v>85</v>
      </c>
      <c r="C1096" s="7" t="s">
        <v>425</v>
      </c>
      <c r="D1096" s="8">
        <v>45323</v>
      </c>
      <c r="E1096" s="8" t="str">
        <f t="shared" si="67"/>
        <v>February</v>
      </c>
      <c r="F1096">
        <f t="shared" si="68"/>
        <v>2024</v>
      </c>
      <c r="G1096">
        <f t="shared" si="69"/>
        <v>1</v>
      </c>
      <c r="H1096">
        <f t="shared" si="70"/>
        <v>0</v>
      </c>
      <c r="I1096" s="6">
        <v>0.41736111111111113</v>
      </c>
      <c r="J1096" s="6">
        <v>0.75902777777777775</v>
      </c>
      <c r="K1096" s="7" t="s">
        <v>20</v>
      </c>
      <c r="L1096" s="7" t="s">
        <v>14</v>
      </c>
      <c r="M1096" s="7" t="s">
        <v>21</v>
      </c>
      <c r="N1096" s="7">
        <f>COUNTIFS(A:A,A1096,D:D,D1096,E:E,I1096)</f>
        <v>0</v>
      </c>
    </row>
    <row r="1097" spans="1:14" x14ac:dyDescent="0.3">
      <c r="A1097" s="7" t="s">
        <v>55</v>
      </c>
      <c r="B1097" s="7" t="s">
        <v>56</v>
      </c>
      <c r="C1097" s="7" t="s">
        <v>60</v>
      </c>
      <c r="D1097" s="8">
        <v>45323</v>
      </c>
      <c r="E1097" s="8" t="str">
        <f t="shared" si="67"/>
        <v>February</v>
      </c>
      <c r="F1097">
        <f t="shared" si="68"/>
        <v>2024</v>
      </c>
      <c r="G1097">
        <f t="shared" si="69"/>
        <v>1</v>
      </c>
      <c r="H1097">
        <f t="shared" si="70"/>
        <v>0</v>
      </c>
      <c r="I1097" s="6">
        <v>0.37361111111111112</v>
      </c>
      <c r="J1097" s="6">
        <v>0.68263888888888891</v>
      </c>
      <c r="K1097" s="7" t="s">
        <v>20</v>
      </c>
      <c r="L1097" s="7" t="s">
        <v>14</v>
      </c>
      <c r="M1097" s="7" t="s">
        <v>21</v>
      </c>
      <c r="N1097" s="7">
        <f>COUNTIFS(A:A,A1097,D:D,D1097,E:E,I1097)</f>
        <v>0</v>
      </c>
    </row>
    <row r="1098" spans="1:14" x14ac:dyDescent="0.3">
      <c r="A1098" s="7" t="s">
        <v>119</v>
      </c>
      <c r="B1098" s="7" t="s">
        <v>120</v>
      </c>
      <c r="C1098" s="7" t="s">
        <v>425</v>
      </c>
      <c r="D1098" s="8">
        <v>45568</v>
      </c>
      <c r="E1098" s="8" t="str">
        <f t="shared" si="67"/>
        <v>October</v>
      </c>
      <c r="F1098">
        <f t="shared" si="68"/>
        <v>2024</v>
      </c>
      <c r="G1098">
        <f t="shared" si="69"/>
        <v>1</v>
      </c>
      <c r="H1098">
        <f t="shared" si="70"/>
        <v>1</v>
      </c>
      <c r="I1098" s="6">
        <v>0.46041666666666664</v>
      </c>
      <c r="J1098" s="6">
        <v>0.7729166666666667</v>
      </c>
      <c r="K1098" s="7" t="s">
        <v>26</v>
      </c>
      <c r="L1098" s="7" t="s">
        <v>14</v>
      </c>
      <c r="M1098" s="7" t="s">
        <v>15</v>
      </c>
      <c r="N1098" s="7">
        <f>COUNTIFS(A:A,A1098,D:D,D1098,E:E,I1098)</f>
        <v>0</v>
      </c>
    </row>
    <row r="1099" spans="1:14" x14ac:dyDescent="0.3">
      <c r="A1099" s="7" t="s">
        <v>31</v>
      </c>
      <c r="B1099" s="7" t="s">
        <v>32</v>
      </c>
      <c r="C1099" s="7" t="s">
        <v>426</v>
      </c>
      <c r="D1099" s="8">
        <v>45353</v>
      </c>
      <c r="E1099" s="8" t="str">
        <f t="shared" si="67"/>
        <v>March</v>
      </c>
      <c r="F1099">
        <f t="shared" si="68"/>
        <v>2024</v>
      </c>
      <c r="G1099">
        <f t="shared" si="69"/>
        <v>0</v>
      </c>
      <c r="H1099">
        <f t="shared" si="70"/>
        <v>0</v>
      </c>
      <c r="I1099" s="6"/>
      <c r="J1099" s="6"/>
      <c r="K1099" s="7" t="s">
        <v>44</v>
      </c>
      <c r="L1099" s="7" t="s">
        <v>27</v>
      </c>
      <c r="M1099" s="7" t="s">
        <v>15</v>
      </c>
      <c r="N1099" s="7">
        <f>COUNTIFS(A:A,A1099,D:D,D1099,E:E,I1099)</f>
        <v>0</v>
      </c>
    </row>
    <row r="1100" spans="1:14" x14ac:dyDescent="0.3">
      <c r="A1100" s="7" t="s">
        <v>22</v>
      </c>
      <c r="B1100" s="7" t="s">
        <v>23</v>
      </c>
      <c r="C1100" s="7" t="s">
        <v>60</v>
      </c>
      <c r="D1100" s="8">
        <v>45368</v>
      </c>
      <c r="E1100" s="8" t="str">
        <f t="shared" si="67"/>
        <v>March</v>
      </c>
      <c r="F1100">
        <f t="shared" si="68"/>
        <v>2024</v>
      </c>
      <c r="G1100">
        <f t="shared" si="69"/>
        <v>1</v>
      </c>
      <c r="H1100">
        <f t="shared" si="70"/>
        <v>0</v>
      </c>
      <c r="I1100" s="6">
        <v>0.34027777777777779</v>
      </c>
      <c r="J1100" s="6">
        <v>0.69236111111111109</v>
      </c>
      <c r="K1100" s="7" t="s">
        <v>13</v>
      </c>
      <c r="L1100" s="7" t="s">
        <v>27</v>
      </c>
      <c r="M1100" s="7" t="s">
        <v>21</v>
      </c>
      <c r="N1100" s="7">
        <f>COUNTIFS(A:A,A1100,D:D,D1100,E:E,I1100)</f>
        <v>0</v>
      </c>
    </row>
    <row r="1101" spans="1:14" x14ac:dyDescent="0.3">
      <c r="A1101" s="7" t="s">
        <v>75</v>
      </c>
      <c r="B1101" s="7" t="s">
        <v>76</v>
      </c>
      <c r="C1101" s="7" t="s">
        <v>42</v>
      </c>
      <c r="D1101" s="8">
        <v>45340</v>
      </c>
      <c r="E1101" s="8" t="str">
        <f t="shared" si="67"/>
        <v>February</v>
      </c>
      <c r="F1101">
        <f t="shared" si="68"/>
        <v>2024</v>
      </c>
      <c r="G1101">
        <f t="shared" si="69"/>
        <v>0</v>
      </c>
      <c r="H1101">
        <f t="shared" si="70"/>
        <v>0</v>
      </c>
      <c r="I1101" s="6"/>
      <c r="J1101" s="6"/>
      <c r="K1101" s="7" t="s">
        <v>44</v>
      </c>
      <c r="L1101" s="7" t="s">
        <v>27</v>
      </c>
      <c r="M1101" s="7" t="s">
        <v>15</v>
      </c>
      <c r="N1101" s="7">
        <f>COUNTIFS(A:A,A1101,D:D,D1101,E:E,I1101)</f>
        <v>0</v>
      </c>
    </row>
    <row r="1102" spans="1:14" x14ac:dyDescent="0.3">
      <c r="A1102" s="7" t="s">
        <v>138</v>
      </c>
      <c r="B1102" s="7" t="s">
        <v>139</v>
      </c>
      <c r="C1102" s="7" t="s">
        <v>64</v>
      </c>
      <c r="D1102" s="8">
        <v>45337</v>
      </c>
      <c r="E1102" s="8" t="str">
        <f t="shared" si="67"/>
        <v>February</v>
      </c>
      <c r="F1102">
        <f t="shared" si="68"/>
        <v>2024</v>
      </c>
      <c r="G1102">
        <f t="shared" si="69"/>
        <v>1</v>
      </c>
      <c r="H1102">
        <f t="shared" si="70"/>
        <v>0</v>
      </c>
      <c r="I1102" s="6">
        <v>0.41180555555555554</v>
      </c>
      <c r="J1102" s="6">
        <v>0.78333333333333333</v>
      </c>
      <c r="K1102" s="7" t="s">
        <v>13</v>
      </c>
      <c r="L1102" s="7" t="s">
        <v>14</v>
      </c>
      <c r="M1102" s="7" t="s">
        <v>21</v>
      </c>
      <c r="N1102" s="7">
        <f>COUNTIFS(A:A,A1102,D:D,D1102,E:E,I1102)</f>
        <v>0</v>
      </c>
    </row>
    <row r="1103" spans="1:14" x14ac:dyDescent="0.3">
      <c r="A1103" s="7" t="s">
        <v>291</v>
      </c>
      <c r="B1103" s="7" t="s">
        <v>292</v>
      </c>
      <c r="C1103" s="7" t="s">
        <v>64</v>
      </c>
      <c r="D1103" s="8">
        <v>45339</v>
      </c>
      <c r="E1103" s="8" t="str">
        <f t="shared" si="67"/>
        <v>February</v>
      </c>
      <c r="F1103">
        <f t="shared" si="68"/>
        <v>2024</v>
      </c>
      <c r="G1103">
        <f t="shared" si="69"/>
        <v>1</v>
      </c>
      <c r="H1103">
        <f t="shared" si="70"/>
        <v>1</v>
      </c>
      <c r="I1103" s="6">
        <v>0.4</v>
      </c>
      <c r="J1103" s="6">
        <v>0.70277777777777772</v>
      </c>
      <c r="K1103" s="7" t="s">
        <v>26</v>
      </c>
      <c r="L1103" s="7" t="s">
        <v>14</v>
      </c>
      <c r="M1103" s="7" t="s">
        <v>21</v>
      </c>
      <c r="N1103" s="7">
        <f>COUNTIFS(A:A,A1103,D:D,D1103,E:E,I1103)</f>
        <v>0</v>
      </c>
    </row>
    <row r="1104" spans="1:14" x14ac:dyDescent="0.3">
      <c r="A1104" s="7" t="s">
        <v>213</v>
      </c>
      <c r="B1104" s="7" t="s">
        <v>214</v>
      </c>
      <c r="C1104" s="7" t="s">
        <v>425</v>
      </c>
      <c r="D1104" s="8">
        <v>45598</v>
      </c>
      <c r="E1104" s="8" t="str">
        <f t="shared" si="67"/>
        <v>November</v>
      </c>
      <c r="F1104">
        <f t="shared" si="68"/>
        <v>2024</v>
      </c>
      <c r="G1104">
        <f t="shared" si="69"/>
        <v>1</v>
      </c>
      <c r="H1104">
        <f t="shared" si="70"/>
        <v>0</v>
      </c>
      <c r="I1104" s="6">
        <v>0.45416666666666666</v>
      </c>
      <c r="J1104" s="6">
        <v>0.78125</v>
      </c>
      <c r="K1104" s="7" t="s">
        <v>13</v>
      </c>
      <c r="L1104" s="7" t="s">
        <v>27</v>
      </c>
      <c r="M1104" s="7" t="s">
        <v>21</v>
      </c>
      <c r="N1104" s="7">
        <f>COUNTIFS(A:A,A1104,D:D,D1104,E:E,I1104)</f>
        <v>0</v>
      </c>
    </row>
    <row r="1105" spans="1:14" x14ac:dyDescent="0.3">
      <c r="A1105" s="7" t="s">
        <v>16</v>
      </c>
      <c r="B1105" s="7" t="s">
        <v>17</v>
      </c>
      <c r="C1105" s="7" t="s">
        <v>60</v>
      </c>
      <c r="D1105" s="8">
        <v>45351</v>
      </c>
      <c r="E1105" s="8" t="str">
        <f t="shared" si="67"/>
        <v>February</v>
      </c>
      <c r="F1105">
        <f t="shared" si="68"/>
        <v>2024</v>
      </c>
      <c r="G1105">
        <f t="shared" si="69"/>
        <v>1</v>
      </c>
      <c r="H1105">
        <f t="shared" si="70"/>
        <v>0</v>
      </c>
      <c r="I1105" s="6">
        <v>0.49513888888888891</v>
      </c>
      <c r="J1105" s="6">
        <v>0.78472222222222221</v>
      </c>
      <c r="K1105" s="7" t="s">
        <v>20</v>
      </c>
      <c r="L1105" s="7" t="s">
        <v>27</v>
      </c>
      <c r="M1105" s="7" t="s">
        <v>15</v>
      </c>
      <c r="N1105" s="7">
        <f>COUNTIFS(A:A,A1105,D:D,D1105,E:E,I1105)</f>
        <v>0</v>
      </c>
    </row>
    <row r="1106" spans="1:14" x14ac:dyDescent="0.3">
      <c r="A1106" s="7" t="s">
        <v>48</v>
      </c>
      <c r="B1106" s="7" t="s">
        <v>49</v>
      </c>
      <c r="C1106" s="7" t="s">
        <v>64</v>
      </c>
      <c r="D1106" s="8">
        <v>45378</v>
      </c>
      <c r="E1106" s="8" t="str">
        <f t="shared" si="67"/>
        <v>March</v>
      </c>
      <c r="F1106">
        <f t="shared" si="68"/>
        <v>2024</v>
      </c>
      <c r="G1106">
        <f t="shared" si="69"/>
        <v>1</v>
      </c>
      <c r="H1106">
        <f t="shared" si="70"/>
        <v>1</v>
      </c>
      <c r="I1106" s="6">
        <v>0.42152777777777778</v>
      </c>
      <c r="J1106" s="6">
        <v>0.81180555555555556</v>
      </c>
      <c r="K1106" s="7" t="s">
        <v>26</v>
      </c>
      <c r="L1106" s="7" t="s">
        <v>27</v>
      </c>
      <c r="M1106" s="7" t="s">
        <v>15</v>
      </c>
      <c r="N1106" s="7">
        <f>COUNTIFS(A:A,A1106,D:D,D1106,E:E,I1106)</f>
        <v>0</v>
      </c>
    </row>
    <row r="1107" spans="1:14" x14ac:dyDescent="0.3">
      <c r="A1107" s="7" t="s">
        <v>191</v>
      </c>
      <c r="B1107" s="7" t="s">
        <v>192</v>
      </c>
      <c r="C1107" s="7" t="s">
        <v>64</v>
      </c>
      <c r="D1107" s="8">
        <v>45597</v>
      </c>
      <c r="E1107" s="8" t="str">
        <f t="shared" si="67"/>
        <v>November</v>
      </c>
      <c r="F1107">
        <f t="shared" si="68"/>
        <v>2024</v>
      </c>
      <c r="G1107">
        <f t="shared" si="69"/>
        <v>0</v>
      </c>
      <c r="H1107">
        <f t="shared" si="70"/>
        <v>0</v>
      </c>
      <c r="I1107" s="6"/>
      <c r="J1107" s="6"/>
      <c r="K1107" s="7" t="s">
        <v>44</v>
      </c>
      <c r="L1107" s="7" t="s">
        <v>14</v>
      </c>
      <c r="M1107" s="7" t="s">
        <v>15</v>
      </c>
      <c r="N1107" s="7">
        <f>COUNTIFS(A:A,A1107,D:D,D1107,E:E,I1107)</f>
        <v>0</v>
      </c>
    </row>
    <row r="1108" spans="1:14" x14ac:dyDescent="0.3">
      <c r="A1108" s="7" t="s">
        <v>216</v>
      </c>
      <c r="B1108" s="7" t="s">
        <v>217</v>
      </c>
      <c r="C1108" s="7" t="s">
        <v>60</v>
      </c>
      <c r="D1108" s="8">
        <v>45339</v>
      </c>
      <c r="E1108" s="8" t="str">
        <f t="shared" si="67"/>
        <v>February</v>
      </c>
      <c r="F1108">
        <f t="shared" si="68"/>
        <v>2024</v>
      </c>
      <c r="G1108">
        <f t="shared" si="69"/>
        <v>1</v>
      </c>
      <c r="H1108">
        <f t="shared" si="70"/>
        <v>0</v>
      </c>
      <c r="I1108" s="6">
        <v>0.40138888888888891</v>
      </c>
      <c r="J1108" s="6">
        <v>0.73958333333333337</v>
      </c>
      <c r="K1108" s="7" t="s">
        <v>20</v>
      </c>
      <c r="L1108" s="7" t="s">
        <v>27</v>
      </c>
      <c r="M1108" s="7" t="s">
        <v>15</v>
      </c>
      <c r="N1108" s="7">
        <f>COUNTIFS(A:A,A1108,D:D,D1108,E:E,I1108)</f>
        <v>0</v>
      </c>
    </row>
    <row r="1109" spans="1:14" x14ac:dyDescent="0.3">
      <c r="A1109" s="7" t="s">
        <v>154</v>
      </c>
      <c r="B1109" s="7" t="s">
        <v>155</v>
      </c>
      <c r="C1109" s="7" t="s">
        <v>42</v>
      </c>
      <c r="D1109" s="8">
        <v>45362</v>
      </c>
      <c r="E1109" s="8" t="str">
        <f t="shared" si="67"/>
        <v>March</v>
      </c>
      <c r="F1109">
        <f t="shared" si="68"/>
        <v>2024</v>
      </c>
      <c r="G1109">
        <f t="shared" si="69"/>
        <v>0</v>
      </c>
      <c r="H1109">
        <f t="shared" si="70"/>
        <v>0</v>
      </c>
      <c r="I1109" s="6"/>
      <c r="J1109" s="6"/>
      <c r="K1109" s="7" t="s">
        <v>44</v>
      </c>
      <c r="L1109" s="7" t="s">
        <v>14</v>
      </c>
      <c r="M1109" s="7" t="s">
        <v>15</v>
      </c>
      <c r="N1109" s="7">
        <f>COUNTIFS(A:A,A1109,D:D,D1109,E:E,I1109)</f>
        <v>0</v>
      </c>
    </row>
    <row r="1110" spans="1:14" x14ac:dyDescent="0.3">
      <c r="A1110" s="7" t="s">
        <v>269</v>
      </c>
      <c r="B1110" s="7" t="s">
        <v>270</v>
      </c>
      <c r="C1110" s="7" t="s">
        <v>426</v>
      </c>
      <c r="D1110" s="8">
        <v>45345</v>
      </c>
      <c r="E1110" s="8" t="str">
        <f t="shared" si="67"/>
        <v>February</v>
      </c>
      <c r="F1110">
        <f t="shared" si="68"/>
        <v>2024</v>
      </c>
      <c r="G1110">
        <f t="shared" si="69"/>
        <v>1</v>
      </c>
      <c r="H1110">
        <f t="shared" si="70"/>
        <v>0</v>
      </c>
      <c r="I1110" s="6">
        <v>0.47916666666666669</v>
      </c>
      <c r="J1110" s="6">
        <v>0.72430555555555554</v>
      </c>
      <c r="K1110" s="7" t="s">
        <v>13</v>
      </c>
      <c r="L1110" s="7" t="s">
        <v>27</v>
      </c>
      <c r="M1110" s="7" t="s">
        <v>21</v>
      </c>
      <c r="N1110" s="7">
        <f>COUNTIFS(A:A,A1110,D:D,D1110,E:E,I1110)</f>
        <v>0</v>
      </c>
    </row>
    <row r="1111" spans="1:14" x14ac:dyDescent="0.3">
      <c r="A1111" s="7" t="s">
        <v>102</v>
      </c>
      <c r="B1111" s="7" t="s">
        <v>103</v>
      </c>
      <c r="C1111" s="7" t="s">
        <v>64</v>
      </c>
      <c r="D1111" s="8">
        <v>45444</v>
      </c>
      <c r="E1111" s="8" t="str">
        <f t="shared" si="67"/>
        <v>June</v>
      </c>
      <c r="F1111">
        <f t="shared" si="68"/>
        <v>2024</v>
      </c>
      <c r="G1111">
        <f t="shared" si="69"/>
        <v>1</v>
      </c>
      <c r="H1111">
        <f t="shared" si="70"/>
        <v>1</v>
      </c>
      <c r="I1111" s="6">
        <v>0.35138888888888886</v>
      </c>
      <c r="J1111" s="6">
        <v>0.79861111111111116</v>
      </c>
      <c r="K1111" s="7" t="s">
        <v>26</v>
      </c>
      <c r="L1111" s="7" t="s">
        <v>27</v>
      </c>
      <c r="M1111" s="7" t="s">
        <v>15</v>
      </c>
      <c r="N1111" s="7">
        <f>COUNTIFS(A:A,A1111,D:D,D1111,E:E,I1111)</f>
        <v>0</v>
      </c>
    </row>
    <row r="1112" spans="1:14" x14ac:dyDescent="0.3">
      <c r="A1112" s="7" t="s">
        <v>22</v>
      </c>
      <c r="B1112" s="7" t="s">
        <v>23</v>
      </c>
      <c r="C1112" s="7" t="s">
        <v>64</v>
      </c>
      <c r="D1112" s="8">
        <v>45320</v>
      </c>
      <c r="E1112" s="8" t="str">
        <f t="shared" si="67"/>
        <v>January</v>
      </c>
      <c r="F1112">
        <f t="shared" si="68"/>
        <v>2024</v>
      </c>
      <c r="G1112">
        <f t="shared" si="69"/>
        <v>1</v>
      </c>
      <c r="H1112">
        <f t="shared" si="70"/>
        <v>0</v>
      </c>
      <c r="I1112" s="6">
        <v>0.43125000000000002</v>
      </c>
      <c r="J1112" s="6">
        <v>0.70972222222222225</v>
      </c>
      <c r="K1112" s="7" t="s">
        <v>13</v>
      </c>
      <c r="L1112" s="7" t="s">
        <v>14</v>
      </c>
      <c r="M1112" s="7" t="s">
        <v>15</v>
      </c>
      <c r="N1112" s="7">
        <f>COUNTIFS(A:A,A1112,D:D,D1112,E:E,I1112)</f>
        <v>0</v>
      </c>
    </row>
    <row r="1113" spans="1:14" x14ac:dyDescent="0.3">
      <c r="A1113" s="7" t="s">
        <v>90</v>
      </c>
      <c r="B1113" s="7" t="s">
        <v>91</v>
      </c>
      <c r="C1113" s="7" t="s">
        <v>60</v>
      </c>
      <c r="D1113" s="8">
        <v>45352</v>
      </c>
      <c r="E1113" s="8" t="str">
        <f t="shared" si="67"/>
        <v>March</v>
      </c>
      <c r="F1113">
        <f t="shared" si="68"/>
        <v>2024</v>
      </c>
      <c r="G1113">
        <f t="shared" si="69"/>
        <v>1</v>
      </c>
      <c r="H1113">
        <f t="shared" si="70"/>
        <v>1</v>
      </c>
      <c r="I1113" s="6">
        <v>0.3611111111111111</v>
      </c>
      <c r="J1113" s="6">
        <v>0.75694444444444442</v>
      </c>
      <c r="K1113" s="7" t="s">
        <v>26</v>
      </c>
      <c r="L1113" s="7" t="s">
        <v>14</v>
      </c>
      <c r="M1113" s="7" t="s">
        <v>15</v>
      </c>
      <c r="N1113" s="7">
        <f>COUNTIFS(A:A,A1113,D:D,D1113,E:E,I1113)</f>
        <v>0</v>
      </c>
    </row>
    <row r="1114" spans="1:14" x14ac:dyDescent="0.3">
      <c r="A1114" s="7" t="s">
        <v>75</v>
      </c>
      <c r="B1114" s="7" t="s">
        <v>76</v>
      </c>
      <c r="C1114" s="7" t="s">
        <v>60</v>
      </c>
      <c r="D1114" s="8">
        <v>45445</v>
      </c>
      <c r="E1114" s="8" t="str">
        <f t="shared" si="67"/>
        <v>June</v>
      </c>
      <c r="F1114">
        <f t="shared" si="68"/>
        <v>2024</v>
      </c>
      <c r="G1114">
        <f t="shared" si="69"/>
        <v>0</v>
      </c>
      <c r="H1114">
        <f t="shared" si="70"/>
        <v>0</v>
      </c>
      <c r="I1114" s="6"/>
      <c r="J1114" s="6"/>
      <c r="K1114" s="7" t="s">
        <v>44</v>
      </c>
      <c r="L1114" s="7" t="s">
        <v>27</v>
      </c>
      <c r="M1114" s="7" t="s">
        <v>21</v>
      </c>
      <c r="N1114" s="7">
        <f>COUNTIFS(A:A,A1114,D:D,D1114,E:E,I1114)</f>
        <v>0</v>
      </c>
    </row>
    <row r="1115" spans="1:14" x14ac:dyDescent="0.3">
      <c r="A1115" s="7" t="s">
        <v>204</v>
      </c>
      <c r="B1115" s="7" t="s">
        <v>205</v>
      </c>
      <c r="C1115" s="7" t="s">
        <v>425</v>
      </c>
      <c r="D1115" s="8">
        <v>45505</v>
      </c>
      <c r="E1115" s="8" t="str">
        <f t="shared" si="67"/>
        <v>August</v>
      </c>
      <c r="F1115">
        <f t="shared" si="68"/>
        <v>2024</v>
      </c>
      <c r="G1115">
        <f t="shared" si="69"/>
        <v>1</v>
      </c>
      <c r="H1115">
        <f t="shared" si="70"/>
        <v>0</v>
      </c>
      <c r="I1115" s="6">
        <v>0.35069444444444442</v>
      </c>
      <c r="J1115" s="6">
        <v>0.82152777777777775</v>
      </c>
      <c r="K1115" s="7" t="s">
        <v>20</v>
      </c>
      <c r="L1115" s="7" t="s">
        <v>27</v>
      </c>
      <c r="M1115" s="7" t="s">
        <v>21</v>
      </c>
      <c r="N1115" s="7">
        <f>COUNTIFS(A:A,A1115,D:D,D1115,E:E,I1115)</f>
        <v>0</v>
      </c>
    </row>
    <row r="1116" spans="1:14" x14ac:dyDescent="0.3">
      <c r="A1116" s="7" t="s">
        <v>96</v>
      </c>
      <c r="B1116" s="7" t="s">
        <v>97</v>
      </c>
      <c r="C1116" s="7" t="s">
        <v>426</v>
      </c>
      <c r="D1116" s="8">
        <v>45314</v>
      </c>
      <c r="E1116" s="8" t="str">
        <f t="shared" si="67"/>
        <v>January</v>
      </c>
      <c r="F1116">
        <f t="shared" si="68"/>
        <v>2024</v>
      </c>
      <c r="G1116">
        <f t="shared" si="69"/>
        <v>1</v>
      </c>
      <c r="H1116">
        <f t="shared" si="70"/>
        <v>0</v>
      </c>
      <c r="I1116" s="6">
        <v>0.34652777777777777</v>
      </c>
      <c r="J1116" s="6">
        <v>0.69791666666666663</v>
      </c>
      <c r="K1116" s="7" t="s">
        <v>20</v>
      </c>
      <c r="L1116" s="7" t="s">
        <v>14</v>
      </c>
      <c r="M1116" s="7" t="s">
        <v>15</v>
      </c>
      <c r="N1116" s="7">
        <f>COUNTIFS(A:A,A1116,D:D,D1116,E:E,I1116)</f>
        <v>0</v>
      </c>
    </row>
    <row r="1117" spans="1:14" x14ac:dyDescent="0.3">
      <c r="A1117" s="7" t="s">
        <v>146</v>
      </c>
      <c r="B1117" s="7" t="s">
        <v>147</v>
      </c>
      <c r="C1117" s="7" t="s">
        <v>426</v>
      </c>
      <c r="D1117" s="8">
        <v>45343</v>
      </c>
      <c r="E1117" s="8" t="str">
        <f t="shared" si="67"/>
        <v>February</v>
      </c>
      <c r="F1117">
        <f t="shared" si="68"/>
        <v>2024</v>
      </c>
      <c r="G1117">
        <f t="shared" si="69"/>
        <v>0</v>
      </c>
      <c r="H1117">
        <f t="shared" si="70"/>
        <v>0</v>
      </c>
      <c r="I1117" s="6"/>
      <c r="J1117" s="6"/>
      <c r="K1117" s="7" t="s">
        <v>44</v>
      </c>
      <c r="L1117" s="7" t="s">
        <v>27</v>
      </c>
      <c r="M1117" s="7" t="s">
        <v>21</v>
      </c>
      <c r="N1117" s="7">
        <f>COUNTIFS(A:A,A1117,D:D,D1117,E:E,I1117)</f>
        <v>0</v>
      </c>
    </row>
    <row r="1118" spans="1:14" x14ac:dyDescent="0.3">
      <c r="A1118" s="7" t="s">
        <v>45</v>
      </c>
      <c r="B1118" s="7" t="s">
        <v>46</v>
      </c>
      <c r="C1118" s="7" t="s">
        <v>426</v>
      </c>
      <c r="D1118" s="8">
        <v>45373</v>
      </c>
      <c r="E1118" s="8" t="str">
        <f t="shared" si="67"/>
        <v>March</v>
      </c>
      <c r="F1118">
        <f t="shared" si="68"/>
        <v>2024</v>
      </c>
      <c r="G1118">
        <f t="shared" si="69"/>
        <v>1</v>
      </c>
      <c r="H1118">
        <f t="shared" si="70"/>
        <v>1</v>
      </c>
      <c r="I1118" s="6">
        <v>0.39166666666666666</v>
      </c>
      <c r="J1118" s="6">
        <v>0.68888888888888888</v>
      </c>
      <c r="K1118" s="7" t="s">
        <v>26</v>
      </c>
      <c r="L1118" s="7" t="s">
        <v>14</v>
      </c>
      <c r="M1118" s="7" t="s">
        <v>15</v>
      </c>
      <c r="N1118" s="7">
        <f>COUNTIFS(A:A,A1118,D:D,D1118,E:E,I1118)</f>
        <v>0</v>
      </c>
    </row>
    <row r="1119" spans="1:14" x14ac:dyDescent="0.3">
      <c r="A1119" s="7" t="s">
        <v>171</v>
      </c>
      <c r="B1119" s="7" t="s">
        <v>172</v>
      </c>
      <c r="C1119" s="7" t="s">
        <v>60</v>
      </c>
      <c r="D1119" s="8">
        <v>45319</v>
      </c>
      <c r="E1119" s="8" t="str">
        <f t="shared" si="67"/>
        <v>January</v>
      </c>
      <c r="F1119">
        <f t="shared" si="68"/>
        <v>2024</v>
      </c>
      <c r="G1119">
        <f t="shared" si="69"/>
        <v>1</v>
      </c>
      <c r="H1119">
        <f t="shared" si="70"/>
        <v>1</v>
      </c>
      <c r="I1119" s="6">
        <v>0.44166666666666665</v>
      </c>
      <c r="J1119" s="6">
        <v>0.7</v>
      </c>
      <c r="K1119" s="7" t="s">
        <v>26</v>
      </c>
      <c r="L1119" s="7" t="s">
        <v>14</v>
      </c>
      <c r="M1119" s="7" t="s">
        <v>15</v>
      </c>
      <c r="N1119" s="7">
        <f>COUNTIFS(A:A,A1119,D:D,D1119,E:E,I1119)</f>
        <v>0</v>
      </c>
    </row>
    <row r="1120" spans="1:14" x14ac:dyDescent="0.3">
      <c r="A1120" s="7" t="s">
        <v>291</v>
      </c>
      <c r="B1120" s="7" t="s">
        <v>292</v>
      </c>
      <c r="C1120" s="7" t="s">
        <v>425</v>
      </c>
      <c r="D1120" s="8">
        <v>45381</v>
      </c>
      <c r="E1120" s="8" t="str">
        <f t="shared" si="67"/>
        <v>March</v>
      </c>
      <c r="F1120">
        <f t="shared" si="68"/>
        <v>2024</v>
      </c>
      <c r="G1120">
        <f t="shared" si="69"/>
        <v>0</v>
      </c>
      <c r="H1120">
        <f t="shared" si="70"/>
        <v>0</v>
      </c>
      <c r="I1120" s="6"/>
      <c r="J1120" s="6"/>
      <c r="K1120" s="7" t="s">
        <v>44</v>
      </c>
      <c r="L1120" s="7" t="s">
        <v>14</v>
      </c>
      <c r="M1120" s="7" t="s">
        <v>15</v>
      </c>
      <c r="N1120" s="7">
        <f>COUNTIFS(A:A,A1120,D:D,D1120,E:E,I1120)</f>
        <v>0</v>
      </c>
    </row>
    <row r="1121" spans="1:14" x14ac:dyDescent="0.3">
      <c r="A1121" s="7" t="s">
        <v>315</v>
      </c>
      <c r="B1121" s="7" t="s">
        <v>316</v>
      </c>
      <c r="C1121" s="7" t="s">
        <v>425</v>
      </c>
      <c r="D1121" s="8">
        <v>45365</v>
      </c>
      <c r="E1121" s="8" t="str">
        <f t="shared" si="67"/>
        <v>March</v>
      </c>
      <c r="F1121">
        <f t="shared" si="68"/>
        <v>2024</v>
      </c>
      <c r="G1121">
        <f t="shared" si="69"/>
        <v>1</v>
      </c>
      <c r="H1121">
        <f t="shared" si="70"/>
        <v>0</v>
      </c>
      <c r="I1121" s="6">
        <v>0.41736111111111113</v>
      </c>
      <c r="J1121" s="6">
        <v>0.77361111111111114</v>
      </c>
      <c r="K1121" s="7" t="s">
        <v>13</v>
      </c>
      <c r="L1121" s="7" t="s">
        <v>14</v>
      </c>
      <c r="M1121" s="7" t="s">
        <v>15</v>
      </c>
      <c r="N1121" s="7">
        <f>COUNTIFS(A:A,A1121,D:D,D1121,E:E,I1121)</f>
        <v>0</v>
      </c>
    </row>
    <row r="1122" spans="1:14" x14ac:dyDescent="0.3">
      <c r="A1122" s="7" t="s">
        <v>40</v>
      </c>
      <c r="B1122" s="7" t="s">
        <v>41</v>
      </c>
      <c r="C1122" s="7" t="s">
        <v>42</v>
      </c>
      <c r="D1122" s="8">
        <v>45323</v>
      </c>
      <c r="E1122" s="8" t="str">
        <f t="shared" si="67"/>
        <v>February</v>
      </c>
      <c r="F1122">
        <f t="shared" si="68"/>
        <v>2024</v>
      </c>
      <c r="G1122">
        <f t="shared" si="69"/>
        <v>1</v>
      </c>
      <c r="H1122">
        <f t="shared" si="70"/>
        <v>1</v>
      </c>
      <c r="I1122" s="6">
        <v>0.45694444444444443</v>
      </c>
      <c r="J1122" s="6">
        <v>0.79027777777777775</v>
      </c>
      <c r="K1122" s="7" t="s">
        <v>26</v>
      </c>
      <c r="L1122" s="7" t="s">
        <v>14</v>
      </c>
      <c r="M1122" s="7" t="s">
        <v>21</v>
      </c>
      <c r="N1122" s="7">
        <f>COUNTIFS(A:A,A1122,D:D,D1122,E:E,I1122)</f>
        <v>0</v>
      </c>
    </row>
    <row r="1123" spans="1:14" x14ac:dyDescent="0.3">
      <c r="A1123" s="7" t="s">
        <v>93</v>
      </c>
      <c r="B1123" s="7" t="s">
        <v>94</v>
      </c>
      <c r="C1123" s="7" t="s">
        <v>60</v>
      </c>
      <c r="D1123" s="8">
        <v>45537</v>
      </c>
      <c r="E1123" s="8" t="str">
        <f t="shared" si="67"/>
        <v>September</v>
      </c>
      <c r="F1123">
        <f t="shared" si="68"/>
        <v>2024</v>
      </c>
      <c r="G1123">
        <f t="shared" si="69"/>
        <v>1</v>
      </c>
      <c r="H1123">
        <f t="shared" si="70"/>
        <v>0</v>
      </c>
      <c r="I1123" s="6">
        <v>0.37777777777777777</v>
      </c>
      <c r="J1123" s="6">
        <v>0.6958333333333333</v>
      </c>
      <c r="K1123" s="7" t="s">
        <v>20</v>
      </c>
      <c r="L1123" s="7" t="s">
        <v>27</v>
      </c>
      <c r="M1123" s="7" t="s">
        <v>15</v>
      </c>
      <c r="N1123" s="7">
        <f>COUNTIFS(A:A,A1123,D:D,D1123,E:E,I1123)</f>
        <v>0</v>
      </c>
    </row>
    <row r="1124" spans="1:14" x14ac:dyDescent="0.3">
      <c r="A1124" s="7" t="s">
        <v>130</v>
      </c>
      <c r="B1124" s="7" t="s">
        <v>131</v>
      </c>
      <c r="C1124" s="7" t="s">
        <v>42</v>
      </c>
      <c r="D1124" s="8">
        <v>45332</v>
      </c>
      <c r="E1124" s="8" t="str">
        <f t="shared" si="67"/>
        <v>February</v>
      </c>
      <c r="F1124">
        <f t="shared" si="68"/>
        <v>2024</v>
      </c>
      <c r="G1124">
        <f t="shared" si="69"/>
        <v>1</v>
      </c>
      <c r="H1124">
        <f t="shared" si="70"/>
        <v>0</v>
      </c>
      <c r="I1124" s="6">
        <v>0.33819444444444446</v>
      </c>
      <c r="J1124" s="6">
        <v>0.85555555555555551</v>
      </c>
      <c r="K1124" s="7" t="s">
        <v>20</v>
      </c>
      <c r="L1124" s="7" t="s">
        <v>27</v>
      </c>
      <c r="M1124" s="7" t="s">
        <v>21</v>
      </c>
      <c r="N1124" s="7">
        <f>COUNTIFS(A:A,A1124,D:D,D1124,E:E,I1124)</f>
        <v>0</v>
      </c>
    </row>
    <row r="1125" spans="1:14" x14ac:dyDescent="0.3">
      <c r="A1125" s="7" t="s">
        <v>9</v>
      </c>
      <c r="B1125" s="7" t="s">
        <v>10</v>
      </c>
      <c r="C1125" s="7" t="s">
        <v>42</v>
      </c>
      <c r="D1125" s="8">
        <v>45311</v>
      </c>
      <c r="E1125" s="8" t="str">
        <f t="shared" si="67"/>
        <v>January</v>
      </c>
      <c r="F1125">
        <f t="shared" si="68"/>
        <v>2024</v>
      </c>
      <c r="G1125">
        <f t="shared" si="69"/>
        <v>0</v>
      </c>
      <c r="H1125">
        <f t="shared" si="70"/>
        <v>0</v>
      </c>
      <c r="I1125" s="6"/>
      <c r="J1125" s="6"/>
      <c r="K1125" s="7" t="s">
        <v>44</v>
      </c>
      <c r="L1125" s="7" t="s">
        <v>14</v>
      </c>
      <c r="M1125" s="7" t="s">
        <v>15</v>
      </c>
      <c r="N1125" s="7">
        <f>COUNTIFS(A:A,A1125,D:D,D1125,E:E,I1125)</f>
        <v>0</v>
      </c>
    </row>
    <row r="1126" spans="1:14" x14ac:dyDescent="0.3">
      <c r="A1126" s="7" t="s">
        <v>52</v>
      </c>
      <c r="B1126" s="7" t="s">
        <v>53</v>
      </c>
      <c r="C1126" s="7" t="s">
        <v>426</v>
      </c>
      <c r="D1126" s="8">
        <v>45444</v>
      </c>
      <c r="E1126" s="8" t="str">
        <f t="shared" si="67"/>
        <v>June</v>
      </c>
      <c r="F1126">
        <f t="shared" si="68"/>
        <v>2024</v>
      </c>
      <c r="G1126">
        <f t="shared" si="69"/>
        <v>1</v>
      </c>
      <c r="H1126">
        <f t="shared" si="70"/>
        <v>1</v>
      </c>
      <c r="I1126" s="6">
        <v>0.43611111111111112</v>
      </c>
      <c r="J1126" s="6">
        <v>0.85138888888888886</v>
      </c>
      <c r="K1126" s="7" t="s">
        <v>26</v>
      </c>
      <c r="L1126" s="7" t="s">
        <v>27</v>
      </c>
      <c r="M1126" s="7" t="s">
        <v>21</v>
      </c>
      <c r="N1126" s="7">
        <f>COUNTIFS(A:A,A1126,D:D,D1126,E:E,I1126)</f>
        <v>0</v>
      </c>
    </row>
    <row r="1127" spans="1:14" x14ac:dyDescent="0.3">
      <c r="A1127" s="7" t="s">
        <v>187</v>
      </c>
      <c r="B1127" s="7" t="s">
        <v>188</v>
      </c>
      <c r="C1127" s="7" t="s">
        <v>60</v>
      </c>
      <c r="D1127" s="8">
        <v>45375</v>
      </c>
      <c r="E1127" s="8" t="str">
        <f t="shared" si="67"/>
        <v>March</v>
      </c>
      <c r="F1127">
        <f t="shared" si="68"/>
        <v>2024</v>
      </c>
      <c r="G1127">
        <f t="shared" si="69"/>
        <v>1</v>
      </c>
      <c r="H1127">
        <f t="shared" si="70"/>
        <v>0</v>
      </c>
      <c r="I1127" s="6">
        <v>0.33888888888888891</v>
      </c>
      <c r="J1127" s="6">
        <v>0.75138888888888888</v>
      </c>
      <c r="K1127" s="7" t="s">
        <v>13</v>
      </c>
      <c r="L1127" s="7" t="s">
        <v>27</v>
      </c>
      <c r="M1127" s="7" t="s">
        <v>21</v>
      </c>
      <c r="N1127" s="7">
        <f>COUNTIFS(A:A,A1127,D:D,D1127,E:E,I1127)</f>
        <v>0</v>
      </c>
    </row>
    <row r="1128" spans="1:14" x14ac:dyDescent="0.3">
      <c r="A1128" s="7" t="s">
        <v>84</v>
      </c>
      <c r="B1128" s="7" t="s">
        <v>85</v>
      </c>
      <c r="C1128" s="7" t="s">
        <v>64</v>
      </c>
      <c r="D1128" s="8">
        <v>45313</v>
      </c>
      <c r="E1128" s="8" t="str">
        <f t="shared" si="67"/>
        <v>January</v>
      </c>
      <c r="F1128">
        <f t="shared" si="68"/>
        <v>2024</v>
      </c>
      <c r="G1128">
        <f t="shared" si="69"/>
        <v>1</v>
      </c>
      <c r="H1128">
        <f t="shared" si="70"/>
        <v>0</v>
      </c>
      <c r="I1128" s="6">
        <v>0.34722222222222221</v>
      </c>
      <c r="J1128" s="6">
        <v>0.71666666666666667</v>
      </c>
      <c r="K1128" s="7" t="s">
        <v>20</v>
      </c>
      <c r="L1128" s="7" t="s">
        <v>14</v>
      </c>
      <c r="M1128" s="7" t="s">
        <v>15</v>
      </c>
      <c r="N1128" s="7">
        <f>COUNTIFS(A:A,A1128,D:D,D1128,E:E,I1128)</f>
        <v>0</v>
      </c>
    </row>
    <row r="1129" spans="1:14" x14ac:dyDescent="0.3">
      <c r="A1129" s="7" t="s">
        <v>75</v>
      </c>
      <c r="B1129" s="7" t="s">
        <v>76</v>
      </c>
      <c r="C1129" s="7" t="s">
        <v>425</v>
      </c>
      <c r="D1129" s="8">
        <v>45308</v>
      </c>
      <c r="E1129" s="8" t="str">
        <f t="shared" si="67"/>
        <v>January</v>
      </c>
      <c r="F1129">
        <f t="shared" si="68"/>
        <v>2024</v>
      </c>
      <c r="G1129">
        <f t="shared" si="69"/>
        <v>1</v>
      </c>
      <c r="H1129">
        <f t="shared" si="70"/>
        <v>0</v>
      </c>
      <c r="I1129" s="6">
        <v>0.40138888888888891</v>
      </c>
      <c r="J1129" s="6">
        <v>0.74375000000000002</v>
      </c>
      <c r="K1129" s="7" t="s">
        <v>13</v>
      </c>
      <c r="L1129" s="7" t="s">
        <v>14</v>
      </c>
      <c r="M1129" s="7" t="s">
        <v>15</v>
      </c>
      <c r="N1129" s="7">
        <f>COUNTIFS(A:A,A1129,D:D,D1129,E:E,I1129)</f>
        <v>0</v>
      </c>
    </row>
    <row r="1130" spans="1:14" x14ac:dyDescent="0.3">
      <c r="A1130" s="7" t="s">
        <v>216</v>
      </c>
      <c r="B1130" s="7" t="s">
        <v>217</v>
      </c>
      <c r="C1130" s="7" t="s">
        <v>425</v>
      </c>
      <c r="D1130" s="8">
        <v>45368</v>
      </c>
      <c r="E1130" s="8" t="str">
        <f t="shared" si="67"/>
        <v>March</v>
      </c>
      <c r="F1130">
        <f t="shared" si="68"/>
        <v>2024</v>
      </c>
      <c r="G1130">
        <f t="shared" si="69"/>
        <v>1</v>
      </c>
      <c r="H1130">
        <f t="shared" si="70"/>
        <v>0</v>
      </c>
      <c r="I1130" s="6">
        <v>0.46597222222222223</v>
      </c>
      <c r="J1130" s="6">
        <v>0.82638888888888884</v>
      </c>
      <c r="K1130" s="7" t="s">
        <v>20</v>
      </c>
      <c r="L1130" s="7" t="s">
        <v>14</v>
      </c>
      <c r="M1130" s="7" t="s">
        <v>21</v>
      </c>
      <c r="N1130" s="7">
        <f>COUNTIFS(A:A,A1130,D:D,D1130,E:E,I1130)</f>
        <v>0</v>
      </c>
    </row>
    <row r="1131" spans="1:14" x14ac:dyDescent="0.3">
      <c r="A1131" s="7" t="s">
        <v>213</v>
      </c>
      <c r="B1131" s="7" t="s">
        <v>214</v>
      </c>
      <c r="C1131" s="7" t="s">
        <v>60</v>
      </c>
      <c r="D1131" s="8">
        <v>45373</v>
      </c>
      <c r="E1131" s="8" t="str">
        <f t="shared" si="67"/>
        <v>March</v>
      </c>
      <c r="F1131">
        <f t="shared" si="68"/>
        <v>2024</v>
      </c>
      <c r="G1131">
        <f t="shared" si="69"/>
        <v>1</v>
      </c>
      <c r="H1131">
        <f t="shared" si="70"/>
        <v>1</v>
      </c>
      <c r="I1131" s="6">
        <v>0.38819444444444445</v>
      </c>
      <c r="J1131" s="6">
        <v>0.74097222222222225</v>
      </c>
      <c r="K1131" s="7" t="s">
        <v>26</v>
      </c>
      <c r="L1131" s="7" t="s">
        <v>27</v>
      </c>
      <c r="M1131" s="7" t="s">
        <v>21</v>
      </c>
      <c r="N1131" s="7">
        <f>COUNTIFS(A:A,A1131,D:D,D1131,E:E,I1131)</f>
        <v>0</v>
      </c>
    </row>
    <row r="1132" spans="1:14" x14ac:dyDescent="0.3">
      <c r="A1132" s="7" t="s">
        <v>31</v>
      </c>
      <c r="B1132" s="7" t="s">
        <v>32</v>
      </c>
      <c r="C1132" s="7" t="s">
        <v>425</v>
      </c>
      <c r="D1132" s="8">
        <v>45367</v>
      </c>
      <c r="E1132" s="8" t="str">
        <f t="shared" si="67"/>
        <v>March</v>
      </c>
      <c r="F1132">
        <f t="shared" si="68"/>
        <v>2024</v>
      </c>
      <c r="G1132">
        <f t="shared" si="69"/>
        <v>1</v>
      </c>
      <c r="H1132">
        <f t="shared" si="70"/>
        <v>1</v>
      </c>
      <c r="I1132" s="6">
        <v>0.34097222222222223</v>
      </c>
      <c r="J1132" s="6">
        <v>0.8520833333333333</v>
      </c>
      <c r="K1132" s="7" t="s">
        <v>26</v>
      </c>
      <c r="L1132" s="7" t="s">
        <v>14</v>
      </c>
      <c r="M1132" s="7" t="s">
        <v>21</v>
      </c>
      <c r="N1132" s="7">
        <f>COUNTIFS(A:A,A1132,D:D,D1132,E:E,I1132)</f>
        <v>0</v>
      </c>
    </row>
    <row r="1133" spans="1:14" x14ac:dyDescent="0.3">
      <c r="A1133" s="7" t="s">
        <v>109</v>
      </c>
      <c r="B1133" s="7" t="s">
        <v>110</v>
      </c>
      <c r="C1133" s="7" t="s">
        <v>42</v>
      </c>
      <c r="D1133" s="8">
        <v>45344</v>
      </c>
      <c r="E1133" s="8" t="str">
        <f t="shared" si="67"/>
        <v>February</v>
      </c>
      <c r="F1133">
        <f t="shared" si="68"/>
        <v>2024</v>
      </c>
      <c r="G1133">
        <f t="shared" si="69"/>
        <v>1</v>
      </c>
      <c r="H1133">
        <f t="shared" si="70"/>
        <v>0</v>
      </c>
      <c r="I1133" s="6">
        <v>0.43263888888888891</v>
      </c>
      <c r="J1133" s="6">
        <v>0.87152777777777779</v>
      </c>
      <c r="K1133" s="7" t="s">
        <v>13</v>
      </c>
      <c r="L1133" s="7" t="s">
        <v>14</v>
      </c>
      <c r="M1133" s="7" t="s">
        <v>15</v>
      </c>
      <c r="N1133" s="7">
        <f>COUNTIFS(A:A,A1133,D:D,D1133,E:E,I1133)</f>
        <v>0</v>
      </c>
    </row>
    <row r="1134" spans="1:14" x14ac:dyDescent="0.3">
      <c r="A1134" s="7" t="s">
        <v>115</v>
      </c>
      <c r="B1134" s="7" t="s">
        <v>116</v>
      </c>
      <c r="C1134" s="7" t="s">
        <v>64</v>
      </c>
      <c r="D1134" s="8">
        <v>45505</v>
      </c>
      <c r="E1134" s="8" t="str">
        <f t="shared" si="67"/>
        <v>August</v>
      </c>
      <c r="F1134">
        <f t="shared" si="68"/>
        <v>2024</v>
      </c>
      <c r="G1134">
        <f t="shared" si="69"/>
        <v>1</v>
      </c>
      <c r="H1134">
        <f t="shared" si="70"/>
        <v>0</v>
      </c>
      <c r="I1134" s="6">
        <v>0.4909722222222222</v>
      </c>
      <c r="J1134" s="6">
        <v>0.82777777777777772</v>
      </c>
      <c r="K1134" s="7" t="s">
        <v>13</v>
      </c>
      <c r="L1134" s="7" t="s">
        <v>27</v>
      </c>
      <c r="M1134" s="7" t="s">
        <v>15</v>
      </c>
      <c r="N1134" s="7">
        <f>COUNTIFS(A:A,A1134,D:D,D1134,E:E,I1134)</f>
        <v>0</v>
      </c>
    </row>
    <row r="1135" spans="1:14" x14ac:dyDescent="0.3">
      <c r="A1135" s="7" t="s">
        <v>9</v>
      </c>
      <c r="B1135" s="7" t="s">
        <v>10</v>
      </c>
      <c r="C1135" s="7" t="s">
        <v>426</v>
      </c>
      <c r="D1135" s="8">
        <v>45313</v>
      </c>
      <c r="E1135" s="8" t="str">
        <f t="shared" si="67"/>
        <v>January</v>
      </c>
      <c r="F1135">
        <f t="shared" si="68"/>
        <v>2024</v>
      </c>
      <c r="G1135">
        <f t="shared" si="69"/>
        <v>1</v>
      </c>
      <c r="H1135">
        <f t="shared" si="70"/>
        <v>0</v>
      </c>
      <c r="I1135" s="6">
        <v>0.41319444444444442</v>
      </c>
      <c r="J1135" s="6">
        <v>0.8305555555555556</v>
      </c>
      <c r="K1135" s="7" t="s">
        <v>13</v>
      </c>
      <c r="L1135" s="7" t="s">
        <v>27</v>
      </c>
      <c r="M1135" s="7" t="s">
        <v>15</v>
      </c>
      <c r="N1135" s="7">
        <f>COUNTIFS(A:A,A1135,D:D,D1135,E:E,I1135)</f>
        <v>0</v>
      </c>
    </row>
    <row r="1136" spans="1:14" x14ac:dyDescent="0.3">
      <c r="A1136" s="7" t="s">
        <v>93</v>
      </c>
      <c r="B1136" s="7" t="s">
        <v>94</v>
      </c>
      <c r="C1136" s="7" t="s">
        <v>425</v>
      </c>
      <c r="D1136" s="8">
        <v>45313</v>
      </c>
      <c r="E1136" s="8" t="str">
        <f t="shared" si="67"/>
        <v>January</v>
      </c>
      <c r="F1136">
        <f t="shared" si="68"/>
        <v>2024</v>
      </c>
      <c r="G1136">
        <f t="shared" si="69"/>
        <v>1</v>
      </c>
      <c r="H1136">
        <f t="shared" si="70"/>
        <v>0</v>
      </c>
      <c r="I1136" s="6">
        <v>0.49583333333333335</v>
      </c>
      <c r="J1136" s="6">
        <v>0.74513888888888891</v>
      </c>
      <c r="K1136" s="7" t="s">
        <v>20</v>
      </c>
      <c r="L1136" s="7" t="s">
        <v>14</v>
      </c>
      <c r="M1136" s="7" t="s">
        <v>21</v>
      </c>
      <c r="N1136" s="7">
        <f>COUNTIFS(A:A,A1136,D:D,D1136,E:E,I1136)</f>
        <v>0</v>
      </c>
    </row>
    <row r="1137" spans="1:14" x14ac:dyDescent="0.3">
      <c r="A1137" s="7" t="s">
        <v>58</v>
      </c>
      <c r="B1137" s="7" t="s">
        <v>59</v>
      </c>
      <c r="C1137" s="7" t="s">
        <v>426</v>
      </c>
      <c r="D1137" s="8">
        <v>45375</v>
      </c>
      <c r="E1137" s="8" t="str">
        <f t="shared" si="67"/>
        <v>March</v>
      </c>
      <c r="F1137">
        <f t="shared" si="68"/>
        <v>2024</v>
      </c>
      <c r="G1137">
        <f t="shared" si="69"/>
        <v>1</v>
      </c>
      <c r="H1137">
        <f t="shared" si="70"/>
        <v>0</v>
      </c>
      <c r="I1137" s="6">
        <v>0.4513888888888889</v>
      </c>
      <c r="J1137" s="6">
        <v>0.68888888888888888</v>
      </c>
      <c r="K1137" s="7" t="s">
        <v>20</v>
      </c>
      <c r="L1137" s="7" t="s">
        <v>14</v>
      </c>
      <c r="M1137" s="7" t="s">
        <v>21</v>
      </c>
      <c r="N1137" s="7">
        <f>COUNTIFS(A:A,A1137,D:D,D1137,E:E,I1137)</f>
        <v>0</v>
      </c>
    </row>
    <row r="1138" spans="1:14" x14ac:dyDescent="0.3">
      <c r="A1138" s="7" t="s">
        <v>45</v>
      </c>
      <c r="B1138" s="7" t="s">
        <v>46</v>
      </c>
      <c r="C1138" s="7" t="s">
        <v>60</v>
      </c>
      <c r="D1138" s="8">
        <v>45344</v>
      </c>
      <c r="E1138" s="8" t="str">
        <f t="shared" si="67"/>
        <v>February</v>
      </c>
      <c r="F1138">
        <f t="shared" si="68"/>
        <v>2024</v>
      </c>
      <c r="G1138">
        <f t="shared" si="69"/>
        <v>1</v>
      </c>
      <c r="H1138">
        <f t="shared" si="70"/>
        <v>1</v>
      </c>
      <c r="I1138" s="6">
        <v>0.39791666666666664</v>
      </c>
      <c r="J1138" s="6">
        <v>0.71875</v>
      </c>
      <c r="K1138" s="7" t="s">
        <v>26</v>
      </c>
      <c r="L1138" s="7" t="s">
        <v>14</v>
      </c>
      <c r="M1138" s="7" t="s">
        <v>15</v>
      </c>
      <c r="N1138" s="7">
        <f>COUNTIFS(A:A,A1138,D:D,D1138,E:E,I1138)</f>
        <v>0</v>
      </c>
    </row>
    <row r="1139" spans="1:14" x14ac:dyDescent="0.3">
      <c r="A1139" s="7" t="s">
        <v>194</v>
      </c>
      <c r="B1139" s="7" t="s">
        <v>195</v>
      </c>
      <c r="C1139" s="7" t="s">
        <v>426</v>
      </c>
      <c r="D1139" s="8">
        <v>45292</v>
      </c>
      <c r="E1139" s="8" t="str">
        <f t="shared" si="67"/>
        <v>January</v>
      </c>
      <c r="F1139">
        <f t="shared" si="68"/>
        <v>2024</v>
      </c>
      <c r="G1139">
        <f t="shared" si="69"/>
        <v>1</v>
      </c>
      <c r="H1139">
        <f t="shared" si="70"/>
        <v>1</v>
      </c>
      <c r="I1139" s="6">
        <v>0.35902777777777778</v>
      </c>
      <c r="J1139" s="6">
        <v>0.70625000000000004</v>
      </c>
      <c r="K1139" s="7" t="s">
        <v>26</v>
      </c>
      <c r="L1139" s="7" t="s">
        <v>14</v>
      </c>
      <c r="M1139" s="7" t="s">
        <v>15</v>
      </c>
      <c r="N1139" s="7">
        <f>COUNTIFS(A:A,A1139,D:D,D1139,E:E,I1139)</f>
        <v>0</v>
      </c>
    </row>
    <row r="1140" spans="1:14" x14ac:dyDescent="0.3">
      <c r="A1140" s="7" t="s">
        <v>84</v>
      </c>
      <c r="B1140" s="7" t="s">
        <v>85</v>
      </c>
      <c r="C1140" s="7" t="s">
        <v>426</v>
      </c>
      <c r="D1140" s="8">
        <v>45375</v>
      </c>
      <c r="E1140" s="8" t="str">
        <f t="shared" si="67"/>
        <v>March</v>
      </c>
      <c r="F1140">
        <f t="shared" si="68"/>
        <v>2024</v>
      </c>
      <c r="G1140">
        <f t="shared" si="69"/>
        <v>1</v>
      </c>
      <c r="H1140">
        <f t="shared" si="70"/>
        <v>0</v>
      </c>
      <c r="I1140" s="6">
        <v>0.39444444444444443</v>
      </c>
      <c r="J1140" s="6">
        <v>0.83611111111111114</v>
      </c>
      <c r="K1140" s="7" t="s">
        <v>13</v>
      </c>
      <c r="L1140" s="7" t="s">
        <v>14</v>
      </c>
      <c r="M1140" s="7" t="s">
        <v>21</v>
      </c>
      <c r="N1140" s="7">
        <f>COUNTIFS(A:A,A1140,D:D,D1140,E:E,I1140)</f>
        <v>0</v>
      </c>
    </row>
    <row r="1141" spans="1:14" x14ac:dyDescent="0.3">
      <c r="A1141" s="7" t="s">
        <v>78</v>
      </c>
      <c r="B1141" s="7" t="s">
        <v>79</v>
      </c>
      <c r="C1141" s="7" t="s">
        <v>425</v>
      </c>
      <c r="D1141" s="8">
        <v>45537</v>
      </c>
      <c r="E1141" s="8" t="str">
        <f t="shared" si="67"/>
        <v>September</v>
      </c>
      <c r="F1141">
        <f t="shared" si="68"/>
        <v>2024</v>
      </c>
      <c r="G1141">
        <f t="shared" si="69"/>
        <v>0</v>
      </c>
      <c r="H1141">
        <f t="shared" si="70"/>
        <v>0</v>
      </c>
      <c r="I1141" s="6"/>
      <c r="J1141" s="6"/>
      <c r="K1141" s="7" t="s">
        <v>44</v>
      </c>
      <c r="L1141" s="7" t="s">
        <v>14</v>
      </c>
      <c r="M1141" s="7" t="s">
        <v>15</v>
      </c>
      <c r="N1141" s="7">
        <f>COUNTIFS(A:A,A1141,D:D,D1141,E:E,I1141)</f>
        <v>0</v>
      </c>
    </row>
    <row r="1142" spans="1:14" x14ac:dyDescent="0.3">
      <c r="A1142" s="7" t="s">
        <v>138</v>
      </c>
      <c r="B1142" s="7" t="s">
        <v>139</v>
      </c>
      <c r="C1142" s="7" t="s">
        <v>64</v>
      </c>
      <c r="D1142" s="8">
        <v>45338</v>
      </c>
      <c r="E1142" s="8" t="str">
        <f t="shared" si="67"/>
        <v>February</v>
      </c>
      <c r="F1142">
        <f t="shared" si="68"/>
        <v>2024</v>
      </c>
      <c r="G1142">
        <f t="shared" si="69"/>
        <v>1</v>
      </c>
      <c r="H1142">
        <f t="shared" si="70"/>
        <v>0</v>
      </c>
      <c r="I1142" s="6">
        <v>0.34791666666666665</v>
      </c>
      <c r="J1142" s="6">
        <v>0.75624999999999998</v>
      </c>
      <c r="K1142" s="7" t="s">
        <v>13</v>
      </c>
      <c r="L1142" s="7" t="s">
        <v>27</v>
      </c>
      <c r="M1142" s="7" t="s">
        <v>21</v>
      </c>
      <c r="N1142" s="7">
        <f>COUNTIFS(A:A,A1142,D:D,D1142,E:E,I1142)</f>
        <v>0</v>
      </c>
    </row>
    <row r="1143" spans="1:14" x14ac:dyDescent="0.3">
      <c r="A1143" s="7" t="s">
        <v>216</v>
      </c>
      <c r="B1143" s="7" t="s">
        <v>217</v>
      </c>
      <c r="C1143" s="7" t="s">
        <v>425</v>
      </c>
      <c r="D1143" s="8">
        <v>45474</v>
      </c>
      <c r="E1143" s="8" t="str">
        <f t="shared" si="67"/>
        <v>July</v>
      </c>
      <c r="F1143">
        <f t="shared" si="68"/>
        <v>2024</v>
      </c>
      <c r="G1143">
        <f t="shared" si="69"/>
        <v>1</v>
      </c>
      <c r="H1143">
        <f t="shared" si="70"/>
        <v>0</v>
      </c>
      <c r="I1143" s="6">
        <v>0.38958333333333334</v>
      </c>
      <c r="J1143" s="6">
        <v>0.86250000000000004</v>
      </c>
      <c r="K1143" s="7" t="s">
        <v>13</v>
      </c>
      <c r="L1143" s="7" t="s">
        <v>14</v>
      </c>
      <c r="M1143" s="7" t="s">
        <v>15</v>
      </c>
      <c r="N1143" s="7">
        <f>COUNTIFS(A:A,A1143,D:D,D1143,E:E,I1143)</f>
        <v>0</v>
      </c>
    </row>
    <row r="1144" spans="1:14" x14ac:dyDescent="0.3">
      <c r="A1144" s="7" t="s">
        <v>55</v>
      </c>
      <c r="B1144" s="7" t="s">
        <v>56</v>
      </c>
      <c r="C1144" s="7" t="s">
        <v>426</v>
      </c>
      <c r="D1144" s="8">
        <v>45292</v>
      </c>
      <c r="E1144" s="8" t="str">
        <f t="shared" si="67"/>
        <v>January</v>
      </c>
      <c r="F1144">
        <f t="shared" si="68"/>
        <v>2024</v>
      </c>
      <c r="G1144">
        <f t="shared" si="69"/>
        <v>1</v>
      </c>
      <c r="H1144">
        <f t="shared" si="70"/>
        <v>0</v>
      </c>
      <c r="I1144" s="6">
        <v>0.43472222222222223</v>
      </c>
      <c r="J1144" s="6">
        <v>0.87152777777777779</v>
      </c>
      <c r="K1144" s="7" t="s">
        <v>13</v>
      </c>
      <c r="L1144" s="7" t="s">
        <v>27</v>
      </c>
      <c r="M1144" s="7" t="s">
        <v>21</v>
      </c>
      <c r="N1144" s="7">
        <f>COUNTIFS(A:A,A1144,D:D,D1144,E:E,I1144)</f>
        <v>0</v>
      </c>
    </row>
    <row r="1145" spans="1:14" x14ac:dyDescent="0.3">
      <c r="A1145" s="7" t="s">
        <v>112</v>
      </c>
      <c r="B1145" s="7" t="s">
        <v>113</v>
      </c>
      <c r="C1145" s="7" t="s">
        <v>426</v>
      </c>
      <c r="D1145" s="8">
        <v>45308</v>
      </c>
      <c r="E1145" s="8" t="str">
        <f t="shared" si="67"/>
        <v>January</v>
      </c>
      <c r="F1145">
        <f t="shared" si="68"/>
        <v>2024</v>
      </c>
      <c r="G1145">
        <f t="shared" si="69"/>
        <v>1</v>
      </c>
      <c r="H1145">
        <f t="shared" si="70"/>
        <v>0</v>
      </c>
      <c r="I1145" s="6">
        <v>0.49027777777777776</v>
      </c>
      <c r="J1145" s="6">
        <v>0.69930555555555551</v>
      </c>
      <c r="K1145" s="7" t="s">
        <v>13</v>
      </c>
      <c r="L1145" s="7" t="s">
        <v>14</v>
      </c>
      <c r="M1145" s="7" t="s">
        <v>15</v>
      </c>
      <c r="N1145" s="7">
        <f>COUNTIFS(A:A,A1145,D:D,D1145,E:E,I1145)</f>
        <v>0</v>
      </c>
    </row>
    <row r="1146" spans="1:14" x14ac:dyDescent="0.3">
      <c r="A1146" s="7" t="s">
        <v>141</v>
      </c>
      <c r="B1146" s="7" t="s">
        <v>142</v>
      </c>
      <c r="C1146" s="7" t="s">
        <v>60</v>
      </c>
      <c r="D1146" s="8">
        <v>45328</v>
      </c>
      <c r="E1146" s="8" t="str">
        <f t="shared" si="67"/>
        <v>February</v>
      </c>
      <c r="F1146">
        <f t="shared" si="68"/>
        <v>2024</v>
      </c>
      <c r="G1146">
        <f t="shared" si="69"/>
        <v>1</v>
      </c>
      <c r="H1146">
        <f t="shared" si="70"/>
        <v>1</v>
      </c>
      <c r="I1146" s="6">
        <v>0.36319444444444443</v>
      </c>
      <c r="J1146" s="6">
        <v>0.77708333333333335</v>
      </c>
      <c r="K1146" s="7" t="s">
        <v>26</v>
      </c>
      <c r="L1146" s="7" t="s">
        <v>27</v>
      </c>
      <c r="M1146" s="7" t="s">
        <v>21</v>
      </c>
      <c r="N1146" s="7">
        <f>COUNTIFS(A:A,A1146,D:D,D1146,E:E,I1146)</f>
        <v>0</v>
      </c>
    </row>
    <row r="1147" spans="1:14" x14ac:dyDescent="0.3">
      <c r="A1147" s="7" t="s">
        <v>165</v>
      </c>
      <c r="B1147" s="7" t="s">
        <v>166</v>
      </c>
      <c r="C1147" s="7" t="s">
        <v>64</v>
      </c>
      <c r="D1147" s="8">
        <v>45299</v>
      </c>
      <c r="E1147" s="8" t="str">
        <f t="shared" si="67"/>
        <v>January</v>
      </c>
      <c r="F1147">
        <f t="shared" si="68"/>
        <v>2024</v>
      </c>
      <c r="G1147">
        <f t="shared" si="69"/>
        <v>1</v>
      </c>
      <c r="H1147">
        <f t="shared" si="70"/>
        <v>0</v>
      </c>
      <c r="I1147" s="6">
        <v>0.39166666666666666</v>
      </c>
      <c r="J1147" s="6">
        <v>0.71875</v>
      </c>
      <c r="K1147" s="7" t="s">
        <v>20</v>
      </c>
      <c r="L1147" s="7" t="s">
        <v>27</v>
      </c>
      <c r="M1147" s="7" t="s">
        <v>15</v>
      </c>
      <c r="N1147" s="7">
        <f>COUNTIFS(A:A,A1147,D:D,D1147,E:E,I1147)</f>
        <v>0</v>
      </c>
    </row>
    <row r="1148" spans="1:14" x14ac:dyDescent="0.3">
      <c r="A1148" s="7" t="s">
        <v>112</v>
      </c>
      <c r="B1148" s="7" t="s">
        <v>113</v>
      </c>
      <c r="C1148" s="7" t="s">
        <v>426</v>
      </c>
      <c r="D1148" s="8">
        <v>45376</v>
      </c>
      <c r="E1148" s="8" t="str">
        <f t="shared" si="67"/>
        <v>March</v>
      </c>
      <c r="F1148">
        <f t="shared" si="68"/>
        <v>2024</v>
      </c>
      <c r="G1148">
        <f t="shared" si="69"/>
        <v>0</v>
      </c>
      <c r="H1148">
        <f t="shared" si="70"/>
        <v>0</v>
      </c>
      <c r="I1148" s="6"/>
      <c r="J1148" s="6"/>
      <c r="K1148" s="7" t="s">
        <v>44</v>
      </c>
      <c r="L1148" s="7" t="s">
        <v>27</v>
      </c>
      <c r="M1148" s="7" t="s">
        <v>15</v>
      </c>
      <c r="N1148" s="7">
        <f>COUNTIFS(A:A,A1148,D:D,D1148,E:E,I1148)</f>
        <v>0</v>
      </c>
    </row>
    <row r="1149" spans="1:14" x14ac:dyDescent="0.3">
      <c r="A1149" s="7" t="s">
        <v>197</v>
      </c>
      <c r="B1149" s="7" t="s">
        <v>198</v>
      </c>
      <c r="C1149" s="7" t="s">
        <v>426</v>
      </c>
      <c r="D1149" s="8">
        <v>45292</v>
      </c>
      <c r="E1149" s="8" t="str">
        <f t="shared" si="67"/>
        <v>January</v>
      </c>
      <c r="F1149">
        <f t="shared" si="68"/>
        <v>2024</v>
      </c>
      <c r="G1149">
        <f t="shared" si="69"/>
        <v>1</v>
      </c>
      <c r="H1149">
        <f t="shared" si="70"/>
        <v>1</v>
      </c>
      <c r="I1149" s="6">
        <v>0.3972222222222222</v>
      </c>
      <c r="J1149" s="6">
        <v>0.73333333333333328</v>
      </c>
      <c r="K1149" s="7" t="s">
        <v>26</v>
      </c>
      <c r="L1149" s="7" t="s">
        <v>14</v>
      </c>
      <c r="M1149" s="7" t="s">
        <v>21</v>
      </c>
      <c r="N1149" s="7">
        <f>COUNTIFS(A:A,A1149,D:D,D1149,E:E,I1149)</f>
        <v>0</v>
      </c>
    </row>
    <row r="1150" spans="1:14" x14ac:dyDescent="0.3">
      <c r="A1150" s="7" t="s">
        <v>84</v>
      </c>
      <c r="B1150" s="7" t="s">
        <v>85</v>
      </c>
      <c r="C1150" s="7" t="s">
        <v>64</v>
      </c>
      <c r="D1150" s="8">
        <v>45446</v>
      </c>
      <c r="E1150" s="8" t="str">
        <f t="shared" si="67"/>
        <v>June</v>
      </c>
      <c r="F1150">
        <f t="shared" si="68"/>
        <v>2024</v>
      </c>
      <c r="G1150">
        <f t="shared" si="69"/>
        <v>1</v>
      </c>
      <c r="H1150">
        <f t="shared" si="70"/>
        <v>1</v>
      </c>
      <c r="I1150" s="6">
        <v>0.35625000000000001</v>
      </c>
      <c r="J1150" s="6">
        <v>0.70347222222222228</v>
      </c>
      <c r="K1150" s="7" t="s">
        <v>26</v>
      </c>
      <c r="L1150" s="7" t="s">
        <v>14</v>
      </c>
      <c r="M1150" s="7" t="s">
        <v>15</v>
      </c>
      <c r="N1150" s="7">
        <f>COUNTIFS(A:A,A1150,D:D,D1150,E:E,I1150)</f>
        <v>0</v>
      </c>
    </row>
    <row r="1151" spans="1:14" x14ac:dyDescent="0.3">
      <c r="A1151" s="7" t="s">
        <v>90</v>
      </c>
      <c r="B1151" s="7" t="s">
        <v>91</v>
      </c>
      <c r="C1151" s="7" t="s">
        <v>60</v>
      </c>
      <c r="D1151" s="8">
        <v>45628</v>
      </c>
      <c r="E1151" s="8" t="str">
        <f t="shared" si="67"/>
        <v>December</v>
      </c>
      <c r="F1151">
        <f t="shared" si="68"/>
        <v>2024</v>
      </c>
      <c r="G1151">
        <f t="shared" si="69"/>
        <v>1</v>
      </c>
      <c r="H1151">
        <f t="shared" si="70"/>
        <v>0</v>
      </c>
      <c r="I1151" s="6">
        <v>0.36458333333333331</v>
      </c>
      <c r="J1151" s="6">
        <v>0.8618055555555556</v>
      </c>
      <c r="K1151" s="7" t="s">
        <v>13</v>
      </c>
      <c r="L1151" s="7" t="s">
        <v>27</v>
      </c>
      <c r="M1151" s="7" t="s">
        <v>21</v>
      </c>
      <c r="N1151" s="7">
        <f>COUNTIFS(A:A,A1151,D:D,D1151,E:E,I1151)</f>
        <v>0</v>
      </c>
    </row>
    <row r="1152" spans="1:14" x14ac:dyDescent="0.3">
      <c r="A1152" s="7" t="s">
        <v>48</v>
      </c>
      <c r="B1152" s="7" t="s">
        <v>49</v>
      </c>
      <c r="C1152" s="7" t="s">
        <v>425</v>
      </c>
      <c r="D1152" s="8">
        <v>45340</v>
      </c>
      <c r="E1152" s="8" t="str">
        <f t="shared" si="67"/>
        <v>February</v>
      </c>
      <c r="F1152">
        <f t="shared" si="68"/>
        <v>2024</v>
      </c>
      <c r="G1152">
        <f t="shared" si="69"/>
        <v>1</v>
      </c>
      <c r="H1152">
        <f t="shared" si="70"/>
        <v>0</v>
      </c>
      <c r="I1152" s="6">
        <v>0.41458333333333336</v>
      </c>
      <c r="J1152" s="6">
        <v>0.79652777777777772</v>
      </c>
      <c r="K1152" s="7" t="s">
        <v>13</v>
      </c>
      <c r="L1152" s="7" t="s">
        <v>27</v>
      </c>
      <c r="M1152" s="7" t="s">
        <v>21</v>
      </c>
      <c r="N1152" s="7">
        <f>COUNTIFS(A:A,A1152,D:D,D1152,E:E,I1152)</f>
        <v>0</v>
      </c>
    </row>
    <row r="1153" spans="1:14" x14ac:dyDescent="0.3">
      <c r="A1153" s="7" t="s">
        <v>58</v>
      </c>
      <c r="B1153" s="7" t="s">
        <v>59</v>
      </c>
      <c r="C1153" s="7" t="s">
        <v>64</v>
      </c>
      <c r="D1153" s="8">
        <v>45375</v>
      </c>
      <c r="E1153" s="8" t="str">
        <f t="shared" si="67"/>
        <v>March</v>
      </c>
      <c r="F1153">
        <f t="shared" si="68"/>
        <v>2024</v>
      </c>
      <c r="G1153">
        <f t="shared" si="69"/>
        <v>1</v>
      </c>
      <c r="H1153">
        <f t="shared" si="70"/>
        <v>1</v>
      </c>
      <c r="I1153" s="6">
        <v>0.4236111111111111</v>
      </c>
      <c r="J1153" s="6">
        <v>0.72569444444444442</v>
      </c>
      <c r="K1153" s="7" t="s">
        <v>26</v>
      </c>
      <c r="L1153" s="7" t="s">
        <v>14</v>
      </c>
      <c r="M1153" s="7" t="s">
        <v>15</v>
      </c>
      <c r="N1153" s="7">
        <f>COUNTIFS(A:A,A1153,D:D,D1153,E:E,I1153)</f>
        <v>0</v>
      </c>
    </row>
    <row r="1154" spans="1:14" x14ac:dyDescent="0.3">
      <c r="A1154" s="7" t="s">
        <v>72</v>
      </c>
      <c r="B1154" s="7" t="s">
        <v>73</v>
      </c>
      <c r="C1154" s="7" t="s">
        <v>425</v>
      </c>
      <c r="D1154" s="8">
        <v>45385</v>
      </c>
      <c r="E1154" s="8" t="str">
        <f t="shared" ref="E1154:E1217" si="71">TEXT(D1154,"mmmm")</f>
        <v>April</v>
      </c>
      <c r="F1154">
        <f t="shared" ref="F1154:F1217" si="72">YEAR(D1154)</f>
        <v>2024</v>
      </c>
      <c r="G1154">
        <f t="shared" ref="G1154:G1217" si="73">IF(LOWER(K1154)="absent",0,1)</f>
        <v>1</v>
      </c>
      <c r="H1154">
        <f t="shared" ref="H1154:H1217" si="74">IF(K1154="Late",1,0)</f>
        <v>0</v>
      </c>
      <c r="I1154" s="6">
        <v>0.34930555555555554</v>
      </c>
      <c r="J1154" s="6">
        <v>0.81041666666666667</v>
      </c>
      <c r="K1154" s="7" t="s">
        <v>13</v>
      </c>
      <c r="L1154" s="7" t="s">
        <v>14</v>
      </c>
      <c r="M1154" s="7" t="s">
        <v>15</v>
      </c>
      <c r="N1154" s="7">
        <f>COUNTIFS(A:A,A1154,D:D,D1154,E:E,I1154)</f>
        <v>0</v>
      </c>
    </row>
    <row r="1155" spans="1:14" x14ac:dyDescent="0.3">
      <c r="A1155" s="7" t="s">
        <v>45</v>
      </c>
      <c r="B1155" s="7" t="s">
        <v>46</v>
      </c>
      <c r="C1155" s="7" t="s">
        <v>42</v>
      </c>
      <c r="D1155" s="8">
        <v>45325</v>
      </c>
      <c r="E1155" s="8" t="str">
        <f t="shared" si="71"/>
        <v>February</v>
      </c>
      <c r="F1155">
        <f t="shared" si="72"/>
        <v>2024</v>
      </c>
      <c r="G1155">
        <f t="shared" si="73"/>
        <v>1</v>
      </c>
      <c r="H1155">
        <f t="shared" si="74"/>
        <v>0</v>
      </c>
      <c r="I1155" s="6">
        <v>0.34791666666666665</v>
      </c>
      <c r="J1155" s="6">
        <v>0.85763888888888884</v>
      </c>
      <c r="K1155" s="7" t="s">
        <v>20</v>
      </c>
      <c r="L1155" s="7" t="s">
        <v>27</v>
      </c>
      <c r="M1155" s="7" t="s">
        <v>15</v>
      </c>
      <c r="N1155" s="7">
        <f>COUNTIFS(A:A,A1155,D:D,D1155,E:E,I1155)</f>
        <v>0</v>
      </c>
    </row>
    <row r="1156" spans="1:14" x14ac:dyDescent="0.3">
      <c r="A1156" s="7" t="s">
        <v>269</v>
      </c>
      <c r="B1156" s="7" t="s">
        <v>270</v>
      </c>
      <c r="C1156" s="7" t="s">
        <v>64</v>
      </c>
      <c r="D1156" s="8">
        <v>45475</v>
      </c>
      <c r="E1156" s="8" t="str">
        <f t="shared" si="71"/>
        <v>July</v>
      </c>
      <c r="F1156">
        <f t="shared" si="72"/>
        <v>2024</v>
      </c>
      <c r="G1156">
        <f t="shared" si="73"/>
        <v>1</v>
      </c>
      <c r="H1156">
        <f t="shared" si="74"/>
        <v>0</v>
      </c>
      <c r="I1156" s="6">
        <v>0.33541666666666664</v>
      </c>
      <c r="J1156" s="6">
        <v>0.72083333333333333</v>
      </c>
      <c r="K1156" s="7" t="s">
        <v>13</v>
      </c>
      <c r="L1156" s="7" t="s">
        <v>14</v>
      </c>
      <c r="M1156" s="7" t="s">
        <v>21</v>
      </c>
      <c r="N1156" s="7">
        <f>COUNTIFS(A:A,A1156,D:D,D1156,E:E,I1156)</f>
        <v>0</v>
      </c>
    </row>
    <row r="1157" spans="1:14" x14ac:dyDescent="0.3">
      <c r="A1157" s="7" t="s">
        <v>154</v>
      </c>
      <c r="B1157" s="7" t="s">
        <v>155</v>
      </c>
      <c r="C1157" s="7" t="s">
        <v>60</v>
      </c>
      <c r="D1157" s="8">
        <v>45371</v>
      </c>
      <c r="E1157" s="8" t="str">
        <f t="shared" si="71"/>
        <v>March</v>
      </c>
      <c r="F1157">
        <f t="shared" si="72"/>
        <v>2024</v>
      </c>
      <c r="G1157">
        <f t="shared" si="73"/>
        <v>1</v>
      </c>
      <c r="H1157">
        <f t="shared" si="74"/>
        <v>0</v>
      </c>
      <c r="I1157" s="6">
        <v>0.33888888888888891</v>
      </c>
      <c r="J1157" s="6">
        <v>0.76180555555555551</v>
      </c>
      <c r="K1157" s="7" t="s">
        <v>20</v>
      </c>
      <c r="L1157" s="7" t="s">
        <v>14</v>
      </c>
      <c r="M1157" s="7" t="s">
        <v>21</v>
      </c>
      <c r="N1157" s="7">
        <f>COUNTIFS(A:A,A1157,D:D,D1157,E:E,I1157)</f>
        <v>0</v>
      </c>
    </row>
    <row r="1158" spans="1:14" x14ac:dyDescent="0.3">
      <c r="A1158" s="7" t="s">
        <v>22</v>
      </c>
      <c r="B1158" s="7" t="s">
        <v>23</v>
      </c>
      <c r="C1158" s="7" t="s">
        <v>42</v>
      </c>
      <c r="D1158" s="8">
        <v>45346</v>
      </c>
      <c r="E1158" s="8" t="str">
        <f t="shared" si="71"/>
        <v>February</v>
      </c>
      <c r="F1158">
        <f t="shared" si="72"/>
        <v>2024</v>
      </c>
      <c r="G1158">
        <f t="shared" si="73"/>
        <v>0</v>
      </c>
      <c r="H1158">
        <f t="shared" si="74"/>
        <v>0</v>
      </c>
      <c r="I1158" s="6"/>
      <c r="J1158" s="6"/>
      <c r="K1158" s="7" t="s">
        <v>44</v>
      </c>
      <c r="L1158" s="7" t="s">
        <v>27</v>
      </c>
      <c r="M1158" s="7" t="s">
        <v>15</v>
      </c>
      <c r="N1158" s="7">
        <f>COUNTIFS(A:A,A1158,D:D,D1158,E:E,I1158)</f>
        <v>0</v>
      </c>
    </row>
    <row r="1159" spans="1:14" x14ac:dyDescent="0.3">
      <c r="A1159" s="7" t="s">
        <v>90</v>
      </c>
      <c r="B1159" s="7" t="s">
        <v>91</v>
      </c>
      <c r="C1159" s="7" t="s">
        <v>64</v>
      </c>
      <c r="D1159" s="8">
        <v>45345</v>
      </c>
      <c r="E1159" s="8" t="str">
        <f t="shared" si="71"/>
        <v>February</v>
      </c>
      <c r="F1159">
        <f t="shared" si="72"/>
        <v>2024</v>
      </c>
      <c r="G1159">
        <f t="shared" si="73"/>
        <v>1</v>
      </c>
      <c r="H1159">
        <f t="shared" si="74"/>
        <v>0</v>
      </c>
      <c r="I1159" s="6">
        <v>0.34375</v>
      </c>
      <c r="J1159" s="6">
        <v>0.75208333333333333</v>
      </c>
      <c r="K1159" s="7" t="s">
        <v>13</v>
      </c>
      <c r="L1159" s="7" t="s">
        <v>14</v>
      </c>
      <c r="M1159" s="7" t="s">
        <v>15</v>
      </c>
      <c r="N1159" s="7">
        <f>COUNTIFS(A:A,A1159,D:D,D1159,E:E,I1159)</f>
        <v>0</v>
      </c>
    </row>
    <row r="1160" spans="1:14" x14ac:dyDescent="0.3">
      <c r="A1160" s="7" t="s">
        <v>9</v>
      </c>
      <c r="B1160" s="7" t="s">
        <v>10</v>
      </c>
      <c r="C1160" s="7" t="s">
        <v>64</v>
      </c>
      <c r="D1160" s="8">
        <v>45306</v>
      </c>
      <c r="E1160" s="8" t="str">
        <f t="shared" si="71"/>
        <v>January</v>
      </c>
      <c r="F1160">
        <f t="shared" si="72"/>
        <v>2024</v>
      </c>
      <c r="G1160">
        <f t="shared" si="73"/>
        <v>1</v>
      </c>
      <c r="H1160">
        <f t="shared" si="74"/>
        <v>1</v>
      </c>
      <c r="I1160" s="6">
        <v>0.47013888888888888</v>
      </c>
      <c r="J1160" s="6">
        <v>0.71250000000000002</v>
      </c>
      <c r="K1160" s="7" t="s">
        <v>26</v>
      </c>
      <c r="L1160" s="7" t="s">
        <v>14</v>
      </c>
      <c r="M1160" s="7" t="s">
        <v>15</v>
      </c>
      <c r="N1160" s="7">
        <f>COUNTIFS(A:A,A1160,D:D,D1160,E:E,I1160)</f>
        <v>0</v>
      </c>
    </row>
    <row r="1161" spans="1:14" x14ac:dyDescent="0.3">
      <c r="A1161" s="7" t="s">
        <v>250</v>
      </c>
      <c r="B1161" s="7" t="s">
        <v>251</v>
      </c>
      <c r="C1161" s="7" t="s">
        <v>42</v>
      </c>
      <c r="D1161" s="8">
        <v>45355</v>
      </c>
      <c r="E1161" s="8" t="str">
        <f t="shared" si="71"/>
        <v>March</v>
      </c>
      <c r="F1161">
        <f t="shared" si="72"/>
        <v>2024</v>
      </c>
      <c r="G1161">
        <f t="shared" si="73"/>
        <v>1</v>
      </c>
      <c r="H1161">
        <f t="shared" si="74"/>
        <v>0</v>
      </c>
      <c r="I1161" s="6">
        <v>0.33333333333333331</v>
      </c>
      <c r="J1161" s="6">
        <v>0.73750000000000004</v>
      </c>
      <c r="K1161" s="7" t="s">
        <v>20</v>
      </c>
      <c r="L1161" s="7" t="s">
        <v>14</v>
      </c>
      <c r="M1161" s="7" t="s">
        <v>21</v>
      </c>
      <c r="N1161" s="7">
        <f>COUNTIFS(A:A,A1161,D:D,D1161,E:E,I1161)</f>
        <v>0</v>
      </c>
    </row>
    <row r="1162" spans="1:14" x14ac:dyDescent="0.3">
      <c r="A1162" s="7" t="s">
        <v>191</v>
      </c>
      <c r="B1162" s="7" t="s">
        <v>192</v>
      </c>
      <c r="C1162" s="7" t="s">
        <v>426</v>
      </c>
      <c r="D1162" s="8">
        <v>45368</v>
      </c>
      <c r="E1162" s="8" t="str">
        <f t="shared" si="71"/>
        <v>March</v>
      </c>
      <c r="F1162">
        <f t="shared" si="72"/>
        <v>2024</v>
      </c>
      <c r="G1162">
        <f t="shared" si="73"/>
        <v>1</v>
      </c>
      <c r="H1162">
        <f t="shared" si="74"/>
        <v>1</v>
      </c>
      <c r="I1162" s="6">
        <v>0.38333333333333336</v>
      </c>
      <c r="J1162" s="6">
        <v>0.7319444444444444</v>
      </c>
      <c r="K1162" s="7" t="s">
        <v>26</v>
      </c>
      <c r="L1162" s="7" t="s">
        <v>14</v>
      </c>
      <c r="M1162" s="7" t="s">
        <v>15</v>
      </c>
      <c r="N1162" s="7">
        <f>COUNTIFS(A:A,A1162,D:D,D1162,E:E,I1162)</f>
        <v>0</v>
      </c>
    </row>
    <row r="1163" spans="1:14" x14ac:dyDescent="0.3">
      <c r="A1163" s="7" t="s">
        <v>78</v>
      </c>
      <c r="B1163" s="7" t="s">
        <v>79</v>
      </c>
      <c r="C1163" s="7" t="s">
        <v>425</v>
      </c>
      <c r="D1163" s="8">
        <v>45384</v>
      </c>
      <c r="E1163" s="8" t="str">
        <f t="shared" si="71"/>
        <v>April</v>
      </c>
      <c r="F1163">
        <f t="shared" si="72"/>
        <v>2024</v>
      </c>
      <c r="G1163">
        <f t="shared" si="73"/>
        <v>1</v>
      </c>
      <c r="H1163">
        <f t="shared" si="74"/>
        <v>1</v>
      </c>
      <c r="I1163" s="6">
        <v>0.3527777777777778</v>
      </c>
      <c r="J1163" s="6">
        <v>0.80833333333333335</v>
      </c>
      <c r="K1163" s="7" t="s">
        <v>26</v>
      </c>
      <c r="L1163" s="7" t="s">
        <v>27</v>
      </c>
      <c r="M1163" s="7" t="s">
        <v>15</v>
      </c>
      <c r="N1163" s="7">
        <f>COUNTIFS(A:A,A1163,D:D,D1163,E:E,I1163)</f>
        <v>0</v>
      </c>
    </row>
    <row r="1164" spans="1:14" x14ac:dyDescent="0.3">
      <c r="A1164" s="7" t="s">
        <v>112</v>
      </c>
      <c r="B1164" s="7" t="s">
        <v>113</v>
      </c>
      <c r="C1164" s="7" t="s">
        <v>42</v>
      </c>
      <c r="D1164" s="8">
        <v>45333</v>
      </c>
      <c r="E1164" s="8" t="str">
        <f t="shared" si="71"/>
        <v>February</v>
      </c>
      <c r="F1164">
        <f t="shared" si="72"/>
        <v>2024</v>
      </c>
      <c r="G1164">
        <f t="shared" si="73"/>
        <v>1</v>
      </c>
      <c r="H1164">
        <f t="shared" si="74"/>
        <v>1</v>
      </c>
      <c r="I1164" s="6">
        <v>0.37847222222222221</v>
      </c>
      <c r="J1164" s="6">
        <v>0.82291666666666663</v>
      </c>
      <c r="K1164" s="7" t="s">
        <v>26</v>
      </c>
      <c r="L1164" s="7" t="s">
        <v>27</v>
      </c>
      <c r="M1164" s="7" t="s">
        <v>21</v>
      </c>
      <c r="N1164" s="7">
        <f>COUNTIFS(A:A,A1164,D:D,D1164,E:E,I1164)</f>
        <v>0</v>
      </c>
    </row>
    <row r="1165" spans="1:14" x14ac:dyDescent="0.3">
      <c r="A1165" s="7" t="s">
        <v>93</v>
      </c>
      <c r="B1165" s="7" t="s">
        <v>94</v>
      </c>
      <c r="C1165" s="7" t="s">
        <v>426</v>
      </c>
      <c r="D1165" s="8">
        <v>45322</v>
      </c>
      <c r="E1165" s="8" t="str">
        <f t="shared" si="71"/>
        <v>January</v>
      </c>
      <c r="F1165">
        <f t="shared" si="72"/>
        <v>2024</v>
      </c>
      <c r="G1165">
        <f t="shared" si="73"/>
        <v>1</v>
      </c>
      <c r="H1165">
        <f t="shared" si="74"/>
        <v>1</v>
      </c>
      <c r="I1165" s="6">
        <v>0.42638888888888887</v>
      </c>
      <c r="J1165" s="6">
        <v>0.7895833333333333</v>
      </c>
      <c r="K1165" s="7" t="s">
        <v>26</v>
      </c>
      <c r="L1165" s="7" t="s">
        <v>14</v>
      </c>
      <c r="M1165" s="7" t="s">
        <v>21</v>
      </c>
      <c r="N1165" s="7">
        <f>COUNTIFS(A:A,A1165,D:D,D1165,E:E,I1165)</f>
        <v>0</v>
      </c>
    </row>
    <row r="1166" spans="1:14" x14ac:dyDescent="0.3">
      <c r="A1166" s="7" t="s">
        <v>45</v>
      </c>
      <c r="B1166" s="7" t="s">
        <v>46</v>
      </c>
      <c r="C1166" s="7" t="s">
        <v>425</v>
      </c>
      <c r="D1166" s="8">
        <v>45341</v>
      </c>
      <c r="E1166" s="8" t="str">
        <f t="shared" si="71"/>
        <v>February</v>
      </c>
      <c r="F1166">
        <f t="shared" si="72"/>
        <v>2024</v>
      </c>
      <c r="G1166">
        <f t="shared" si="73"/>
        <v>0</v>
      </c>
      <c r="H1166">
        <f t="shared" si="74"/>
        <v>0</v>
      </c>
      <c r="I1166" s="6"/>
      <c r="J1166" s="6"/>
      <c r="K1166" s="7" t="s">
        <v>44</v>
      </c>
      <c r="L1166" s="7" t="s">
        <v>27</v>
      </c>
      <c r="M1166" s="7" t="s">
        <v>21</v>
      </c>
      <c r="N1166" s="7">
        <f>COUNTIFS(A:A,A1166,D:D,D1166,E:E,I1166)</f>
        <v>0</v>
      </c>
    </row>
    <row r="1167" spans="1:14" x14ac:dyDescent="0.3">
      <c r="A1167" s="7" t="s">
        <v>37</v>
      </c>
      <c r="B1167" s="7" t="s">
        <v>38</v>
      </c>
      <c r="C1167" s="7" t="s">
        <v>42</v>
      </c>
      <c r="D1167" s="8">
        <v>45346</v>
      </c>
      <c r="E1167" s="8" t="str">
        <f t="shared" si="71"/>
        <v>February</v>
      </c>
      <c r="F1167">
        <f t="shared" si="72"/>
        <v>2024</v>
      </c>
      <c r="G1167">
        <f t="shared" si="73"/>
        <v>1</v>
      </c>
      <c r="H1167">
        <f t="shared" si="74"/>
        <v>0</v>
      </c>
      <c r="I1167" s="6">
        <v>0.43958333333333333</v>
      </c>
      <c r="J1167" s="6">
        <v>0.6791666666666667</v>
      </c>
      <c r="K1167" s="7" t="s">
        <v>13</v>
      </c>
      <c r="L1167" s="7" t="s">
        <v>27</v>
      </c>
      <c r="M1167" s="7" t="s">
        <v>21</v>
      </c>
      <c r="N1167" s="7">
        <f>COUNTIFS(A:A,A1167,D:D,D1167,E:E,I1167)</f>
        <v>0</v>
      </c>
    </row>
    <row r="1168" spans="1:14" x14ac:dyDescent="0.3">
      <c r="A1168" s="7" t="s">
        <v>150</v>
      </c>
      <c r="B1168" s="7" t="s">
        <v>151</v>
      </c>
      <c r="C1168" s="7" t="s">
        <v>60</v>
      </c>
      <c r="D1168" s="8">
        <v>45310</v>
      </c>
      <c r="E1168" s="8" t="str">
        <f t="shared" si="71"/>
        <v>January</v>
      </c>
      <c r="F1168">
        <f t="shared" si="72"/>
        <v>2024</v>
      </c>
      <c r="G1168">
        <f t="shared" si="73"/>
        <v>1</v>
      </c>
      <c r="H1168">
        <f t="shared" si="74"/>
        <v>0</v>
      </c>
      <c r="I1168" s="6">
        <v>0.4375</v>
      </c>
      <c r="J1168" s="6">
        <v>0.7680555555555556</v>
      </c>
      <c r="K1168" s="7" t="s">
        <v>13</v>
      </c>
      <c r="L1168" s="7" t="s">
        <v>14</v>
      </c>
      <c r="M1168" s="7" t="s">
        <v>21</v>
      </c>
      <c r="N1168" s="7">
        <f>COUNTIFS(A:A,A1168,D:D,D1168,E:E,I1168)</f>
        <v>0</v>
      </c>
    </row>
    <row r="1169" spans="1:14" x14ac:dyDescent="0.3">
      <c r="A1169" s="7" t="s">
        <v>55</v>
      </c>
      <c r="B1169" s="7" t="s">
        <v>56</v>
      </c>
      <c r="C1169" s="7" t="s">
        <v>426</v>
      </c>
      <c r="D1169" s="8">
        <v>45315</v>
      </c>
      <c r="E1169" s="8" t="str">
        <f t="shared" si="71"/>
        <v>January</v>
      </c>
      <c r="F1169">
        <f t="shared" si="72"/>
        <v>2024</v>
      </c>
      <c r="G1169">
        <f t="shared" si="73"/>
        <v>1</v>
      </c>
      <c r="H1169">
        <f t="shared" si="74"/>
        <v>0</v>
      </c>
      <c r="I1169" s="6">
        <v>0.47638888888888886</v>
      </c>
      <c r="J1169" s="6">
        <v>0.8666666666666667</v>
      </c>
      <c r="K1169" s="7" t="s">
        <v>13</v>
      </c>
      <c r="L1169" s="7" t="s">
        <v>27</v>
      </c>
      <c r="M1169" s="7" t="s">
        <v>15</v>
      </c>
      <c r="N1169" s="7">
        <f>COUNTIFS(A:A,A1169,D:D,D1169,E:E,I1169)</f>
        <v>0</v>
      </c>
    </row>
    <row r="1170" spans="1:14" x14ac:dyDescent="0.3">
      <c r="A1170" s="7" t="s">
        <v>119</v>
      </c>
      <c r="B1170" s="7" t="s">
        <v>120</v>
      </c>
      <c r="C1170" s="7" t="s">
        <v>60</v>
      </c>
      <c r="D1170" s="8">
        <v>45309</v>
      </c>
      <c r="E1170" s="8" t="str">
        <f t="shared" si="71"/>
        <v>January</v>
      </c>
      <c r="F1170">
        <f t="shared" si="72"/>
        <v>2024</v>
      </c>
      <c r="G1170">
        <f t="shared" si="73"/>
        <v>1</v>
      </c>
      <c r="H1170">
        <f t="shared" si="74"/>
        <v>0</v>
      </c>
      <c r="I1170" s="6">
        <v>0.37986111111111109</v>
      </c>
      <c r="J1170" s="6">
        <v>0.72013888888888888</v>
      </c>
      <c r="K1170" s="7" t="s">
        <v>13</v>
      </c>
      <c r="L1170" s="7" t="s">
        <v>27</v>
      </c>
      <c r="M1170" s="7" t="s">
        <v>21</v>
      </c>
      <c r="N1170" s="7">
        <f>COUNTIFS(A:A,A1170,D:D,D1170,E:E,I1170)</f>
        <v>0</v>
      </c>
    </row>
    <row r="1171" spans="1:14" x14ac:dyDescent="0.3">
      <c r="A1171" s="7" t="s">
        <v>16</v>
      </c>
      <c r="B1171" s="7" t="s">
        <v>17</v>
      </c>
      <c r="C1171" s="7" t="s">
        <v>42</v>
      </c>
      <c r="D1171" s="8">
        <v>45319</v>
      </c>
      <c r="E1171" s="8" t="str">
        <f t="shared" si="71"/>
        <v>January</v>
      </c>
      <c r="F1171">
        <f t="shared" si="72"/>
        <v>2024</v>
      </c>
      <c r="G1171">
        <f t="shared" si="73"/>
        <v>1</v>
      </c>
      <c r="H1171">
        <f t="shared" si="74"/>
        <v>1</v>
      </c>
      <c r="I1171" s="6">
        <v>0.35902777777777778</v>
      </c>
      <c r="J1171" s="6">
        <v>0.81319444444444444</v>
      </c>
      <c r="K1171" s="7" t="s">
        <v>26</v>
      </c>
      <c r="L1171" s="7" t="s">
        <v>27</v>
      </c>
      <c r="M1171" s="7" t="s">
        <v>15</v>
      </c>
      <c r="N1171" s="7">
        <f>COUNTIFS(A:A,A1171,D:D,D1171,E:E,I1171)</f>
        <v>0</v>
      </c>
    </row>
    <row r="1172" spans="1:14" x14ac:dyDescent="0.3">
      <c r="A1172" s="7" t="s">
        <v>200</v>
      </c>
      <c r="B1172" s="7" t="s">
        <v>201</v>
      </c>
      <c r="C1172" s="7" t="s">
        <v>426</v>
      </c>
      <c r="D1172" s="8">
        <v>45446</v>
      </c>
      <c r="E1172" s="8" t="str">
        <f t="shared" si="71"/>
        <v>June</v>
      </c>
      <c r="F1172">
        <f t="shared" si="72"/>
        <v>2024</v>
      </c>
      <c r="G1172">
        <f t="shared" si="73"/>
        <v>1</v>
      </c>
      <c r="H1172">
        <f t="shared" si="74"/>
        <v>1</v>
      </c>
      <c r="I1172" s="6">
        <v>0.42708333333333331</v>
      </c>
      <c r="J1172" s="6">
        <v>0.83680555555555558</v>
      </c>
      <c r="K1172" s="7" t="s">
        <v>26</v>
      </c>
      <c r="L1172" s="7" t="s">
        <v>27</v>
      </c>
      <c r="M1172" s="7" t="s">
        <v>15</v>
      </c>
      <c r="N1172" s="7">
        <f>COUNTIFS(A:A,A1172,D:D,D1172,E:E,I1172)</f>
        <v>0</v>
      </c>
    </row>
    <row r="1173" spans="1:14" x14ac:dyDescent="0.3">
      <c r="A1173" s="7" t="s">
        <v>84</v>
      </c>
      <c r="B1173" s="7" t="s">
        <v>85</v>
      </c>
      <c r="C1173" s="7" t="s">
        <v>426</v>
      </c>
      <c r="D1173" s="8">
        <v>45339</v>
      </c>
      <c r="E1173" s="8" t="str">
        <f t="shared" si="71"/>
        <v>February</v>
      </c>
      <c r="F1173">
        <f t="shared" si="72"/>
        <v>2024</v>
      </c>
      <c r="G1173">
        <f t="shared" si="73"/>
        <v>1</v>
      </c>
      <c r="H1173">
        <f t="shared" si="74"/>
        <v>0</v>
      </c>
      <c r="I1173" s="6">
        <v>0.48333333333333334</v>
      </c>
      <c r="J1173" s="6">
        <v>0.81180555555555556</v>
      </c>
      <c r="K1173" s="7" t="s">
        <v>20</v>
      </c>
      <c r="L1173" s="7" t="s">
        <v>27</v>
      </c>
      <c r="M1173" s="7" t="s">
        <v>15</v>
      </c>
      <c r="N1173" s="7">
        <f>COUNTIFS(A:A,A1173,D:D,D1173,E:E,I1173)</f>
        <v>0</v>
      </c>
    </row>
    <row r="1174" spans="1:14" x14ac:dyDescent="0.3">
      <c r="A1174" s="7" t="s">
        <v>141</v>
      </c>
      <c r="B1174" s="7" t="s">
        <v>142</v>
      </c>
      <c r="C1174" s="7" t="s">
        <v>64</v>
      </c>
      <c r="D1174" s="8">
        <v>45352</v>
      </c>
      <c r="E1174" s="8" t="str">
        <f t="shared" si="71"/>
        <v>March</v>
      </c>
      <c r="F1174">
        <f t="shared" si="72"/>
        <v>2024</v>
      </c>
      <c r="G1174">
        <f t="shared" si="73"/>
        <v>1</v>
      </c>
      <c r="H1174">
        <f t="shared" si="74"/>
        <v>0</v>
      </c>
      <c r="I1174" s="6">
        <v>0.3527777777777778</v>
      </c>
      <c r="J1174" s="6">
        <v>0.87291666666666667</v>
      </c>
      <c r="K1174" s="7" t="s">
        <v>20</v>
      </c>
      <c r="L1174" s="7" t="s">
        <v>14</v>
      </c>
      <c r="M1174" s="7" t="s">
        <v>21</v>
      </c>
      <c r="N1174" s="7">
        <f>COUNTIFS(A:A,A1174,D:D,D1174,E:E,I1174)</f>
        <v>0</v>
      </c>
    </row>
    <row r="1175" spans="1:14" x14ac:dyDescent="0.3">
      <c r="A1175" s="7" t="s">
        <v>269</v>
      </c>
      <c r="B1175" s="7" t="s">
        <v>270</v>
      </c>
      <c r="C1175" s="7" t="s">
        <v>64</v>
      </c>
      <c r="D1175" s="8">
        <v>45346</v>
      </c>
      <c r="E1175" s="8" t="str">
        <f t="shared" si="71"/>
        <v>February</v>
      </c>
      <c r="F1175">
        <f t="shared" si="72"/>
        <v>2024</v>
      </c>
      <c r="G1175">
        <f t="shared" si="73"/>
        <v>1</v>
      </c>
      <c r="H1175">
        <f t="shared" si="74"/>
        <v>0</v>
      </c>
      <c r="I1175" s="6">
        <v>0.34305555555555556</v>
      </c>
      <c r="J1175" s="6">
        <v>0.82430555555555551</v>
      </c>
      <c r="K1175" s="7" t="s">
        <v>20</v>
      </c>
      <c r="L1175" s="7" t="s">
        <v>27</v>
      </c>
      <c r="M1175" s="7" t="s">
        <v>21</v>
      </c>
      <c r="N1175" s="7">
        <f>COUNTIFS(A:A,A1175,D:D,D1175,E:E,I1175)</f>
        <v>0</v>
      </c>
    </row>
    <row r="1176" spans="1:14" x14ac:dyDescent="0.3">
      <c r="A1176" s="7" t="s">
        <v>37</v>
      </c>
      <c r="B1176" s="7" t="s">
        <v>38</v>
      </c>
      <c r="C1176" s="7" t="s">
        <v>426</v>
      </c>
      <c r="D1176" s="8">
        <v>45316</v>
      </c>
      <c r="E1176" s="8" t="str">
        <f t="shared" si="71"/>
        <v>January</v>
      </c>
      <c r="F1176">
        <f t="shared" si="72"/>
        <v>2024</v>
      </c>
      <c r="G1176">
        <f t="shared" si="73"/>
        <v>0</v>
      </c>
      <c r="H1176">
        <f t="shared" si="74"/>
        <v>0</v>
      </c>
      <c r="I1176" s="6"/>
      <c r="J1176" s="6"/>
      <c r="K1176" s="7" t="s">
        <v>44</v>
      </c>
      <c r="L1176" s="7" t="s">
        <v>27</v>
      </c>
      <c r="M1176" s="7" t="s">
        <v>21</v>
      </c>
      <c r="N1176" s="7">
        <f>COUNTIFS(A:A,A1176,D:D,D1176,E:E,I1176)</f>
        <v>0</v>
      </c>
    </row>
    <row r="1177" spans="1:14" x14ac:dyDescent="0.3">
      <c r="A1177" s="7" t="s">
        <v>269</v>
      </c>
      <c r="B1177" s="7" t="s">
        <v>270</v>
      </c>
      <c r="C1177" s="7" t="s">
        <v>425</v>
      </c>
      <c r="D1177" s="8">
        <v>45377</v>
      </c>
      <c r="E1177" s="8" t="str">
        <f t="shared" si="71"/>
        <v>March</v>
      </c>
      <c r="F1177">
        <f t="shared" si="72"/>
        <v>2024</v>
      </c>
      <c r="G1177">
        <f t="shared" si="73"/>
        <v>1</v>
      </c>
      <c r="H1177">
        <f t="shared" si="74"/>
        <v>0</v>
      </c>
      <c r="I1177" s="6">
        <v>0.49861111111111112</v>
      </c>
      <c r="J1177" s="6">
        <v>0.72499999999999998</v>
      </c>
      <c r="K1177" s="7" t="s">
        <v>20</v>
      </c>
      <c r="L1177" s="7" t="s">
        <v>14</v>
      </c>
      <c r="M1177" s="7" t="s">
        <v>21</v>
      </c>
      <c r="N1177" s="7">
        <f>COUNTIFS(A:A,A1177,D:D,D1177,E:E,I1177)</f>
        <v>0</v>
      </c>
    </row>
    <row r="1178" spans="1:14" x14ac:dyDescent="0.3">
      <c r="A1178" s="7" t="s">
        <v>291</v>
      </c>
      <c r="B1178" s="7" t="s">
        <v>292</v>
      </c>
      <c r="C1178" s="7" t="s">
        <v>425</v>
      </c>
      <c r="D1178" s="8">
        <v>45345</v>
      </c>
      <c r="E1178" s="8" t="str">
        <f t="shared" si="71"/>
        <v>February</v>
      </c>
      <c r="F1178">
        <f t="shared" si="72"/>
        <v>2024</v>
      </c>
      <c r="G1178">
        <f t="shared" si="73"/>
        <v>1</v>
      </c>
      <c r="H1178">
        <f t="shared" si="74"/>
        <v>0</v>
      </c>
      <c r="I1178" s="6">
        <v>0.35</v>
      </c>
      <c r="J1178" s="6">
        <v>0.76249999999999996</v>
      </c>
      <c r="K1178" s="7" t="s">
        <v>20</v>
      </c>
      <c r="L1178" s="7" t="s">
        <v>27</v>
      </c>
      <c r="M1178" s="7" t="s">
        <v>15</v>
      </c>
      <c r="N1178" s="7">
        <f>COUNTIFS(A:A,A1178,D:D,D1178,E:E,I1178)</f>
        <v>0</v>
      </c>
    </row>
    <row r="1179" spans="1:14" x14ac:dyDescent="0.3">
      <c r="A1179" s="7" t="s">
        <v>130</v>
      </c>
      <c r="B1179" s="7" t="s">
        <v>131</v>
      </c>
      <c r="C1179" s="7" t="s">
        <v>60</v>
      </c>
      <c r="D1179" s="8">
        <v>45366</v>
      </c>
      <c r="E1179" s="8" t="str">
        <f t="shared" si="71"/>
        <v>March</v>
      </c>
      <c r="F1179">
        <f t="shared" si="72"/>
        <v>2024</v>
      </c>
      <c r="G1179">
        <f t="shared" si="73"/>
        <v>1</v>
      </c>
      <c r="H1179">
        <f t="shared" si="74"/>
        <v>1</v>
      </c>
      <c r="I1179" s="6">
        <v>0.38680555555555557</v>
      </c>
      <c r="J1179" s="6">
        <v>0.83472222222222225</v>
      </c>
      <c r="K1179" s="7" t="s">
        <v>26</v>
      </c>
      <c r="L1179" s="7" t="s">
        <v>27</v>
      </c>
      <c r="M1179" s="7" t="s">
        <v>21</v>
      </c>
      <c r="N1179" s="7">
        <f>COUNTIFS(A:A,A1179,D:D,D1179,E:E,I1179)</f>
        <v>0</v>
      </c>
    </row>
    <row r="1180" spans="1:14" x14ac:dyDescent="0.3">
      <c r="A1180" s="7" t="s">
        <v>246</v>
      </c>
      <c r="B1180" s="7" t="s">
        <v>247</v>
      </c>
      <c r="C1180" s="7" t="s">
        <v>64</v>
      </c>
      <c r="D1180" s="8">
        <v>45293</v>
      </c>
      <c r="E1180" s="8" t="str">
        <f t="shared" si="71"/>
        <v>January</v>
      </c>
      <c r="F1180">
        <f t="shared" si="72"/>
        <v>2024</v>
      </c>
      <c r="G1180">
        <f t="shared" si="73"/>
        <v>1</v>
      </c>
      <c r="H1180">
        <f t="shared" si="74"/>
        <v>0</v>
      </c>
      <c r="I1180" s="6">
        <v>0.37361111111111112</v>
      </c>
      <c r="J1180" s="6">
        <v>0.81805555555555554</v>
      </c>
      <c r="K1180" s="7" t="s">
        <v>13</v>
      </c>
      <c r="L1180" s="7" t="s">
        <v>14</v>
      </c>
      <c r="M1180" s="7" t="s">
        <v>15</v>
      </c>
      <c r="N1180" s="7">
        <f>COUNTIFS(A:A,A1180,D:D,D1180,E:E,I1180)</f>
        <v>0</v>
      </c>
    </row>
    <row r="1181" spans="1:14" x14ac:dyDescent="0.3">
      <c r="A1181" s="7" t="s">
        <v>146</v>
      </c>
      <c r="B1181" s="7" t="s">
        <v>147</v>
      </c>
      <c r="C1181" s="7" t="s">
        <v>42</v>
      </c>
      <c r="D1181" s="8">
        <v>45308</v>
      </c>
      <c r="E1181" s="8" t="str">
        <f t="shared" si="71"/>
        <v>January</v>
      </c>
      <c r="F1181">
        <f t="shared" si="72"/>
        <v>2024</v>
      </c>
      <c r="G1181">
        <f t="shared" si="73"/>
        <v>0</v>
      </c>
      <c r="H1181">
        <f t="shared" si="74"/>
        <v>0</v>
      </c>
      <c r="I1181" s="6"/>
      <c r="J1181" s="6"/>
      <c r="K1181" s="7" t="s">
        <v>44</v>
      </c>
      <c r="L1181" s="7" t="s">
        <v>27</v>
      </c>
      <c r="M1181" s="7" t="s">
        <v>21</v>
      </c>
      <c r="N1181" s="7">
        <f>COUNTIFS(A:A,A1181,D:D,D1181,E:E,I1181)</f>
        <v>0</v>
      </c>
    </row>
    <row r="1182" spans="1:14" x14ac:dyDescent="0.3">
      <c r="A1182" s="7" t="s">
        <v>96</v>
      </c>
      <c r="B1182" s="7" t="s">
        <v>97</v>
      </c>
      <c r="C1182" s="7" t="s">
        <v>42</v>
      </c>
      <c r="D1182" s="8">
        <v>45335</v>
      </c>
      <c r="E1182" s="8" t="str">
        <f t="shared" si="71"/>
        <v>February</v>
      </c>
      <c r="F1182">
        <f t="shared" si="72"/>
        <v>2024</v>
      </c>
      <c r="G1182">
        <f t="shared" si="73"/>
        <v>1</v>
      </c>
      <c r="H1182">
        <f t="shared" si="74"/>
        <v>1</v>
      </c>
      <c r="I1182" s="6">
        <v>0.48125000000000001</v>
      </c>
      <c r="J1182" s="6">
        <v>0.80625000000000002</v>
      </c>
      <c r="K1182" s="7" t="s">
        <v>26</v>
      </c>
      <c r="L1182" s="7" t="s">
        <v>14</v>
      </c>
      <c r="M1182" s="7" t="s">
        <v>15</v>
      </c>
      <c r="N1182" s="7">
        <f>COUNTIFS(A:A,A1182,D:D,D1182,E:E,I1182)</f>
        <v>0</v>
      </c>
    </row>
    <row r="1183" spans="1:14" x14ac:dyDescent="0.3">
      <c r="A1183" s="7" t="s">
        <v>99</v>
      </c>
      <c r="B1183" s="7" t="s">
        <v>100</v>
      </c>
      <c r="C1183" s="7" t="s">
        <v>426</v>
      </c>
      <c r="D1183" s="8">
        <v>45306</v>
      </c>
      <c r="E1183" s="8" t="str">
        <f t="shared" si="71"/>
        <v>January</v>
      </c>
      <c r="F1183">
        <f t="shared" si="72"/>
        <v>2024</v>
      </c>
      <c r="G1183">
        <f t="shared" si="73"/>
        <v>0</v>
      </c>
      <c r="H1183">
        <f t="shared" si="74"/>
        <v>0</v>
      </c>
      <c r="I1183" s="6"/>
      <c r="J1183" s="6"/>
      <c r="K1183" s="7" t="s">
        <v>44</v>
      </c>
      <c r="L1183" s="7" t="s">
        <v>27</v>
      </c>
      <c r="M1183" s="7" t="s">
        <v>21</v>
      </c>
      <c r="N1183" s="7">
        <f>COUNTIFS(A:A,A1183,D:D,D1183,E:E,I1183)</f>
        <v>0</v>
      </c>
    </row>
    <row r="1184" spans="1:14" x14ac:dyDescent="0.3">
      <c r="A1184" s="7" t="s">
        <v>69</v>
      </c>
      <c r="B1184" s="7" t="s">
        <v>70</v>
      </c>
      <c r="C1184" s="7" t="s">
        <v>426</v>
      </c>
      <c r="D1184" s="8">
        <v>45366</v>
      </c>
      <c r="E1184" s="8" t="str">
        <f t="shared" si="71"/>
        <v>March</v>
      </c>
      <c r="F1184">
        <f t="shared" si="72"/>
        <v>2024</v>
      </c>
      <c r="G1184">
        <f t="shared" si="73"/>
        <v>1</v>
      </c>
      <c r="H1184">
        <f t="shared" si="74"/>
        <v>1</v>
      </c>
      <c r="I1184" s="6">
        <v>0.37569444444444444</v>
      </c>
      <c r="J1184" s="6">
        <v>0.77916666666666667</v>
      </c>
      <c r="K1184" s="7" t="s">
        <v>26</v>
      </c>
      <c r="L1184" s="7" t="s">
        <v>27</v>
      </c>
      <c r="M1184" s="7" t="s">
        <v>21</v>
      </c>
      <c r="N1184" s="7">
        <f>COUNTIFS(A:A,A1184,D:D,D1184,E:E,I1184)</f>
        <v>0</v>
      </c>
    </row>
    <row r="1185" spans="1:14" x14ac:dyDescent="0.3">
      <c r="A1185" s="7" t="s">
        <v>194</v>
      </c>
      <c r="B1185" s="7" t="s">
        <v>195</v>
      </c>
      <c r="C1185" s="7" t="s">
        <v>64</v>
      </c>
      <c r="D1185" s="8">
        <v>45335</v>
      </c>
      <c r="E1185" s="8" t="str">
        <f t="shared" si="71"/>
        <v>February</v>
      </c>
      <c r="F1185">
        <f t="shared" si="72"/>
        <v>2024</v>
      </c>
      <c r="G1185">
        <f t="shared" si="73"/>
        <v>0</v>
      </c>
      <c r="H1185">
        <f t="shared" si="74"/>
        <v>0</v>
      </c>
      <c r="I1185" s="6"/>
      <c r="J1185" s="6"/>
      <c r="K1185" s="7" t="s">
        <v>44</v>
      </c>
      <c r="L1185" s="7" t="s">
        <v>14</v>
      </c>
      <c r="M1185" s="7" t="s">
        <v>21</v>
      </c>
      <c r="N1185" s="7">
        <f>COUNTIFS(A:A,A1185,D:D,D1185,E:E,I1185)</f>
        <v>0</v>
      </c>
    </row>
    <row r="1186" spans="1:14" x14ac:dyDescent="0.3">
      <c r="A1186" s="7" t="s">
        <v>165</v>
      </c>
      <c r="B1186" s="7" t="s">
        <v>166</v>
      </c>
      <c r="C1186" s="7" t="s">
        <v>42</v>
      </c>
      <c r="D1186" s="8">
        <v>45384</v>
      </c>
      <c r="E1186" s="8" t="str">
        <f t="shared" si="71"/>
        <v>April</v>
      </c>
      <c r="F1186">
        <f t="shared" si="72"/>
        <v>2024</v>
      </c>
      <c r="G1186">
        <f t="shared" si="73"/>
        <v>1</v>
      </c>
      <c r="H1186">
        <f t="shared" si="74"/>
        <v>0</v>
      </c>
      <c r="I1186" s="6">
        <v>0.49027777777777776</v>
      </c>
      <c r="J1186" s="6">
        <v>0.81458333333333333</v>
      </c>
      <c r="K1186" s="7" t="s">
        <v>13</v>
      </c>
      <c r="L1186" s="7" t="s">
        <v>27</v>
      </c>
      <c r="M1186" s="7" t="s">
        <v>15</v>
      </c>
      <c r="N1186" s="7">
        <f>COUNTIFS(A:A,A1186,D:D,D1186,E:E,I1186)</f>
        <v>0</v>
      </c>
    </row>
    <row r="1187" spans="1:14" x14ac:dyDescent="0.3">
      <c r="A1187" s="7" t="s">
        <v>194</v>
      </c>
      <c r="B1187" s="7" t="s">
        <v>195</v>
      </c>
      <c r="C1187" s="7" t="s">
        <v>42</v>
      </c>
      <c r="D1187" s="8">
        <v>45335</v>
      </c>
      <c r="E1187" s="8" t="str">
        <f t="shared" si="71"/>
        <v>February</v>
      </c>
      <c r="F1187">
        <f t="shared" si="72"/>
        <v>2024</v>
      </c>
      <c r="G1187">
        <f t="shared" si="73"/>
        <v>1</v>
      </c>
      <c r="H1187">
        <f t="shared" si="74"/>
        <v>0</v>
      </c>
      <c r="I1187" s="6">
        <v>0.39444444444444443</v>
      </c>
      <c r="J1187" s="6">
        <v>0.8666666666666667</v>
      </c>
      <c r="K1187" s="7" t="s">
        <v>20</v>
      </c>
      <c r="L1187" s="7" t="s">
        <v>14</v>
      </c>
      <c r="M1187" s="7" t="s">
        <v>21</v>
      </c>
      <c r="N1187" s="7">
        <f>COUNTIFS(A:A,A1187,D:D,D1187,E:E,I1187)</f>
        <v>0</v>
      </c>
    </row>
    <row r="1188" spans="1:14" x14ac:dyDescent="0.3">
      <c r="A1188" s="7" t="s">
        <v>157</v>
      </c>
      <c r="B1188" s="7" t="s">
        <v>158</v>
      </c>
      <c r="C1188" s="7" t="s">
        <v>42</v>
      </c>
      <c r="D1188" s="8">
        <v>45294</v>
      </c>
      <c r="E1188" s="8" t="str">
        <f t="shared" si="71"/>
        <v>January</v>
      </c>
      <c r="F1188">
        <f t="shared" si="72"/>
        <v>2024</v>
      </c>
      <c r="G1188">
        <f t="shared" si="73"/>
        <v>1</v>
      </c>
      <c r="H1188">
        <f t="shared" si="74"/>
        <v>0</v>
      </c>
      <c r="I1188" s="6">
        <v>0.42916666666666664</v>
      </c>
      <c r="J1188" s="6">
        <v>0.83125000000000004</v>
      </c>
      <c r="K1188" s="7" t="s">
        <v>13</v>
      </c>
      <c r="L1188" s="7" t="s">
        <v>27</v>
      </c>
      <c r="M1188" s="7" t="s">
        <v>21</v>
      </c>
      <c r="N1188" s="7">
        <f>COUNTIFS(A:A,A1188,D:D,D1188,E:E,I1188)</f>
        <v>0</v>
      </c>
    </row>
    <row r="1189" spans="1:14" x14ac:dyDescent="0.3">
      <c r="A1189" s="7" t="s">
        <v>122</v>
      </c>
      <c r="B1189" s="7" t="s">
        <v>123</v>
      </c>
      <c r="C1189" s="7" t="s">
        <v>426</v>
      </c>
      <c r="D1189" s="8">
        <v>45292</v>
      </c>
      <c r="E1189" s="8" t="str">
        <f t="shared" si="71"/>
        <v>January</v>
      </c>
      <c r="F1189">
        <f t="shared" si="72"/>
        <v>2024</v>
      </c>
      <c r="G1189">
        <f t="shared" si="73"/>
        <v>1</v>
      </c>
      <c r="H1189">
        <f t="shared" si="74"/>
        <v>0</v>
      </c>
      <c r="I1189" s="6">
        <v>0.46875</v>
      </c>
      <c r="J1189" s="6">
        <v>0.77013888888888893</v>
      </c>
      <c r="K1189" s="7" t="s">
        <v>20</v>
      </c>
      <c r="L1189" s="7" t="s">
        <v>14</v>
      </c>
      <c r="M1189" s="7" t="s">
        <v>15</v>
      </c>
      <c r="N1189" s="7">
        <f>COUNTIFS(A:A,A1189,D:D,D1189,E:E,I1189)</f>
        <v>0</v>
      </c>
    </row>
    <row r="1190" spans="1:14" x14ac:dyDescent="0.3">
      <c r="A1190" s="7" t="s">
        <v>34</v>
      </c>
      <c r="B1190" s="7" t="s">
        <v>35</v>
      </c>
      <c r="C1190" s="7" t="s">
        <v>42</v>
      </c>
      <c r="D1190" s="8">
        <v>45348</v>
      </c>
      <c r="E1190" s="8" t="str">
        <f t="shared" si="71"/>
        <v>February</v>
      </c>
      <c r="F1190">
        <f t="shared" si="72"/>
        <v>2024</v>
      </c>
      <c r="G1190">
        <f t="shared" si="73"/>
        <v>1</v>
      </c>
      <c r="H1190">
        <f t="shared" si="74"/>
        <v>0</v>
      </c>
      <c r="I1190" s="6">
        <v>0.37847222222222221</v>
      </c>
      <c r="J1190" s="6">
        <v>0.69861111111111107</v>
      </c>
      <c r="K1190" s="7" t="s">
        <v>20</v>
      </c>
      <c r="L1190" s="7" t="s">
        <v>27</v>
      </c>
      <c r="M1190" s="7" t="s">
        <v>15</v>
      </c>
      <c r="N1190" s="7">
        <f>COUNTIFS(A:A,A1190,D:D,D1190,E:E,I1190)</f>
        <v>0</v>
      </c>
    </row>
    <row r="1191" spans="1:14" x14ac:dyDescent="0.3">
      <c r="A1191" s="7" t="s">
        <v>150</v>
      </c>
      <c r="B1191" s="7" t="s">
        <v>151</v>
      </c>
      <c r="C1191" s="7" t="s">
        <v>425</v>
      </c>
      <c r="D1191" s="8">
        <v>45312</v>
      </c>
      <c r="E1191" s="8" t="str">
        <f t="shared" si="71"/>
        <v>January</v>
      </c>
      <c r="F1191">
        <f t="shared" si="72"/>
        <v>2024</v>
      </c>
      <c r="G1191">
        <f t="shared" si="73"/>
        <v>1</v>
      </c>
      <c r="H1191">
        <f t="shared" si="74"/>
        <v>0</v>
      </c>
      <c r="I1191" s="6">
        <v>0.34027777777777779</v>
      </c>
      <c r="J1191" s="6">
        <v>0.82222222222222219</v>
      </c>
      <c r="K1191" s="7" t="s">
        <v>13</v>
      </c>
      <c r="L1191" s="7" t="s">
        <v>14</v>
      </c>
      <c r="M1191" s="7" t="s">
        <v>21</v>
      </c>
      <c r="N1191" s="7">
        <f>COUNTIFS(A:A,A1191,D:D,D1191,E:E,I1191)</f>
        <v>0</v>
      </c>
    </row>
    <row r="1192" spans="1:14" x14ac:dyDescent="0.3">
      <c r="A1192" s="7" t="s">
        <v>191</v>
      </c>
      <c r="B1192" s="7" t="s">
        <v>192</v>
      </c>
      <c r="C1192" s="7" t="s">
        <v>426</v>
      </c>
      <c r="D1192" s="8">
        <v>45326</v>
      </c>
      <c r="E1192" s="8" t="str">
        <f t="shared" si="71"/>
        <v>February</v>
      </c>
      <c r="F1192">
        <f t="shared" si="72"/>
        <v>2024</v>
      </c>
      <c r="G1192">
        <f t="shared" si="73"/>
        <v>1</v>
      </c>
      <c r="H1192">
        <f t="shared" si="74"/>
        <v>0</v>
      </c>
      <c r="I1192" s="6">
        <v>0.36249999999999999</v>
      </c>
      <c r="J1192" s="6">
        <v>0.85763888888888884</v>
      </c>
      <c r="K1192" s="7" t="s">
        <v>13</v>
      </c>
      <c r="L1192" s="7" t="s">
        <v>27</v>
      </c>
      <c r="M1192" s="7" t="s">
        <v>15</v>
      </c>
      <c r="N1192" s="7">
        <f>COUNTIFS(A:A,A1192,D:D,D1192,E:E,I1192)</f>
        <v>0</v>
      </c>
    </row>
    <row r="1193" spans="1:14" x14ac:dyDescent="0.3">
      <c r="A1193" s="7" t="s">
        <v>146</v>
      </c>
      <c r="B1193" s="7" t="s">
        <v>147</v>
      </c>
      <c r="C1193" s="7" t="s">
        <v>425</v>
      </c>
      <c r="D1193" s="8">
        <v>45474</v>
      </c>
      <c r="E1193" s="8" t="str">
        <f t="shared" si="71"/>
        <v>July</v>
      </c>
      <c r="F1193">
        <f t="shared" si="72"/>
        <v>2024</v>
      </c>
      <c r="G1193">
        <f t="shared" si="73"/>
        <v>0</v>
      </c>
      <c r="H1193">
        <f t="shared" si="74"/>
        <v>0</v>
      </c>
      <c r="I1193" s="6"/>
      <c r="J1193" s="6"/>
      <c r="K1193" s="7" t="s">
        <v>44</v>
      </c>
      <c r="L1193" s="7" t="s">
        <v>27</v>
      </c>
      <c r="M1193" s="7" t="s">
        <v>21</v>
      </c>
      <c r="N1193" s="7">
        <f>COUNTIFS(A:A,A1193,D:D,D1193,E:E,I1193)</f>
        <v>0</v>
      </c>
    </row>
    <row r="1194" spans="1:14" x14ac:dyDescent="0.3">
      <c r="A1194" s="7" t="s">
        <v>204</v>
      </c>
      <c r="B1194" s="7" t="s">
        <v>205</v>
      </c>
      <c r="C1194" s="7" t="s">
        <v>42</v>
      </c>
      <c r="D1194" s="8">
        <v>45318</v>
      </c>
      <c r="E1194" s="8" t="str">
        <f t="shared" si="71"/>
        <v>January</v>
      </c>
      <c r="F1194">
        <f t="shared" si="72"/>
        <v>2024</v>
      </c>
      <c r="G1194">
        <f t="shared" si="73"/>
        <v>1</v>
      </c>
      <c r="H1194">
        <f t="shared" si="74"/>
        <v>0</v>
      </c>
      <c r="I1194" s="6">
        <v>0.39861111111111114</v>
      </c>
      <c r="J1194" s="6">
        <v>0.73541666666666672</v>
      </c>
      <c r="K1194" s="7" t="s">
        <v>20</v>
      </c>
      <c r="L1194" s="7" t="s">
        <v>27</v>
      </c>
      <c r="M1194" s="7" t="s">
        <v>15</v>
      </c>
      <c r="N1194" s="7">
        <f>COUNTIFS(A:A,A1194,D:D,D1194,E:E,I1194)</f>
        <v>0</v>
      </c>
    </row>
    <row r="1195" spans="1:14" x14ac:dyDescent="0.3">
      <c r="A1195" s="7" t="s">
        <v>112</v>
      </c>
      <c r="B1195" s="7" t="s">
        <v>113</v>
      </c>
      <c r="C1195" s="7" t="s">
        <v>64</v>
      </c>
      <c r="D1195" s="8">
        <v>45365</v>
      </c>
      <c r="E1195" s="8" t="str">
        <f t="shared" si="71"/>
        <v>March</v>
      </c>
      <c r="F1195">
        <f t="shared" si="72"/>
        <v>2024</v>
      </c>
      <c r="G1195">
        <f t="shared" si="73"/>
        <v>1</v>
      </c>
      <c r="H1195">
        <f t="shared" si="74"/>
        <v>0</v>
      </c>
      <c r="I1195" s="6">
        <v>0.46388888888888891</v>
      </c>
      <c r="J1195" s="6">
        <v>0.74027777777777781</v>
      </c>
      <c r="K1195" s="7" t="s">
        <v>13</v>
      </c>
      <c r="L1195" s="7" t="s">
        <v>14</v>
      </c>
      <c r="M1195" s="7" t="s">
        <v>21</v>
      </c>
      <c r="N1195" s="7">
        <f>COUNTIFS(A:A,A1195,D:D,D1195,E:E,I1195)</f>
        <v>0</v>
      </c>
    </row>
    <row r="1196" spans="1:14" x14ac:dyDescent="0.3">
      <c r="A1196" s="7" t="s">
        <v>62</v>
      </c>
      <c r="B1196" s="7" t="s">
        <v>63</v>
      </c>
      <c r="C1196" s="7" t="s">
        <v>42</v>
      </c>
      <c r="D1196" s="8">
        <v>45351</v>
      </c>
      <c r="E1196" s="8" t="str">
        <f t="shared" si="71"/>
        <v>February</v>
      </c>
      <c r="F1196">
        <f t="shared" si="72"/>
        <v>2024</v>
      </c>
      <c r="G1196">
        <f t="shared" si="73"/>
        <v>0</v>
      </c>
      <c r="H1196">
        <f t="shared" si="74"/>
        <v>0</v>
      </c>
      <c r="I1196" s="6"/>
      <c r="J1196" s="6"/>
      <c r="K1196" s="7" t="s">
        <v>44</v>
      </c>
      <c r="L1196" s="7" t="s">
        <v>14</v>
      </c>
      <c r="M1196" s="7" t="s">
        <v>21</v>
      </c>
      <c r="N1196" s="7">
        <f>COUNTIFS(A:A,A1196,D:D,D1196,E:E,I1196)</f>
        <v>0</v>
      </c>
    </row>
    <row r="1197" spans="1:14" x14ac:dyDescent="0.3">
      <c r="A1197" s="7" t="s">
        <v>28</v>
      </c>
      <c r="B1197" s="7" t="s">
        <v>29</v>
      </c>
      <c r="C1197" s="7" t="s">
        <v>426</v>
      </c>
      <c r="D1197" s="8">
        <v>45536</v>
      </c>
      <c r="E1197" s="8" t="str">
        <f t="shared" si="71"/>
        <v>September</v>
      </c>
      <c r="F1197">
        <f t="shared" si="72"/>
        <v>2024</v>
      </c>
      <c r="G1197">
        <f t="shared" si="73"/>
        <v>1</v>
      </c>
      <c r="H1197">
        <f t="shared" si="74"/>
        <v>0</v>
      </c>
      <c r="I1197" s="6">
        <v>0.42986111111111114</v>
      </c>
      <c r="J1197" s="6">
        <v>0.83819444444444446</v>
      </c>
      <c r="K1197" s="7" t="s">
        <v>20</v>
      </c>
      <c r="L1197" s="7" t="s">
        <v>14</v>
      </c>
      <c r="M1197" s="7" t="s">
        <v>15</v>
      </c>
      <c r="N1197" s="7">
        <f>COUNTIFS(A:A,A1197,D:D,D1197,E:E,I1197)</f>
        <v>0</v>
      </c>
    </row>
    <row r="1198" spans="1:14" x14ac:dyDescent="0.3">
      <c r="A1198" s="7" t="s">
        <v>55</v>
      </c>
      <c r="B1198" s="7" t="s">
        <v>56</v>
      </c>
      <c r="C1198" s="7" t="s">
        <v>60</v>
      </c>
      <c r="D1198" s="8">
        <v>45365</v>
      </c>
      <c r="E1198" s="8" t="str">
        <f t="shared" si="71"/>
        <v>March</v>
      </c>
      <c r="F1198">
        <f t="shared" si="72"/>
        <v>2024</v>
      </c>
      <c r="G1198">
        <f t="shared" si="73"/>
        <v>1</v>
      </c>
      <c r="H1198">
        <f t="shared" si="74"/>
        <v>1</v>
      </c>
      <c r="I1198" s="6">
        <v>0.41388888888888886</v>
      </c>
      <c r="J1198" s="6">
        <v>0.68888888888888888</v>
      </c>
      <c r="K1198" s="7" t="s">
        <v>26</v>
      </c>
      <c r="L1198" s="7" t="s">
        <v>27</v>
      </c>
      <c r="M1198" s="7" t="s">
        <v>21</v>
      </c>
      <c r="N1198" s="7">
        <f>COUNTIFS(A:A,A1198,D:D,D1198,E:E,I1198)</f>
        <v>0</v>
      </c>
    </row>
    <row r="1199" spans="1:14" x14ac:dyDescent="0.3">
      <c r="A1199" s="7" t="s">
        <v>45</v>
      </c>
      <c r="B1199" s="7" t="s">
        <v>46</v>
      </c>
      <c r="C1199" s="7" t="s">
        <v>425</v>
      </c>
      <c r="D1199" s="8">
        <v>45314</v>
      </c>
      <c r="E1199" s="8" t="str">
        <f t="shared" si="71"/>
        <v>January</v>
      </c>
      <c r="F1199">
        <f t="shared" si="72"/>
        <v>2024</v>
      </c>
      <c r="G1199">
        <f t="shared" si="73"/>
        <v>1</v>
      </c>
      <c r="H1199">
        <f t="shared" si="74"/>
        <v>1</v>
      </c>
      <c r="I1199" s="6">
        <v>0.41180555555555554</v>
      </c>
      <c r="J1199" s="6">
        <v>0.76180555555555551</v>
      </c>
      <c r="K1199" s="7" t="s">
        <v>26</v>
      </c>
      <c r="L1199" s="7" t="s">
        <v>27</v>
      </c>
      <c r="M1199" s="7" t="s">
        <v>21</v>
      </c>
      <c r="N1199" s="7">
        <f>COUNTIFS(A:A,A1199,D:D,D1199,E:E,I1199)</f>
        <v>0</v>
      </c>
    </row>
    <row r="1200" spans="1:14" x14ac:dyDescent="0.3">
      <c r="A1200" s="7" t="s">
        <v>87</v>
      </c>
      <c r="B1200" s="7" t="s">
        <v>88</v>
      </c>
      <c r="C1200" s="7" t="s">
        <v>60</v>
      </c>
      <c r="D1200" s="8">
        <v>45362</v>
      </c>
      <c r="E1200" s="8" t="str">
        <f t="shared" si="71"/>
        <v>March</v>
      </c>
      <c r="F1200">
        <f t="shared" si="72"/>
        <v>2024</v>
      </c>
      <c r="G1200">
        <f t="shared" si="73"/>
        <v>0</v>
      </c>
      <c r="H1200">
        <f t="shared" si="74"/>
        <v>0</v>
      </c>
      <c r="I1200" s="6"/>
      <c r="J1200" s="6"/>
      <c r="K1200" s="7" t="s">
        <v>44</v>
      </c>
      <c r="L1200" s="7" t="s">
        <v>14</v>
      </c>
      <c r="M1200" s="7" t="s">
        <v>21</v>
      </c>
      <c r="N1200" s="7">
        <f>COUNTIFS(A:A,A1200,D:D,D1200,E:E,I1200)</f>
        <v>0</v>
      </c>
    </row>
    <row r="1201" spans="1:14" x14ac:dyDescent="0.3">
      <c r="A1201" s="7" t="s">
        <v>69</v>
      </c>
      <c r="B1201" s="7" t="s">
        <v>70</v>
      </c>
      <c r="C1201" s="7" t="s">
        <v>60</v>
      </c>
      <c r="D1201" s="8">
        <v>45371</v>
      </c>
      <c r="E1201" s="8" t="str">
        <f t="shared" si="71"/>
        <v>March</v>
      </c>
      <c r="F1201">
        <f t="shared" si="72"/>
        <v>2024</v>
      </c>
      <c r="G1201">
        <f t="shared" si="73"/>
        <v>1</v>
      </c>
      <c r="H1201">
        <f t="shared" si="74"/>
        <v>0</v>
      </c>
      <c r="I1201" s="6">
        <v>0.35069444444444442</v>
      </c>
      <c r="J1201" s="6">
        <v>0.70833333333333337</v>
      </c>
      <c r="K1201" s="7" t="s">
        <v>20</v>
      </c>
      <c r="L1201" s="7" t="s">
        <v>14</v>
      </c>
      <c r="M1201" s="7" t="s">
        <v>15</v>
      </c>
      <c r="N1201" s="7">
        <f>COUNTIFS(A:A,A1201,D:D,D1201,E:E,I1201)</f>
        <v>0</v>
      </c>
    </row>
    <row r="1202" spans="1:14" x14ac:dyDescent="0.3">
      <c r="A1202" s="7" t="s">
        <v>204</v>
      </c>
      <c r="B1202" s="7" t="s">
        <v>205</v>
      </c>
      <c r="C1202" s="7" t="s">
        <v>426</v>
      </c>
      <c r="D1202" s="8">
        <v>45358</v>
      </c>
      <c r="E1202" s="8" t="str">
        <f t="shared" si="71"/>
        <v>March</v>
      </c>
      <c r="F1202">
        <f t="shared" si="72"/>
        <v>2024</v>
      </c>
      <c r="G1202">
        <f t="shared" si="73"/>
        <v>1</v>
      </c>
      <c r="H1202">
        <f t="shared" si="74"/>
        <v>0</v>
      </c>
      <c r="I1202" s="6">
        <v>0.34513888888888888</v>
      </c>
      <c r="J1202" s="6">
        <v>0.7895833333333333</v>
      </c>
      <c r="K1202" s="7" t="s">
        <v>20</v>
      </c>
      <c r="L1202" s="7" t="s">
        <v>27</v>
      </c>
      <c r="M1202" s="7" t="s">
        <v>21</v>
      </c>
      <c r="N1202" s="7">
        <f>COUNTIFS(A:A,A1202,D:D,D1202,E:E,I1202)</f>
        <v>0</v>
      </c>
    </row>
    <row r="1203" spans="1:14" x14ac:dyDescent="0.3">
      <c r="A1203" s="7" t="s">
        <v>96</v>
      </c>
      <c r="B1203" s="7" t="s">
        <v>97</v>
      </c>
      <c r="C1203" s="7" t="s">
        <v>425</v>
      </c>
      <c r="D1203" s="8">
        <v>45373</v>
      </c>
      <c r="E1203" s="8" t="str">
        <f t="shared" si="71"/>
        <v>March</v>
      </c>
      <c r="F1203">
        <f t="shared" si="72"/>
        <v>2024</v>
      </c>
      <c r="G1203">
        <f t="shared" si="73"/>
        <v>1</v>
      </c>
      <c r="H1203">
        <f t="shared" si="74"/>
        <v>0</v>
      </c>
      <c r="I1203" s="6">
        <v>0.34861111111111109</v>
      </c>
      <c r="J1203" s="6">
        <v>0.86041666666666672</v>
      </c>
      <c r="K1203" s="7" t="s">
        <v>20</v>
      </c>
      <c r="L1203" s="7" t="s">
        <v>27</v>
      </c>
      <c r="M1203" s="7" t="s">
        <v>15</v>
      </c>
      <c r="N1203" s="7">
        <f>COUNTIFS(A:A,A1203,D:D,D1203,E:E,I1203)</f>
        <v>0</v>
      </c>
    </row>
    <row r="1204" spans="1:14" x14ac:dyDescent="0.3">
      <c r="A1204" s="7" t="s">
        <v>291</v>
      </c>
      <c r="B1204" s="7" t="s">
        <v>292</v>
      </c>
      <c r="C1204" s="7" t="s">
        <v>60</v>
      </c>
      <c r="D1204" s="8">
        <v>45337</v>
      </c>
      <c r="E1204" s="8" t="str">
        <f t="shared" si="71"/>
        <v>February</v>
      </c>
      <c r="F1204">
        <f t="shared" si="72"/>
        <v>2024</v>
      </c>
      <c r="G1204">
        <f t="shared" si="73"/>
        <v>1</v>
      </c>
      <c r="H1204">
        <f t="shared" si="74"/>
        <v>0</v>
      </c>
      <c r="I1204" s="6">
        <v>0.33333333333333331</v>
      </c>
      <c r="J1204" s="6">
        <v>0.7583333333333333</v>
      </c>
      <c r="K1204" s="7" t="s">
        <v>20</v>
      </c>
      <c r="L1204" s="7" t="s">
        <v>14</v>
      </c>
      <c r="M1204" s="7" t="s">
        <v>21</v>
      </c>
      <c r="N1204" s="7">
        <f>COUNTIFS(A:A,A1204,D:D,D1204,E:E,I1204)</f>
        <v>0</v>
      </c>
    </row>
    <row r="1205" spans="1:14" x14ac:dyDescent="0.3">
      <c r="A1205" s="7" t="s">
        <v>157</v>
      </c>
      <c r="B1205" s="7" t="s">
        <v>158</v>
      </c>
      <c r="C1205" s="7" t="s">
        <v>425</v>
      </c>
      <c r="D1205" s="8">
        <v>45350</v>
      </c>
      <c r="E1205" s="8" t="str">
        <f t="shared" si="71"/>
        <v>February</v>
      </c>
      <c r="F1205">
        <f t="shared" si="72"/>
        <v>2024</v>
      </c>
      <c r="G1205">
        <f t="shared" si="73"/>
        <v>0</v>
      </c>
      <c r="H1205">
        <f t="shared" si="74"/>
        <v>0</v>
      </c>
      <c r="I1205" s="6"/>
      <c r="J1205" s="6"/>
      <c r="K1205" s="7" t="s">
        <v>44</v>
      </c>
      <c r="L1205" s="7" t="s">
        <v>27</v>
      </c>
      <c r="M1205" s="7" t="s">
        <v>21</v>
      </c>
      <c r="N1205" s="7">
        <f>COUNTIFS(A:A,A1205,D:D,D1205,E:E,I1205)</f>
        <v>0</v>
      </c>
    </row>
    <row r="1206" spans="1:14" x14ac:dyDescent="0.3">
      <c r="A1206" s="7" t="s">
        <v>72</v>
      </c>
      <c r="B1206" s="7" t="s">
        <v>73</v>
      </c>
      <c r="C1206" s="7" t="s">
        <v>64</v>
      </c>
      <c r="D1206" s="8">
        <v>45347</v>
      </c>
      <c r="E1206" s="8" t="str">
        <f t="shared" si="71"/>
        <v>February</v>
      </c>
      <c r="F1206">
        <f t="shared" si="72"/>
        <v>2024</v>
      </c>
      <c r="G1206">
        <f t="shared" si="73"/>
        <v>1</v>
      </c>
      <c r="H1206">
        <f t="shared" si="74"/>
        <v>0</v>
      </c>
      <c r="I1206" s="6">
        <v>0.39097222222222222</v>
      </c>
      <c r="J1206" s="6">
        <v>0.85902777777777772</v>
      </c>
      <c r="K1206" s="7" t="s">
        <v>20</v>
      </c>
      <c r="L1206" s="7" t="s">
        <v>14</v>
      </c>
      <c r="M1206" s="7" t="s">
        <v>21</v>
      </c>
      <c r="N1206" s="7">
        <f>COUNTIFS(A:A,A1206,D:D,D1206,E:E,I1206)</f>
        <v>0</v>
      </c>
    </row>
    <row r="1207" spans="1:14" x14ac:dyDescent="0.3">
      <c r="A1207" s="7" t="s">
        <v>45</v>
      </c>
      <c r="B1207" s="7" t="s">
        <v>46</v>
      </c>
      <c r="C1207" s="7" t="s">
        <v>425</v>
      </c>
      <c r="D1207" s="8">
        <v>45538</v>
      </c>
      <c r="E1207" s="8" t="str">
        <f t="shared" si="71"/>
        <v>September</v>
      </c>
      <c r="F1207">
        <f t="shared" si="72"/>
        <v>2024</v>
      </c>
      <c r="G1207">
        <f t="shared" si="73"/>
        <v>1</v>
      </c>
      <c r="H1207">
        <f t="shared" si="74"/>
        <v>0</v>
      </c>
      <c r="I1207" s="6">
        <v>0.47083333333333333</v>
      </c>
      <c r="J1207" s="6">
        <v>0.83402777777777781</v>
      </c>
      <c r="K1207" s="7" t="s">
        <v>20</v>
      </c>
      <c r="L1207" s="7" t="s">
        <v>14</v>
      </c>
      <c r="M1207" s="7" t="s">
        <v>21</v>
      </c>
      <c r="N1207" s="7">
        <f>COUNTIFS(A:A,A1207,D:D,D1207,E:E,I1207)</f>
        <v>0</v>
      </c>
    </row>
    <row r="1208" spans="1:14" x14ac:dyDescent="0.3">
      <c r="A1208" s="7" t="s">
        <v>69</v>
      </c>
      <c r="B1208" s="7" t="s">
        <v>70</v>
      </c>
      <c r="C1208" s="7" t="s">
        <v>64</v>
      </c>
      <c r="D1208" s="8">
        <v>45321</v>
      </c>
      <c r="E1208" s="8" t="str">
        <f t="shared" si="71"/>
        <v>January</v>
      </c>
      <c r="F1208">
        <f t="shared" si="72"/>
        <v>2024</v>
      </c>
      <c r="G1208">
        <f t="shared" si="73"/>
        <v>0</v>
      </c>
      <c r="H1208">
        <f t="shared" si="74"/>
        <v>0</v>
      </c>
      <c r="I1208" s="6"/>
      <c r="J1208" s="6"/>
      <c r="K1208" s="7" t="s">
        <v>44</v>
      </c>
      <c r="L1208" s="7" t="s">
        <v>27</v>
      </c>
      <c r="M1208" s="7" t="s">
        <v>15</v>
      </c>
      <c r="N1208" s="7">
        <f>COUNTIFS(A:A,A1208,D:D,D1208,E:E,I1208)</f>
        <v>0</v>
      </c>
    </row>
    <row r="1209" spans="1:14" x14ac:dyDescent="0.3">
      <c r="A1209" s="7" t="s">
        <v>165</v>
      </c>
      <c r="B1209" s="7" t="s">
        <v>166</v>
      </c>
      <c r="C1209" s="7" t="s">
        <v>60</v>
      </c>
      <c r="D1209" s="8">
        <v>45567</v>
      </c>
      <c r="E1209" s="8" t="str">
        <f t="shared" si="71"/>
        <v>October</v>
      </c>
      <c r="F1209">
        <f t="shared" si="72"/>
        <v>2024</v>
      </c>
      <c r="G1209">
        <f t="shared" si="73"/>
        <v>1</v>
      </c>
      <c r="H1209">
        <f t="shared" si="74"/>
        <v>0</v>
      </c>
      <c r="I1209" s="6">
        <v>0.41041666666666665</v>
      </c>
      <c r="J1209" s="6">
        <v>0.80555555555555558</v>
      </c>
      <c r="K1209" s="7" t="s">
        <v>20</v>
      </c>
      <c r="L1209" s="7" t="s">
        <v>14</v>
      </c>
      <c r="M1209" s="7" t="s">
        <v>21</v>
      </c>
      <c r="N1209" s="7">
        <f>COUNTIFS(A:A,A1209,D:D,D1209,E:E,I1209)</f>
        <v>0</v>
      </c>
    </row>
    <row r="1210" spans="1:14" x14ac:dyDescent="0.3">
      <c r="A1210" s="7" t="s">
        <v>37</v>
      </c>
      <c r="B1210" s="7" t="s">
        <v>38</v>
      </c>
      <c r="C1210" s="7" t="s">
        <v>42</v>
      </c>
      <c r="D1210" s="8">
        <v>45292</v>
      </c>
      <c r="E1210" s="8" t="str">
        <f t="shared" si="71"/>
        <v>January</v>
      </c>
      <c r="F1210">
        <f t="shared" si="72"/>
        <v>2024</v>
      </c>
      <c r="G1210">
        <f t="shared" si="73"/>
        <v>1</v>
      </c>
      <c r="H1210">
        <f t="shared" si="74"/>
        <v>1</v>
      </c>
      <c r="I1210" s="6">
        <v>0.46111111111111114</v>
      </c>
      <c r="J1210" s="6">
        <v>0.7104166666666667</v>
      </c>
      <c r="K1210" s="7" t="s">
        <v>26</v>
      </c>
      <c r="L1210" s="7" t="s">
        <v>27</v>
      </c>
      <c r="M1210" s="7" t="s">
        <v>15</v>
      </c>
      <c r="N1210" s="7">
        <f>COUNTIFS(A:A,A1210,D:D,D1210,E:E,I1210)</f>
        <v>0</v>
      </c>
    </row>
    <row r="1211" spans="1:14" x14ac:dyDescent="0.3">
      <c r="A1211" s="7" t="s">
        <v>200</v>
      </c>
      <c r="B1211" s="7" t="s">
        <v>201</v>
      </c>
      <c r="C1211" s="7" t="s">
        <v>60</v>
      </c>
      <c r="D1211" s="8">
        <v>45376</v>
      </c>
      <c r="E1211" s="8" t="str">
        <f t="shared" si="71"/>
        <v>March</v>
      </c>
      <c r="F1211">
        <f t="shared" si="72"/>
        <v>2024</v>
      </c>
      <c r="G1211">
        <f t="shared" si="73"/>
        <v>1</v>
      </c>
      <c r="H1211">
        <f t="shared" si="74"/>
        <v>0</v>
      </c>
      <c r="I1211" s="6">
        <v>0.44722222222222224</v>
      </c>
      <c r="J1211" s="6">
        <v>0.81736111111111109</v>
      </c>
      <c r="K1211" s="7" t="s">
        <v>13</v>
      </c>
      <c r="L1211" s="7" t="s">
        <v>27</v>
      </c>
      <c r="M1211" s="7" t="s">
        <v>21</v>
      </c>
      <c r="N1211" s="7">
        <f>COUNTIFS(A:A,A1211,D:D,D1211,E:E,I1211)</f>
        <v>0</v>
      </c>
    </row>
    <row r="1212" spans="1:14" x14ac:dyDescent="0.3">
      <c r="A1212" s="7" t="s">
        <v>216</v>
      </c>
      <c r="B1212" s="7" t="s">
        <v>217</v>
      </c>
      <c r="C1212" s="7" t="s">
        <v>42</v>
      </c>
      <c r="D1212" s="8">
        <v>45292</v>
      </c>
      <c r="E1212" s="8" t="str">
        <f t="shared" si="71"/>
        <v>January</v>
      </c>
      <c r="F1212">
        <f t="shared" si="72"/>
        <v>2024</v>
      </c>
      <c r="G1212">
        <f t="shared" si="73"/>
        <v>1</v>
      </c>
      <c r="H1212">
        <f t="shared" si="74"/>
        <v>0</v>
      </c>
      <c r="I1212" s="6">
        <v>0.40902777777777777</v>
      </c>
      <c r="J1212" s="6">
        <v>0.72013888888888888</v>
      </c>
      <c r="K1212" s="7" t="s">
        <v>20</v>
      </c>
      <c r="L1212" s="7" t="s">
        <v>14</v>
      </c>
      <c r="M1212" s="7" t="s">
        <v>15</v>
      </c>
      <c r="N1212" s="7">
        <f>COUNTIFS(A:A,A1212,D:D,D1212,E:E,I1212)</f>
        <v>0</v>
      </c>
    </row>
    <row r="1213" spans="1:14" x14ac:dyDescent="0.3">
      <c r="A1213" s="7" t="s">
        <v>55</v>
      </c>
      <c r="B1213" s="7" t="s">
        <v>56</v>
      </c>
      <c r="C1213" s="7" t="s">
        <v>64</v>
      </c>
      <c r="D1213" s="8">
        <v>45364</v>
      </c>
      <c r="E1213" s="8" t="str">
        <f t="shared" si="71"/>
        <v>March</v>
      </c>
      <c r="F1213">
        <f t="shared" si="72"/>
        <v>2024</v>
      </c>
      <c r="G1213">
        <f t="shared" si="73"/>
        <v>1</v>
      </c>
      <c r="H1213">
        <f t="shared" si="74"/>
        <v>1</v>
      </c>
      <c r="I1213" s="6">
        <v>0.33958333333333335</v>
      </c>
      <c r="J1213" s="6">
        <v>0.75972222222222219</v>
      </c>
      <c r="K1213" s="7" t="s">
        <v>26</v>
      </c>
      <c r="L1213" s="7" t="s">
        <v>14</v>
      </c>
      <c r="M1213" s="7" t="s">
        <v>21</v>
      </c>
      <c r="N1213" s="7">
        <f>COUNTIFS(A:A,A1213,D:D,D1213,E:E,I1213)</f>
        <v>0</v>
      </c>
    </row>
    <row r="1214" spans="1:14" x14ac:dyDescent="0.3">
      <c r="A1214" s="7" t="s">
        <v>194</v>
      </c>
      <c r="B1214" s="7" t="s">
        <v>195</v>
      </c>
      <c r="C1214" s="7" t="s">
        <v>60</v>
      </c>
      <c r="D1214" s="8">
        <v>45316</v>
      </c>
      <c r="E1214" s="8" t="str">
        <f t="shared" si="71"/>
        <v>January</v>
      </c>
      <c r="F1214">
        <f t="shared" si="72"/>
        <v>2024</v>
      </c>
      <c r="G1214">
        <f t="shared" si="73"/>
        <v>1</v>
      </c>
      <c r="H1214">
        <f t="shared" si="74"/>
        <v>0</v>
      </c>
      <c r="I1214" s="6">
        <v>0.34305555555555556</v>
      </c>
      <c r="J1214" s="6">
        <v>0.84791666666666665</v>
      </c>
      <c r="K1214" s="7" t="s">
        <v>20</v>
      </c>
      <c r="L1214" s="7" t="s">
        <v>14</v>
      </c>
      <c r="M1214" s="7" t="s">
        <v>15</v>
      </c>
      <c r="N1214" s="7">
        <f>COUNTIFS(A:A,A1214,D:D,D1214,E:E,I1214)</f>
        <v>0</v>
      </c>
    </row>
    <row r="1215" spans="1:14" x14ac:dyDescent="0.3">
      <c r="A1215" s="7" t="s">
        <v>112</v>
      </c>
      <c r="B1215" s="7" t="s">
        <v>113</v>
      </c>
      <c r="C1215" s="7" t="s">
        <v>64</v>
      </c>
      <c r="D1215" s="8">
        <v>45350</v>
      </c>
      <c r="E1215" s="8" t="str">
        <f t="shared" si="71"/>
        <v>February</v>
      </c>
      <c r="F1215">
        <f t="shared" si="72"/>
        <v>2024</v>
      </c>
      <c r="G1215">
        <f t="shared" si="73"/>
        <v>1</v>
      </c>
      <c r="H1215">
        <f t="shared" si="74"/>
        <v>0</v>
      </c>
      <c r="I1215" s="6">
        <v>0.43611111111111112</v>
      </c>
      <c r="J1215" s="6">
        <v>0.77500000000000002</v>
      </c>
      <c r="K1215" s="7" t="s">
        <v>13</v>
      </c>
      <c r="L1215" s="7" t="s">
        <v>14</v>
      </c>
      <c r="M1215" s="7" t="s">
        <v>15</v>
      </c>
      <c r="N1215" s="7">
        <f>COUNTIFS(A:A,A1215,D:D,D1215,E:E,I1215)</f>
        <v>0</v>
      </c>
    </row>
    <row r="1216" spans="1:14" x14ac:dyDescent="0.3">
      <c r="A1216" s="7" t="s">
        <v>204</v>
      </c>
      <c r="B1216" s="7" t="s">
        <v>205</v>
      </c>
      <c r="C1216" s="7" t="s">
        <v>42</v>
      </c>
      <c r="D1216" s="8">
        <v>45327</v>
      </c>
      <c r="E1216" s="8" t="str">
        <f t="shared" si="71"/>
        <v>February</v>
      </c>
      <c r="F1216">
        <f t="shared" si="72"/>
        <v>2024</v>
      </c>
      <c r="G1216">
        <f t="shared" si="73"/>
        <v>1</v>
      </c>
      <c r="H1216">
        <f t="shared" si="74"/>
        <v>0</v>
      </c>
      <c r="I1216" s="6">
        <v>0.47499999999999998</v>
      </c>
      <c r="J1216" s="6">
        <v>0.68888888888888888</v>
      </c>
      <c r="K1216" s="7" t="s">
        <v>20</v>
      </c>
      <c r="L1216" s="7" t="s">
        <v>27</v>
      </c>
      <c r="M1216" s="7" t="s">
        <v>15</v>
      </c>
      <c r="N1216" s="7">
        <f>COUNTIFS(A:A,A1216,D:D,D1216,E:E,I1216)</f>
        <v>0</v>
      </c>
    </row>
    <row r="1217" spans="1:14" x14ac:dyDescent="0.3">
      <c r="A1217" s="7" t="s">
        <v>22</v>
      </c>
      <c r="B1217" s="7" t="s">
        <v>23</v>
      </c>
      <c r="C1217" s="7" t="s">
        <v>64</v>
      </c>
      <c r="D1217" s="8">
        <v>45375</v>
      </c>
      <c r="E1217" s="8" t="str">
        <f t="shared" si="71"/>
        <v>March</v>
      </c>
      <c r="F1217">
        <f t="shared" si="72"/>
        <v>2024</v>
      </c>
      <c r="G1217">
        <f t="shared" si="73"/>
        <v>0</v>
      </c>
      <c r="H1217">
        <f t="shared" si="74"/>
        <v>0</v>
      </c>
      <c r="I1217" s="6"/>
      <c r="J1217" s="6"/>
      <c r="K1217" s="7" t="s">
        <v>44</v>
      </c>
      <c r="L1217" s="7" t="s">
        <v>27</v>
      </c>
      <c r="M1217" s="7" t="s">
        <v>15</v>
      </c>
      <c r="N1217" s="7">
        <f>COUNTIFS(A:A,A1217,D:D,D1217,E:E,I1217)</f>
        <v>0</v>
      </c>
    </row>
    <row r="1218" spans="1:14" x14ac:dyDescent="0.3">
      <c r="A1218" s="7" t="s">
        <v>171</v>
      </c>
      <c r="B1218" s="7" t="s">
        <v>172</v>
      </c>
      <c r="C1218" s="7" t="s">
        <v>60</v>
      </c>
      <c r="D1218" s="8">
        <v>45597</v>
      </c>
      <c r="E1218" s="8" t="str">
        <f t="shared" ref="E1218:E1281" si="75">TEXT(D1218,"mmmm")</f>
        <v>November</v>
      </c>
      <c r="F1218">
        <f t="shared" ref="F1218:F1281" si="76">YEAR(D1218)</f>
        <v>2024</v>
      </c>
      <c r="G1218">
        <f t="shared" ref="G1218:G1281" si="77">IF(LOWER(K1218)="absent",0,1)</f>
        <v>1</v>
      </c>
      <c r="H1218">
        <f t="shared" ref="H1218:H1281" si="78">IF(K1218="Late",1,0)</f>
        <v>0</v>
      </c>
      <c r="I1218" s="6">
        <v>0.48125000000000001</v>
      </c>
      <c r="J1218" s="6">
        <v>0.76041666666666663</v>
      </c>
      <c r="K1218" s="7" t="s">
        <v>20</v>
      </c>
      <c r="L1218" s="7" t="s">
        <v>27</v>
      </c>
      <c r="M1218" s="7" t="s">
        <v>15</v>
      </c>
      <c r="N1218" s="7">
        <f>COUNTIFS(A:A,A1218,D:D,D1218,E:E,I1218)</f>
        <v>0</v>
      </c>
    </row>
    <row r="1219" spans="1:14" x14ac:dyDescent="0.3">
      <c r="A1219" s="7" t="s">
        <v>58</v>
      </c>
      <c r="B1219" s="7" t="s">
        <v>59</v>
      </c>
      <c r="C1219" s="7" t="s">
        <v>426</v>
      </c>
      <c r="D1219" s="8">
        <v>45371</v>
      </c>
      <c r="E1219" s="8" t="str">
        <f t="shared" si="75"/>
        <v>March</v>
      </c>
      <c r="F1219">
        <f t="shared" si="76"/>
        <v>2024</v>
      </c>
      <c r="G1219">
        <f t="shared" si="77"/>
        <v>0</v>
      </c>
      <c r="H1219">
        <f t="shared" si="78"/>
        <v>0</v>
      </c>
      <c r="I1219" s="6"/>
      <c r="J1219" s="6"/>
      <c r="K1219" s="7" t="s">
        <v>44</v>
      </c>
      <c r="L1219" s="7" t="s">
        <v>14</v>
      </c>
      <c r="M1219" s="7" t="s">
        <v>21</v>
      </c>
      <c r="N1219" s="7">
        <f>COUNTIFS(A:A,A1219,D:D,D1219,E:E,I1219)</f>
        <v>0</v>
      </c>
    </row>
    <row r="1220" spans="1:14" x14ac:dyDescent="0.3">
      <c r="A1220" s="7" t="s">
        <v>150</v>
      </c>
      <c r="B1220" s="7" t="s">
        <v>151</v>
      </c>
      <c r="C1220" s="7" t="s">
        <v>425</v>
      </c>
      <c r="D1220" s="8">
        <v>45374</v>
      </c>
      <c r="E1220" s="8" t="str">
        <f t="shared" si="75"/>
        <v>March</v>
      </c>
      <c r="F1220">
        <f t="shared" si="76"/>
        <v>2024</v>
      </c>
      <c r="G1220">
        <f t="shared" si="77"/>
        <v>1</v>
      </c>
      <c r="H1220">
        <f t="shared" si="78"/>
        <v>0</v>
      </c>
      <c r="I1220" s="6">
        <v>0.36875000000000002</v>
      </c>
      <c r="J1220" s="6">
        <v>0.70416666666666672</v>
      </c>
      <c r="K1220" s="7" t="s">
        <v>20</v>
      </c>
      <c r="L1220" s="7" t="s">
        <v>14</v>
      </c>
      <c r="M1220" s="7" t="s">
        <v>15</v>
      </c>
      <c r="N1220" s="7">
        <f>COUNTIFS(A:A,A1220,D:D,D1220,E:E,I1220)</f>
        <v>0</v>
      </c>
    </row>
    <row r="1221" spans="1:14" x14ac:dyDescent="0.3">
      <c r="A1221" s="7" t="s">
        <v>69</v>
      </c>
      <c r="B1221" s="7" t="s">
        <v>70</v>
      </c>
      <c r="C1221" s="7" t="s">
        <v>60</v>
      </c>
      <c r="D1221" s="8">
        <v>45336</v>
      </c>
      <c r="E1221" s="8" t="str">
        <f t="shared" si="75"/>
        <v>February</v>
      </c>
      <c r="F1221">
        <f t="shared" si="76"/>
        <v>2024</v>
      </c>
      <c r="G1221">
        <f t="shared" si="77"/>
        <v>0</v>
      </c>
      <c r="H1221">
        <f t="shared" si="78"/>
        <v>0</v>
      </c>
      <c r="I1221" s="6"/>
      <c r="J1221" s="6"/>
      <c r="K1221" s="7" t="s">
        <v>44</v>
      </c>
      <c r="L1221" s="7" t="s">
        <v>14</v>
      </c>
      <c r="M1221" s="7" t="s">
        <v>21</v>
      </c>
      <c r="N1221" s="7">
        <f>COUNTIFS(A:A,A1221,D:D,D1221,E:E,I1221)</f>
        <v>0</v>
      </c>
    </row>
    <row r="1222" spans="1:14" x14ac:dyDescent="0.3">
      <c r="A1222" s="7" t="s">
        <v>9</v>
      </c>
      <c r="B1222" s="7" t="s">
        <v>10</v>
      </c>
      <c r="C1222" s="7" t="s">
        <v>64</v>
      </c>
      <c r="D1222" s="8">
        <v>45337</v>
      </c>
      <c r="E1222" s="8" t="str">
        <f t="shared" si="75"/>
        <v>February</v>
      </c>
      <c r="F1222">
        <f t="shared" si="76"/>
        <v>2024</v>
      </c>
      <c r="G1222">
        <f t="shared" si="77"/>
        <v>1</v>
      </c>
      <c r="H1222">
        <f t="shared" si="78"/>
        <v>0</v>
      </c>
      <c r="I1222" s="6">
        <v>0.49791666666666667</v>
      </c>
      <c r="J1222" s="6">
        <v>0.7055555555555556</v>
      </c>
      <c r="K1222" s="7" t="s">
        <v>20</v>
      </c>
      <c r="L1222" s="7" t="s">
        <v>14</v>
      </c>
      <c r="M1222" s="7" t="s">
        <v>15</v>
      </c>
      <c r="N1222" s="7">
        <f>COUNTIFS(A:A,A1222,D:D,D1222,E:E,I1222)</f>
        <v>0</v>
      </c>
    </row>
    <row r="1223" spans="1:14" x14ac:dyDescent="0.3">
      <c r="A1223" s="7" t="s">
        <v>102</v>
      </c>
      <c r="B1223" s="7" t="s">
        <v>103</v>
      </c>
      <c r="C1223" s="7" t="s">
        <v>42</v>
      </c>
      <c r="D1223" s="8">
        <v>45365</v>
      </c>
      <c r="E1223" s="8" t="str">
        <f t="shared" si="75"/>
        <v>March</v>
      </c>
      <c r="F1223">
        <f t="shared" si="76"/>
        <v>2024</v>
      </c>
      <c r="G1223">
        <f t="shared" si="77"/>
        <v>1</v>
      </c>
      <c r="H1223">
        <f t="shared" si="78"/>
        <v>1</v>
      </c>
      <c r="I1223" s="6">
        <v>0.38124999999999998</v>
      </c>
      <c r="J1223" s="6">
        <v>0.86597222222222225</v>
      </c>
      <c r="K1223" s="7" t="s">
        <v>26</v>
      </c>
      <c r="L1223" s="7" t="s">
        <v>14</v>
      </c>
      <c r="M1223" s="7" t="s">
        <v>21</v>
      </c>
      <c r="N1223" s="7">
        <f>COUNTIFS(A:A,A1223,D:D,D1223,E:E,I1223)</f>
        <v>0</v>
      </c>
    </row>
    <row r="1224" spans="1:14" x14ac:dyDescent="0.3">
      <c r="A1224" s="7" t="s">
        <v>197</v>
      </c>
      <c r="B1224" s="7" t="s">
        <v>198</v>
      </c>
      <c r="C1224" s="7" t="s">
        <v>60</v>
      </c>
      <c r="D1224" s="8">
        <v>45629</v>
      </c>
      <c r="E1224" s="8" t="str">
        <f t="shared" si="75"/>
        <v>December</v>
      </c>
      <c r="F1224">
        <f t="shared" si="76"/>
        <v>2024</v>
      </c>
      <c r="G1224">
        <f t="shared" si="77"/>
        <v>0</v>
      </c>
      <c r="H1224">
        <f t="shared" si="78"/>
        <v>0</v>
      </c>
      <c r="I1224" s="6"/>
      <c r="J1224" s="6"/>
      <c r="K1224" s="7" t="s">
        <v>44</v>
      </c>
      <c r="L1224" s="7" t="s">
        <v>14</v>
      </c>
      <c r="M1224" s="7" t="s">
        <v>21</v>
      </c>
      <c r="N1224" s="7">
        <f>COUNTIFS(A:A,A1224,D:D,D1224,E:E,I1224)</f>
        <v>0</v>
      </c>
    </row>
    <row r="1225" spans="1:14" x14ac:dyDescent="0.3">
      <c r="A1225" s="7" t="s">
        <v>34</v>
      </c>
      <c r="B1225" s="7" t="s">
        <v>35</v>
      </c>
      <c r="C1225" s="7" t="s">
        <v>426</v>
      </c>
      <c r="D1225" s="8">
        <v>45320</v>
      </c>
      <c r="E1225" s="8" t="str">
        <f t="shared" si="75"/>
        <v>January</v>
      </c>
      <c r="F1225">
        <f t="shared" si="76"/>
        <v>2024</v>
      </c>
      <c r="G1225">
        <f t="shared" si="77"/>
        <v>1</v>
      </c>
      <c r="H1225">
        <f t="shared" si="78"/>
        <v>1</v>
      </c>
      <c r="I1225" s="6">
        <v>0.40625</v>
      </c>
      <c r="J1225" s="6">
        <v>0.87361111111111112</v>
      </c>
      <c r="K1225" s="7" t="s">
        <v>26</v>
      </c>
      <c r="L1225" s="7" t="s">
        <v>27</v>
      </c>
      <c r="M1225" s="7" t="s">
        <v>15</v>
      </c>
      <c r="N1225" s="7">
        <f>COUNTIFS(A:A,A1225,D:D,D1225,E:E,I1225)</f>
        <v>0</v>
      </c>
    </row>
    <row r="1226" spans="1:14" x14ac:dyDescent="0.3">
      <c r="A1226" s="7" t="s">
        <v>150</v>
      </c>
      <c r="B1226" s="7" t="s">
        <v>151</v>
      </c>
      <c r="C1226" s="7" t="s">
        <v>60</v>
      </c>
      <c r="D1226" s="8">
        <v>45308</v>
      </c>
      <c r="E1226" s="8" t="str">
        <f t="shared" si="75"/>
        <v>January</v>
      </c>
      <c r="F1226">
        <f t="shared" si="76"/>
        <v>2024</v>
      </c>
      <c r="G1226">
        <f t="shared" si="77"/>
        <v>0</v>
      </c>
      <c r="H1226">
        <f t="shared" si="78"/>
        <v>0</v>
      </c>
      <c r="I1226" s="6"/>
      <c r="J1226" s="6"/>
      <c r="K1226" s="7" t="s">
        <v>44</v>
      </c>
      <c r="L1226" s="7" t="s">
        <v>27</v>
      </c>
      <c r="M1226" s="7" t="s">
        <v>15</v>
      </c>
      <c r="N1226" s="7">
        <f>COUNTIFS(A:A,A1226,D:D,D1226,E:E,I1226)</f>
        <v>0</v>
      </c>
    </row>
    <row r="1227" spans="1:14" x14ac:dyDescent="0.3">
      <c r="A1227" s="7" t="s">
        <v>58</v>
      </c>
      <c r="B1227" s="7" t="s">
        <v>59</v>
      </c>
      <c r="C1227" s="7" t="s">
        <v>64</v>
      </c>
      <c r="D1227" s="8">
        <v>45339</v>
      </c>
      <c r="E1227" s="8" t="str">
        <f t="shared" si="75"/>
        <v>February</v>
      </c>
      <c r="F1227">
        <f t="shared" si="76"/>
        <v>2024</v>
      </c>
      <c r="G1227">
        <f t="shared" si="77"/>
        <v>0</v>
      </c>
      <c r="H1227">
        <f t="shared" si="78"/>
        <v>0</v>
      </c>
      <c r="I1227" s="6"/>
      <c r="J1227" s="6"/>
      <c r="K1227" s="7" t="s">
        <v>44</v>
      </c>
      <c r="L1227" s="7" t="s">
        <v>27</v>
      </c>
      <c r="M1227" s="7" t="s">
        <v>21</v>
      </c>
      <c r="N1227" s="7">
        <f>COUNTIFS(A:A,A1227,D:D,D1227,E:E,I1227)</f>
        <v>0</v>
      </c>
    </row>
    <row r="1228" spans="1:14" x14ac:dyDescent="0.3">
      <c r="A1228" s="7" t="s">
        <v>134</v>
      </c>
      <c r="B1228" s="7" t="s">
        <v>135</v>
      </c>
      <c r="C1228" s="7" t="s">
        <v>60</v>
      </c>
      <c r="D1228" s="8">
        <v>45310</v>
      </c>
      <c r="E1228" s="8" t="str">
        <f t="shared" si="75"/>
        <v>January</v>
      </c>
      <c r="F1228">
        <f t="shared" si="76"/>
        <v>2024</v>
      </c>
      <c r="G1228">
        <f t="shared" si="77"/>
        <v>0</v>
      </c>
      <c r="H1228">
        <f t="shared" si="78"/>
        <v>0</v>
      </c>
      <c r="I1228" s="6"/>
      <c r="J1228" s="6"/>
      <c r="K1228" s="7" t="s">
        <v>44</v>
      </c>
      <c r="L1228" s="7" t="s">
        <v>27</v>
      </c>
      <c r="M1228" s="7" t="s">
        <v>15</v>
      </c>
      <c r="N1228" s="7">
        <f>COUNTIFS(A:A,A1228,D:D,D1228,E:E,I1228)</f>
        <v>0</v>
      </c>
    </row>
    <row r="1229" spans="1:14" x14ac:dyDescent="0.3">
      <c r="A1229" s="7" t="s">
        <v>84</v>
      </c>
      <c r="B1229" s="7" t="s">
        <v>85</v>
      </c>
      <c r="C1229" s="7" t="s">
        <v>60</v>
      </c>
      <c r="D1229" s="8">
        <v>45476</v>
      </c>
      <c r="E1229" s="8" t="str">
        <f t="shared" si="75"/>
        <v>July</v>
      </c>
      <c r="F1229">
        <f t="shared" si="76"/>
        <v>2024</v>
      </c>
      <c r="G1229">
        <f t="shared" si="77"/>
        <v>0</v>
      </c>
      <c r="H1229">
        <f t="shared" si="78"/>
        <v>0</v>
      </c>
      <c r="I1229" s="6"/>
      <c r="J1229" s="6"/>
      <c r="K1229" s="7" t="s">
        <v>44</v>
      </c>
      <c r="L1229" s="7" t="s">
        <v>27</v>
      </c>
      <c r="M1229" s="7" t="s">
        <v>21</v>
      </c>
      <c r="N1229" s="7">
        <f>COUNTIFS(A:A,A1229,D:D,D1229,E:E,I1229)</f>
        <v>0</v>
      </c>
    </row>
    <row r="1230" spans="1:14" x14ac:dyDescent="0.3">
      <c r="A1230" s="7" t="s">
        <v>213</v>
      </c>
      <c r="B1230" s="7" t="s">
        <v>214</v>
      </c>
      <c r="C1230" s="7" t="s">
        <v>60</v>
      </c>
      <c r="D1230" s="8">
        <v>45505</v>
      </c>
      <c r="E1230" s="8" t="str">
        <f t="shared" si="75"/>
        <v>August</v>
      </c>
      <c r="F1230">
        <f t="shared" si="76"/>
        <v>2024</v>
      </c>
      <c r="G1230">
        <f t="shared" si="77"/>
        <v>0</v>
      </c>
      <c r="H1230">
        <f t="shared" si="78"/>
        <v>0</v>
      </c>
      <c r="I1230" s="6"/>
      <c r="J1230" s="6"/>
      <c r="K1230" s="7" t="s">
        <v>44</v>
      </c>
      <c r="L1230" s="7" t="s">
        <v>27</v>
      </c>
      <c r="M1230" s="7" t="s">
        <v>21</v>
      </c>
      <c r="N1230" s="7">
        <f>COUNTIFS(A:A,A1230,D:D,D1230,E:E,I1230)</f>
        <v>0</v>
      </c>
    </row>
    <row r="1231" spans="1:14" x14ac:dyDescent="0.3">
      <c r="A1231" s="7" t="s">
        <v>48</v>
      </c>
      <c r="B1231" s="7" t="s">
        <v>49</v>
      </c>
      <c r="C1231" s="7" t="s">
        <v>64</v>
      </c>
      <c r="D1231" s="8">
        <v>45476</v>
      </c>
      <c r="E1231" s="8" t="str">
        <f t="shared" si="75"/>
        <v>July</v>
      </c>
      <c r="F1231">
        <f t="shared" si="76"/>
        <v>2024</v>
      </c>
      <c r="G1231">
        <f t="shared" si="77"/>
        <v>0</v>
      </c>
      <c r="H1231">
        <f t="shared" si="78"/>
        <v>0</v>
      </c>
      <c r="I1231" s="6"/>
      <c r="J1231" s="6"/>
      <c r="K1231" s="7" t="s">
        <v>44</v>
      </c>
      <c r="L1231" s="7" t="s">
        <v>14</v>
      </c>
      <c r="M1231" s="7" t="s">
        <v>21</v>
      </c>
      <c r="N1231" s="7">
        <f>COUNTIFS(A:A,A1231,D:D,D1231,E:E,I1231)</f>
        <v>0</v>
      </c>
    </row>
    <row r="1232" spans="1:14" x14ac:dyDescent="0.3">
      <c r="A1232" s="7" t="s">
        <v>246</v>
      </c>
      <c r="B1232" s="7" t="s">
        <v>247</v>
      </c>
      <c r="C1232" s="7" t="s">
        <v>64</v>
      </c>
      <c r="D1232" s="8">
        <v>45351</v>
      </c>
      <c r="E1232" s="8" t="str">
        <f t="shared" si="75"/>
        <v>February</v>
      </c>
      <c r="F1232">
        <f t="shared" si="76"/>
        <v>2024</v>
      </c>
      <c r="G1232">
        <f t="shared" si="77"/>
        <v>0</v>
      </c>
      <c r="H1232">
        <f t="shared" si="78"/>
        <v>0</v>
      </c>
      <c r="I1232" s="6"/>
      <c r="J1232" s="6"/>
      <c r="K1232" s="7" t="s">
        <v>44</v>
      </c>
      <c r="L1232" s="7" t="s">
        <v>27</v>
      </c>
      <c r="M1232" s="7" t="s">
        <v>21</v>
      </c>
      <c r="N1232" s="7">
        <f>COUNTIFS(A:A,A1232,D:D,D1232,E:E,I1232)</f>
        <v>0</v>
      </c>
    </row>
    <row r="1233" spans="1:14" x14ac:dyDescent="0.3">
      <c r="A1233" s="7" t="s">
        <v>40</v>
      </c>
      <c r="B1233" s="7" t="s">
        <v>41</v>
      </c>
      <c r="C1233" s="7" t="s">
        <v>42</v>
      </c>
      <c r="D1233" s="8">
        <v>45339</v>
      </c>
      <c r="E1233" s="8" t="str">
        <f t="shared" si="75"/>
        <v>February</v>
      </c>
      <c r="F1233">
        <f t="shared" si="76"/>
        <v>2024</v>
      </c>
      <c r="G1233">
        <f t="shared" si="77"/>
        <v>1</v>
      </c>
      <c r="H1233">
        <f t="shared" si="78"/>
        <v>0</v>
      </c>
      <c r="I1233" s="6">
        <v>0.34375</v>
      </c>
      <c r="J1233" s="6">
        <v>0.69305555555555554</v>
      </c>
      <c r="K1233" s="7" t="s">
        <v>13</v>
      </c>
      <c r="L1233" s="7" t="s">
        <v>14</v>
      </c>
      <c r="M1233" s="7" t="s">
        <v>15</v>
      </c>
      <c r="N1233" s="7">
        <f>COUNTIFS(A:A,A1233,D:D,D1233,E:E,I1233)</f>
        <v>0</v>
      </c>
    </row>
    <row r="1234" spans="1:14" x14ac:dyDescent="0.3">
      <c r="A1234" s="7" t="s">
        <v>216</v>
      </c>
      <c r="B1234" s="7" t="s">
        <v>217</v>
      </c>
      <c r="C1234" s="7" t="s">
        <v>60</v>
      </c>
      <c r="D1234" s="8">
        <v>45476</v>
      </c>
      <c r="E1234" s="8" t="str">
        <f t="shared" si="75"/>
        <v>July</v>
      </c>
      <c r="F1234">
        <f t="shared" si="76"/>
        <v>2024</v>
      </c>
      <c r="G1234">
        <f t="shared" si="77"/>
        <v>1</v>
      </c>
      <c r="H1234">
        <f t="shared" si="78"/>
        <v>0</v>
      </c>
      <c r="I1234" s="6">
        <v>0.42499999999999999</v>
      </c>
      <c r="J1234" s="6">
        <v>0.75555555555555554</v>
      </c>
      <c r="K1234" s="7" t="s">
        <v>13</v>
      </c>
      <c r="L1234" s="7" t="s">
        <v>14</v>
      </c>
      <c r="M1234" s="7" t="s">
        <v>21</v>
      </c>
      <c r="N1234" s="7">
        <f>COUNTIFS(A:A,A1234,D:D,D1234,E:E,I1234)</f>
        <v>0</v>
      </c>
    </row>
    <row r="1235" spans="1:14" x14ac:dyDescent="0.3">
      <c r="A1235" s="7" t="s">
        <v>122</v>
      </c>
      <c r="B1235" s="7" t="s">
        <v>123</v>
      </c>
      <c r="C1235" s="7" t="s">
        <v>426</v>
      </c>
      <c r="D1235" s="8">
        <v>45379</v>
      </c>
      <c r="E1235" s="8" t="str">
        <f t="shared" si="75"/>
        <v>March</v>
      </c>
      <c r="F1235">
        <f t="shared" si="76"/>
        <v>2024</v>
      </c>
      <c r="G1235">
        <f t="shared" si="77"/>
        <v>0</v>
      </c>
      <c r="H1235">
        <f t="shared" si="78"/>
        <v>0</v>
      </c>
      <c r="I1235" s="6"/>
      <c r="J1235" s="6"/>
      <c r="K1235" s="7" t="s">
        <v>44</v>
      </c>
      <c r="L1235" s="7" t="s">
        <v>27</v>
      </c>
      <c r="M1235" s="7" t="s">
        <v>21</v>
      </c>
      <c r="N1235" s="7">
        <f>COUNTIFS(A:A,A1235,D:D,D1235,E:E,I1235)</f>
        <v>0</v>
      </c>
    </row>
    <row r="1236" spans="1:14" x14ac:dyDescent="0.3">
      <c r="A1236" s="7" t="s">
        <v>191</v>
      </c>
      <c r="B1236" s="7" t="s">
        <v>192</v>
      </c>
      <c r="C1236" s="7" t="s">
        <v>64</v>
      </c>
      <c r="D1236" s="8">
        <v>45505</v>
      </c>
      <c r="E1236" s="8" t="str">
        <f t="shared" si="75"/>
        <v>August</v>
      </c>
      <c r="F1236">
        <f t="shared" si="76"/>
        <v>2024</v>
      </c>
      <c r="G1236">
        <f t="shared" si="77"/>
        <v>1</v>
      </c>
      <c r="H1236">
        <f t="shared" si="78"/>
        <v>1</v>
      </c>
      <c r="I1236" s="6">
        <v>0.33541666666666664</v>
      </c>
      <c r="J1236" s="6">
        <v>0.67569444444444449</v>
      </c>
      <c r="K1236" s="7" t="s">
        <v>26</v>
      </c>
      <c r="L1236" s="7" t="s">
        <v>14</v>
      </c>
      <c r="M1236" s="7" t="s">
        <v>21</v>
      </c>
      <c r="N1236" s="7">
        <f>COUNTIFS(A:A,A1236,D:D,D1236,E:E,I1236)</f>
        <v>0</v>
      </c>
    </row>
    <row r="1237" spans="1:14" x14ac:dyDescent="0.3">
      <c r="A1237" s="7" t="s">
        <v>191</v>
      </c>
      <c r="B1237" s="7" t="s">
        <v>192</v>
      </c>
      <c r="C1237" s="7" t="s">
        <v>60</v>
      </c>
      <c r="D1237" s="8">
        <v>45340</v>
      </c>
      <c r="E1237" s="8" t="str">
        <f t="shared" si="75"/>
        <v>February</v>
      </c>
      <c r="F1237">
        <f t="shared" si="76"/>
        <v>2024</v>
      </c>
      <c r="G1237">
        <f t="shared" si="77"/>
        <v>1</v>
      </c>
      <c r="H1237">
        <f t="shared" si="78"/>
        <v>1</v>
      </c>
      <c r="I1237" s="6">
        <v>0.40069444444444446</v>
      </c>
      <c r="J1237" s="6">
        <v>0.73124999999999996</v>
      </c>
      <c r="K1237" s="7" t="s">
        <v>26</v>
      </c>
      <c r="L1237" s="7" t="s">
        <v>14</v>
      </c>
      <c r="M1237" s="7" t="s">
        <v>21</v>
      </c>
      <c r="N1237" s="7">
        <f>COUNTIFS(A:A,A1237,D:D,D1237,E:E,I1237)</f>
        <v>0</v>
      </c>
    </row>
    <row r="1238" spans="1:14" x14ac:dyDescent="0.3">
      <c r="A1238" s="7" t="s">
        <v>69</v>
      </c>
      <c r="B1238" s="7" t="s">
        <v>70</v>
      </c>
      <c r="C1238" s="7" t="s">
        <v>42</v>
      </c>
      <c r="D1238" s="8">
        <v>45355</v>
      </c>
      <c r="E1238" s="8" t="str">
        <f t="shared" si="75"/>
        <v>March</v>
      </c>
      <c r="F1238">
        <f t="shared" si="76"/>
        <v>2024</v>
      </c>
      <c r="G1238">
        <f t="shared" si="77"/>
        <v>1</v>
      </c>
      <c r="H1238">
        <f t="shared" si="78"/>
        <v>0</v>
      </c>
      <c r="I1238" s="6">
        <v>0.3611111111111111</v>
      </c>
      <c r="J1238" s="6">
        <v>0.72847222222222219</v>
      </c>
      <c r="K1238" s="7" t="s">
        <v>20</v>
      </c>
      <c r="L1238" s="7" t="s">
        <v>27</v>
      </c>
      <c r="M1238" s="7" t="s">
        <v>15</v>
      </c>
      <c r="N1238" s="7">
        <f>COUNTIFS(A:A,A1238,D:D,D1238,E:E,I1238)</f>
        <v>0</v>
      </c>
    </row>
    <row r="1239" spans="1:14" x14ac:dyDescent="0.3">
      <c r="A1239" s="7" t="s">
        <v>112</v>
      </c>
      <c r="B1239" s="7" t="s">
        <v>113</v>
      </c>
      <c r="C1239" s="7" t="s">
        <v>64</v>
      </c>
      <c r="D1239" s="8">
        <v>45378</v>
      </c>
      <c r="E1239" s="8" t="str">
        <f t="shared" si="75"/>
        <v>March</v>
      </c>
      <c r="F1239">
        <f t="shared" si="76"/>
        <v>2024</v>
      </c>
      <c r="G1239">
        <f t="shared" si="77"/>
        <v>1</v>
      </c>
      <c r="H1239">
        <f t="shared" si="78"/>
        <v>0</v>
      </c>
      <c r="I1239" s="6">
        <v>0.43402777777777779</v>
      </c>
      <c r="J1239" s="6">
        <v>0.74305555555555558</v>
      </c>
      <c r="K1239" s="7" t="s">
        <v>20</v>
      </c>
      <c r="L1239" s="7" t="s">
        <v>27</v>
      </c>
      <c r="M1239" s="7" t="s">
        <v>21</v>
      </c>
      <c r="N1239" s="7">
        <f>COUNTIFS(A:A,A1239,D:D,D1239,E:E,I1239)</f>
        <v>0</v>
      </c>
    </row>
    <row r="1240" spans="1:14" x14ac:dyDescent="0.3">
      <c r="A1240" s="7" t="s">
        <v>194</v>
      </c>
      <c r="B1240" s="7" t="s">
        <v>195</v>
      </c>
      <c r="C1240" s="7" t="s">
        <v>426</v>
      </c>
      <c r="D1240" s="8">
        <v>45381</v>
      </c>
      <c r="E1240" s="8" t="str">
        <f t="shared" si="75"/>
        <v>March</v>
      </c>
      <c r="F1240">
        <f t="shared" si="76"/>
        <v>2024</v>
      </c>
      <c r="G1240">
        <f t="shared" si="77"/>
        <v>1</v>
      </c>
      <c r="H1240">
        <f t="shared" si="78"/>
        <v>0</v>
      </c>
      <c r="I1240" s="6">
        <v>0.42986111111111114</v>
      </c>
      <c r="J1240" s="6">
        <v>0.79305555555555551</v>
      </c>
      <c r="K1240" s="7" t="s">
        <v>20</v>
      </c>
      <c r="L1240" s="7" t="s">
        <v>14</v>
      </c>
      <c r="M1240" s="7" t="s">
        <v>21</v>
      </c>
      <c r="N1240" s="7">
        <f>COUNTIFS(A:A,A1240,D:D,D1240,E:E,I1240)</f>
        <v>0</v>
      </c>
    </row>
    <row r="1241" spans="1:14" x14ac:dyDescent="0.3">
      <c r="A1241" s="7" t="s">
        <v>90</v>
      </c>
      <c r="B1241" s="7" t="s">
        <v>91</v>
      </c>
      <c r="C1241" s="7" t="s">
        <v>425</v>
      </c>
      <c r="D1241" s="8">
        <v>45597</v>
      </c>
      <c r="E1241" s="8" t="str">
        <f t="shared" si="75"/>
        <v>November</v>
      </c>
      <c r="F1241">
        <f t="shared" si="76"/>
        <v>2024</v>
      </c>
      <c r="G1241">
        <f t="shared" si="77"/>
        <v>1</v>
      </c>
      <c r="H1241">
        <f t="shared" si="78"/>
        <v>0</v>
      </c>
      <c r="I1241" s="6">
        <v>0.3527777777777778</v>
      </c>
      <c r="J1241" s="6">
        <v>0.73263888888888884</v>
      </c>
      <c r="K1241" s="7" t="s">
        <v>20</v>
      </c>
      <c r="L1241" s="7" t="s">
        <v>14</v>
      </c>
      <c r="M1241" s="7" t="s">
        <v>21</v>
      </c>
      <c r="N1241" s="7">
        <f>COUNTIFS(A:A,A1241,D:D,D1241,E:E,I1241)</f>
        <v>0</v>
      </c>
    </row>
    <row r="1242" spans="1:14" x14ac:dyDescent="0.3">
      <c r="A1242" s="7" t="s">
        <v>146</v>
      </c>
      <c r="B1242" s="7" t="s">
        <v>147</v>
      </c>
      <c r="C1242" s="7" t="s">
        <v>60</v>
      </c>
      <c r="D1242" s="8">
        <v>45325</v>
      </c>
      <c r="E1242" s="8" t="str">
        <f t="shared" si="75"/>
        <v>February</v>
      </c>
      <c r="F1242">
        <f t="shared" si="76"/>
        <v>2024</v>
      </c>
      <c r="G1242">
        <f t="shared" si="77"/>
        <v>1</v>
      </c>
      <c r="H1242">
        <f t="shared" si="78"/>
        <v>1</v>
      </c>
      <c r="I1242" s="6">
        <v>0.38263888888888886</v>
      </c>
      <c r="J1242" s="6">
        <v>0.82361111111111107</v>
      </c>
      <c r="K1242" s="7" t="s">
        <v>26</v>
      </c>
      <c r="L1242" s="7" t="s">
        <v>27</v>
      </c>
      <c r="M1242" s="7" t="s">
        <v>15</v>
      </c>
      <c r="N1242" s="7">
        <f>COUNTIFS(A:A,A1242,D:D,D1242,E:E,I1242)</f>
        <v>0</v>
      </c>
    </row>
    <row r="1243" spans="1:14" x14ac:dyDescent="0.3">
      <c r="A1243" s="7" t="s">
        <v>109</v>
      </c>
      <c r="B1243" s="7" t="s">
        <v>110</v>
      </c>
      <c r="C1243" s="7" t="s">
        <v>42</v>
      </c>
      <c r="D1243" s="8">
        <v>45304</v>
      </c>
      <c r="E1243" s="8" t="str">
        <f t="shared" si="75"/>
        <v>January</v>
      </c>
      <c r="F1243">
        <f t="shared" si="76"/>
        <v>2024</v>
      </c>
      <c r="G1243">
        <f t="shared" si="77"/>
        <v>1</v>
      </c>
      <c r="H1243">
        <f t="shared" si="78"/>
        <v>1</v>
      </c>
      <c r="I1243" s="6">
        <v>0.41805555555555557</v>
      </c>
      <c r="J1243" s="6">
        <v>0.7631944444444444</v>
      </c>
      <c r="K1243" s="7" t="s">
        <v>26</v>
      </c>
      <c r="L1243" s="7" t="s">
        <v>14</v>
      </c>
      <c r="M1243" s="7" t="s">
        <v>21</v>
      </c>
      <c r="N1243" s="7">
        <f>COUNTIFS(A:A,A1243,D:D,D1243,E:E,I1243)</f>
        <v>0</v>
      </c>
    </row>
    <row r="1244" spans="1:14" x14ac:dyDescent="0.3">
      <c r="A1244" s="7" t="s">
        <v>62</v>
      </c>
      <c r="B1244" s="7" t="s">
        <v>63</v>
      </c>
      <c r="C1244" s="7" t="s">
        <v>425</v>
      </c>
      <c r="D1244" s="8">
        <v>45628</v>
      </c>
      <c r="E1244" s="8" t="str">
        <f t="shared" si="75"/>
        <v>December</v>
      </c>
      <c r="F1244">
        <f t="shared" si="76"/>
        <v>2024</v>
      </c>
      <c r="G1244">
        <f t="shared" si="77"/>
        <v>1</v>
      </c>
      <c r="H1244">
        <f t="shared" si="78"/>
        <v>1</v>
      </c>
      <c r="I1244" s="6">
        <v>0.38680555555555557</v>
      </c>
      <c r="J1244" s="6">
        <v>0.80486111111111114</v>
      </c>
      <c r="K1244" s="7" t="s">
        <v>26</v>
      </c>
      <c r="L1244" s="7" t="s">
        <v>14</v>
      </c>
      <c r="M1244" s="7" t="s">
        <v>21</v>
      </c>
      <c r="N1244" s="7">
        <f>COUNTIFS(A:A,A1244,D:D,D1244,E:E,I1244)</f>
        <v>0</v>
      </c>
    </row>
    <row r="1245" spans="1:14" x14ac:dyDescent="0.3">
      <c r="A1245" s="7" t="s">
        <v>141</v>
      </c>
      <c r="B1245" s="7" t="s">
        <v>142</v>
      </c>
      <c r="C1245" s="7" t="s">
        <v>60</v>
      </c>
      <c r="D1245" s="8">
        <v>45347</v>
      </c>
      <c r="E1245" s="8" t="str">
        <f t="shared" si="75"/>
        <v>February</v>
      </c>
      <c r="F1245">
        <f t="shared" si="76"/>
        <v>2024</v>
      </c>
      <c r="G1245">
        <f t="shared" si="77"/>
        <v>1</v>
      </c>
      <c r="H1245">
        <f t="shared" si="78"/>
        <v>0</v>
      </c>
      <c r="I1245" s="6">
        <v>0.38958333333333334</v>
      </c>
      <c r="J1245" s="6">
        <v>0.81736111111111109</v>
      </c>
      <c r="K1245" s="7" t="s">
        <v>20</v>
      </c>
      <c r="L1245" s="7" t="s">
        <v>27</v>
      </c>
      <c r="M1245" s="7" t="s">
        <v>15</v>
      </c>
      <c r="N1245" s="7">
        <f>COUNTIFS(A:A,A1245,D:D,D1245,E:E,I1245)</f>
        <v>0</v>
      </c>
    </row>
    <row r="1246" spans="1:14" x14ac:dyDescent="0.3">
      <c r="A1246" s="7" t="s">
        <v>150</v>
      </c>
      <c r="B1246" s="7" t="s">
        <v>151</v>
      </c>
      <c r="C1246" s="7" t="s">
        <v>60</v>
      </c>
      <c r="D1246" s="8">
        <v>45381</v>
      </c>
      <c r="E1246" s="8" t="str">
        <f t="shared" si="75"/>
        <v>March</v>
      </c>
      <c r="F1246">
        <f t="shared" si="76"/>
        <v>2024</v>
      </c>
      <c r="G1246">
        <f t="shared" si="77"/>
        <v>1</v>
      </c>
      <c r="H1246">
        <f t="shared" si="78"/>
        <v>0</v>
      </c>
      <c r="I1246" s="6">
        <v>0.43333333333333335</v>
      </c>
      <c r="J1246" s="6">
        <v>0.80694444444444446</v>
      </c>
      <c r="K1246" s="7" t="s">
        <v>20</v>
      </c>
      <c r="L1246" s="7" t="s">
        <v>14</v>
      </c>
      <c r="M1246" s="7" t="s">
        <v>21</v>
      </c>
      <c r="N1246" s="7">
        <f>COUNTIFS(A:A,A1246,D:D,D1246,E:E,I1246)</f>
        <v>0</v>
      </c>
    </row>
    <row r="1247" spans="1:14" x14ac:dyDescent="0.3">
      <c r="A1247" s="7" t="s">
        <v>197</v>
      </c>
      <c r="B1247" s="7" t="s">
        <v>198</v>
      </c>
      <c r="C1247" s="7" t="s">
        <v>425</v>
      </c>
      <c r="D1247" s="8">
        <v>45318</v>
      </c>
      <c r="E1247" s="8" t="str">
        <f t="shared" si="75"/>
        <v>January</v>
      </c>
      <c r="F1247">
        <f t="shared" si="76"/>
        <v>2024</v>
      </c>
      <c r="G1247">
        <f t="shared" si="77"/>
        <v>1</v>
      </c>
      <c r="H1247">
        <f t="shared" si="78"/>
        <v>1</v>
      </c>
      <c r="I1247" s="6">
        <v>0.40972222222222221</v>
      </c>
      <c r="J1247" s="6">
        <v>0.70486111111111116</v>
      </c>
      <c r="K1247" s="7" t="s">
        <v>26</v>
      </c>
      <c r="L1247" s="7" t="s">
        <v>27</v>
      </c>
      <c r="M1247" s="7" t="s">
        <v>15</v>
      </c>
      <c r="N1247" s="7">
        <f>COUNTIFS(A:A,A1247,D:D,D1247,E:E,I1247)</f>
        <v>0</v>
      </c>
    </row>
    <row r="1248" spans="1:14" x14ac:dyDescent="0.3">
      <c r="A1248" s="7" t="s">
        <v>109</v>
      </c>
      <c r="B1248" s="7" t="s">
        <v>110</v>
      </c>
      <c r="C1248" s="7" t="s">
        <v>64</v>
      </c>
      <c r="D1248" s="8">
        <v>45383</v>
      </c>
      <c r="E1248" s="8" t="str">
        <f t="shared" si="75"/>
        <v>April</v>
      </c>
      <c r="F1248">
        <f t="shared" si="76"/>
        <v>2024</v>
      </c>
      <c r="G1248">
        <f t="shared" si="77"/>
        <v>1</v>
      </c>
      <c r="H1248">
        <f t="shared" si="78"/>
        <v>1</v>
      </c>
      <c r="I1248" s="6">
        <v>0.40486111111111112</v>
      </c>
      <c r="J1248" s="6">
        <v>0.82430555555555551</v>
      </c>
      <c r="K1248" s="7" t="s">
        <v>26</v>
      </c>
      <c r="L1248" s="7" t="s">
        <v>14</v>
      </c>
      <c r="M1248" s="7" t="s">
        <v>15</v>
      </c>
      <c r="N1248" s="7">
        <f>COUNTIFS(A:A,A1248,D:D,D1248,E:E,I1248)</f>
        <v>0</v>
      </c>
    </row>
    <row r="1249" spans="1:14" x14ac:dyDescent="0.3">
      <c r="A1249" s="7" t="s">
        <v>204</v>
      </c>
      <c r="B1249" s="7" t="s">
        <v>205</v>
      </c>
      <c r="C1249" s="7" t="s">
        <v>426</v>
      </c>
      <c r="D1249" s="8">
        <v>45414</v>
      </c>
      <c r="E1249" s="8" t="str">
        <f t="shared" si="75"/>
        <v>May</v>
      </c>
      <c r="F1249">
        <f t="shared" si="76"/>
        <v>2024</v>
      </c>
      <c r="G1249">
        <f t="shared" si="77"/>
        <v>1</v>
      </c>
      <c r="H1249">
        <f t="shared" si="78"/>
        <v>0</v>
      </c>
      <c r="I1249" s="6">
        <v>0.48055555555555557</v>
      </c>
      <c r="J1249" s="6">
        <v>0.67083333333333328</v>
      </c>
      <c r="K1249" s="7" t="s">
        <v>13</v>
      </c>
      <c r="L1249" s="7" t="s">
        <v>14</v>
      </c>
      <c r="M1249" s="7" t="s">
        <v>21</v>
      </c>
      <c r="N1249" s="7">
        <f>COUNTIFS(A:A,A1249,D:D,D1249,E:E,I1249)</f>
        <v>0</v>
      </c>
    </row>
    <row r="1250" spans="1:14" x14ac:dyDescent="0.3">
      <c r="A1250" s="7" t="s">
        <v>75</v>
      </c>
      <c r="B1250" s="7" t="s">
        <v>76</v>
      </c>
      <c r="C1250" s="7" t="s">
        <v>426</v>
      </c>
      <c r="D1250" s="8">
        <v>45305</v>
      </c>
      <c r="E1250" s="8" t="str">
        <f t="shared" si="75"/>
        <v>January</v>
      </c>
      <c r="F1250">
        <f t="shared" si="76"/>
        <v>2024</v>
      </c>
      <c r="G1250">
        <f t="shared" si="77"/>
        <v>1</v>
      </c>
      <c r="H1250">
        <f t="shared" si="78"/>
        <v>0</v>
      </c>
      <c r="I1250" s="6">
        <v>0.34513888888888888</v>
      </c>
      <c r="J1250" s="6">
        <v>0.69930555555555551</v>
      </c>
      <c r="K1250" s="7" t="s">
        <v>13</v>
      </c>
      <c r="L1250" s="7" t="s">
        <v>27</v>
      </c>
      <c r="M1250" s="7" t="s">
        <v>15</v>
      </c>
      <c r="N1250" s="7">
        <f>COUNTIFS(A:A,A1250,D:D,D1250,E:E,I1250)</f>
        <v>0</v>
      </c>
    </row>
    <row r="1251" spans="1:14" x14ac:dyDescent="0.3">
      <c r="A1251" s="7" t="s">
        <v>16</v>
      </c>
      <c r="B1251" s="7" t="s">
        <v>17</v>
      </c>
      <c r="C1251" s="7" t="s">
        <v>64</v>
      </c>
      <c r="D1251" s="8">
        <v>45374</v>
      </c>
      <c r="E1251" s="8" t="str">
        <f t="shared" si="75"/>
        <v>March</v>
      </c>
      <c r="F1251">
        <f t="shared" si="76"/>
        <v>2024</v>
      </c>
      <c r="G1251">
        <f t="shared" si="77"/>
        <v>0</v>
      </c>
      <c r="H1251">
        <f t="shared" si="78"/>
        <v>0</v>
      </c>
      <c r="I1251" s="6"/>
      <c r="J1251" s="6"/>
      <c r="K1251" s="7" t="s">
        <v>44</v>
      </c>
      <c r="L1251" s="7" t="s">
        <v>14</v>
      </c>
      <c r="M1251" s="7" t="s">
        <v>21</v>
      </c>
      <c r="N1251" s="7">
        <f>COUNTIFS(A:A,A1251,D:D,D1251,E:E,I1251)</f>
        <v>0</v>
      </c>
    </row>
    <row r="1252" spans="1:14" x14ac:dyDescent="0.3">
      <c r="A1252" s="7" t="s">
        <v>157</v>
      </c>
      <c r="B1252" s="7" t="s">
        <v>158</v>
      </c>
      <c r="C1252" s="7" t="s">
        <v>60</v>
      </c>
      <c r="D1252" s="8">
        <v>45361</v>
      </c>
      <c r="E1252" s="8" t="str">
        <f t="shared" si="75"/>
        <v>March</v>
      </c>
      <c r="F1252">
        <f t="shared" si="76"/>
        <v>2024</v>
      </c>
      <c r="G1252">
        <f t="shared" si="77"/>
        <v>1</v>
      </c>
      <c r="H1252">
        <f t="shared" si="78"/>
        <v>1</v>
      </c>
      <c r="I1252" s="6">
        <v>0.38333333333333336</v>
      </c>
      <c r="J1252" s="6">
        <v>0.85138888888888886</v>
      </c>
      <c r="K1252" s="7" t="s">
        <v>26</v>
      </c>
      <c r="L1252" s="7" t="s">
        <v>27</v>
      </c>
      <c r="M1252" s="7" t="s">
        <v>15</v>
      </c>
      <c r="N1252" s="7">
        <f>COUNTIFS(A:A,A1252,D:D,D1252,E:E,I1252)</f>
        <v>0</v>
      </c>
    </row>
    <row r="1253" spans="1:14" x14ac:dyDescent="0.3">
      <c r="A1253" s="7" t="s">
        <v>9</v>
      </c>
      <c r="B1253" s="7" t="s">
        <v>10</v>
      </c>
      <c r="C1253" s="7" t="s">
        <v>425</v>
      </c>
      <c r="D1253" s="8">
        <v>45356</v>
      </c>
      <c r="E1253" s="8" t="str">
        <f t="shared" si="75"/>
        <v>March</v>
      </c>
      <c r="F1253">
        <f t="shared" si="76"/>
        <v>2024</v>
      </c>
      <c r="G1253">
        <f t="shared" si="77"/>
        <v>1</v>
      </c>
      <c r="H1253">
        <f t="shared" si="78"/>
        <v>1</v>
      </c>
      <c r="I1253" s="6">
        <v>0.46875</v>
      </c>
      <c r="J1253" s="6">
        <v>0.72361111111111109</v>
      </c>
      <c r="K1253" s="7" t="s">
        <v>26</v>
      </c>
      <c r="L1253" s="7" t="s">
        <v>27</v>
      </c>
      <c r="M1253" s="7" t="s">
        <v>21</v>
      </c>
      <c r="N1253" s="7">
        <f>COUNTIFS(A:A,A1253,D:D,D1253,E:E,I1253)</f>
        <v>0</v>
      </c>
    </row>
    <row r="1254" spans="1:14" x14ac:dyDescent="0.3">
      <c r="A1254" s="7" t="s">
        <v>154</v>
      </c>
      <c r="B1254" s="7" t="s">
        <v>155</v>
      </c>
      <c r="C1254" s="7" t="s">
        <v>426</v>
      </c>
      <c r="D1254" s="8">
        <v>45348</v>
      </c>
      <c r="E1254" s="8" t="str">
        <f t="shared" si="75"/>
        <v>February</v>
      </c>
      <c r="F1254">
        <f t="shared" si="76"/>
        <v>2024</v>
      </c>
      <c r="G1254">
        <f t="shared" si="77"/>
        <v>1</v>
      </c>
      <c r="H1254">
        <f t="shared" si="78"/>
        <v>1</v>
      </c>
      <c r="I1254" s="6">
        <v>0.4152777777777778</v>
      </c>
      <c r="J1254" s="6">
        <v>0.70972222222222225</v>
      </c>
      <c r="K1254" s="7" t="s">
        <v>26</v>
      </c>
      <c r="L1254" s="7" t="s">
        <v>27</v>
      </c>
      <c r="M1254" s="7" t="s">
        <v>21</v>
      </c>
      <c r="N1254" s="7">
        <f>COUNTIFS(A:A,A1254,D:D,D1254,E:E,I1254)</f>
        <v>0</v>
      </c>
    </row>
    <row r="1255" spans="1:14" x14ac:dyDescent="0.3">
      <c r="A1255" s="7" t="s">
        <v>134</v>
      </c>
      <c r="B1255" s="7" t="s">
        <v>135</v>
      </c>
      <c r="C1255" s="7" t="s">
        <v>60</v>
      </c>
      <c r="D1255" s="8">
        <v>45304</v>
      </c>
      <c r="E1255" s="8" t="str">
        <f t="shared" si="75"/>
        <v>January</v>
      </c>
      <c r="F1255">
        <f t="shared" si="76"/>
        <v>2024</v>
      </c>
      <c r="G1255">
        <f t="shared" si="77"/>
        <v>1</v>
      </c>
      <c r="H1255">
        <f t="shared" si="78"/>
        <v>0</v>
      </c>
      <c r="I1255" s="6">
        <v>0.375</v>
      </c>
      <c r="J1255" s="6">
        <v>0.83680555555555558</v>
      </c>
      <c r="K1255" s="7" t="s">
        <v>20</v>
      </c>
      <c r="L1255" s="7" t="s">
        <v>27</v>
      </c>
      <c r="M1255" s="7" t="s">
        <v>15</v>
      </c>
      <c r="N1255" s="7">
        <f>COUNTIFS(A:A,A1255,D:D,D1255,E:E,I1255)</f>
        <v>0</v>
      </c>
    </row>
    <row r="1256" spans="1:14" x14ac:dyDescent="0.3">
      <c r="A1256" s="7" t="s">
        <v>216</v>
      </c>
      <c r="B1256" s="7" t="s">
        <v>217</v>
      </c>
      <c r="C1256" s="7" t="s">
        <v>426</v>
      </c>
      <c r="D1256" s="8">
        <v>45413</v>
      </c>
      <c r="E1256" s="8" t="str">
        <f t="shared" si="75"/>
        <v>May</v>
      </c>
      <c r="F1256">
        <f t="shared" si="76"/>
        <v>2024</v>
      </c>
      <c r="G1256">
        <f t="shared" si="77"/>
        <v>0</v>
      </c>
      <c r="H1256">
        <f t="shared" si="78"/>
        <v>0</v>
      </c>
      <c r="I1256" s="6"/>
      <c r="J1256" s="6"/>
      <c r="K1256" s="7" t="s">
        <v>44</v>
      </c>
      <c r="L1256" s="7" t="s">
        <v>14</v>
      </c>
      <c r="M1256" s="7" t="s">
        <v>21</v>
      </c>
      <c r="N1256" s="7">
        <f>COUNTIFS(A:A,A1256,D:D,D1256,E:E,I1256)</f>
        <v>0</v>
      </c>
    </row>
    <row r="1257" spans="1:14" x14ac:dyDescent="0.3">
      <c r="A1257" s="7" t="s">
        <v>236</v>
      </c>
      <c r="B1257" s="7" t="s">
        <v>237</v>
      </c>
      <c r="C1257" s="7" t="s">
        <v>426</v>
      </c>
      <c r="D1257" s="8">
        <v>45310</v>
      </c>
      <c r="E1257" s="8" t="str">
        <f t="shared" si="75"/>
        <v>January</v>
      </c>
      <c r="F1257">
        <f t="shared" si="76"/>
        <v>2024</v>
      </c>
      <c r="G1257">
        <f t="shared" si="77"/>
        <v>1</v>
      </c>
      <c r="H1257">
        <f t="shared" si="78"/>
        <v>1</v>
      </c>
      <c r="I1257" s="6">
        <v>0.34375</v>
      </c>
      <c r="J1257" s="6">
        <v>0.77013888888888893</v>
      </c>
      <c r="K1257" s="7" t="s">
        <v>26</v>
      </c>
      <c r="L1257" s="7" t="s">
        <v>27</v>
      </c>
      <c r="M1257" s="7" t="s">
        <v>21</v>
      </c>
      <c r="N1257" s="7">
        <f>COUNTIFS(A:A,A1257,D:D,D1257,E:E,I1257)</f>
        <v>0</v>
      </c>
    </row>
    <row r="1258" spans="1:14" x14ac:dyDescent="0.3">
      <c r="A1258" s="7" t="s">
        <v>62</v>
      </c>
      <c r="B1258" s="7" t="s">
        <v>63</v>
      </c>
      <c r="C1258" s="7" t="s">
        <v>60</v>
      </c>
      <c r="D1258" s="8">
        <v>45354</v>
      </c>
      <c r="E1258" s="8" t="str">
        <f t="shared" si="75"/>
        <v>March</v>
      </c>
      <c r="F1258">
        <f t="shared" si="76"/>
        <v>2024</v>
      </c>
      <c r="G1258">
        <f t="shared" si="77"/>
        <v>1</v>
      </c>
      <c r="H1258">
        <f t="shared" si="78"/>
        <v>1</v>
      </c>
      <c r="I1258" s="6">
        <v>0.3576388888888889</v>
      </c>
      <c r="J1258" s="6">
        <v>0.7993055555555556</v>
      </c>
      <c r="K1258" s="7" t="s">
        <v>26</v>
      </c>
      <c r="L1258" s="7" t="s">
        <v>14</v>
      </c>
      <c r="M1258" s="7" t="s">
        <v>15</v>
      </c>
      <c r="N1258" s="7">
        <f>COUNTIFS(A:A,A1258,D:D,D1258,E:E,I1258)</f>
        <v>0</v>
      </c>
    </row>
    <row r="1259" spans="1:14" x14ac:dyDescent="0.3">
      <c r="A1259" s="7" t="s">
        <v>102</v>
      </c>
      <c r="B1259" s="7" t="s">
        <v>103</v>
      </c>
      <c r="C1259" s="7" t="s">
        <v>426</v>
      </c>
      <c r="D1259" s="8">
        <v>45330</v>
      </c>
      <c r="E1259" s="8" t="str">
        <f t="shared" si="75"/>
        <v>February</v>
      </c>
      <c r="F1259">
        <f t="shared" si="76"/>
        <v>2024</v>
      </c>
      <c r="G1259">
        <f t="shared" si="77"/>
        <v>1</v>
      </c>
      <c r="H1259">
        <f t="shared" si="78"/>
        <v>0</v>
      </c>
      <c r="I1259" s="6">
        <v>0.36875000000000002</v>
      </c>
      <c r="J1259" s="6">
        <v>0.67361111111111116</v>
      </c>
      <c r="K1259" s="7" t="s">
        <v>13</v>
      </c>
      <c r="L1259" s="7" t="s">
        <v>14</v>
      </c>
      <c r="M1259" s="7" t="s">
        <v>21</v>
      </c>
      <c r="N1259" s="7">
        <f>COUNTIFS(A:A,A1259,D:D,D1259,E:E,I1259)</f>
        <v>0</v>
      </c>
    </row>
    <row r="1260" spans="1:14" x14ac:dyDescent="0.3">
      <c r="A1260" s="7" t="s">
        <v>291</v>
      </c>
      <c r="B1260" s="7" t="s">
        <v>292</v>
      </c>
      <c r="C1260" s="7" t="s">
        <v>426</v>
      </c>
      <c r="D1260" s="8">
        <v>45379</v>
      </c>
      <c r="E1260" s="8" t="str">
        <f t="shared" si="75"/>
        <v>March</v>
      </c>
      <c r="F1260">
        <f t="shared" si="76"/>
        <v>2024</v>
      </c>
      <c r="G1260">
        <f t="shared" si="77"/>
        <v>1</v>
      </c>
      <c r="H1260">
        <f t="shared" si="78"/>
        <v>0</v>
      </c>
      <c r="I1260" s="6">
        <v>0.45416666666666666</v>
      </c>
      <c r="J1260" s="6">
        <v>0.73472222222222228</v>
      </c>
      <c r="K1260" s="7" t="s">
        <v>20</v>
      </c>
      <c r="L1260" s="7" t="s">
        <v>14</v>
      </c>
      <c r="M1260" s="7" t="s">
        <v>21</v>
      </c>
      <c r="N1260" s="7">
        <f>COUNTIFS(A:A,A1260,D:D,D1260,E:E,I1260)</f>
        <v>0</v>
      </c>
    </row>
    <row r="1261" spans="1:14" x14ac:dyDescent="0.3">
      <c r="A1261" s="7" t="s">
        <v>109</v>
      </c>
      <c r="B1261" s="7" t="s">
        <v>110</v>
      </c>
      <c r="C1261" s="7" t="s">
        <v>425</v>
      </c>
      <c r="D1261" s="8">
        <v>45325</v>
      </c>
      <c r="E1261" s="8" t="str">
        <f t="shared" si="75"/>
        <v>February</v>
      </c>
      <c r="F1261">
        <f t="shared" si="76"/>
        <v>2024</v>
      </c>
      <c r="G1261">
        <f t="shared" si="77"/>
        <v>1</v>
      </c>
      <c r="H1261">
        <f t="shared" si="78"/>
        <v>1</v>
      </c>
      <c r="I1261" s="6">
        <v>0.43541666666666667</v>
      </c>
      <c r="J1261" s="6">
        <v>0.80625000000000002</v>
      </c>
      <c r="K1261" s="7" t="s">
        <v>26</v>
      </c>
      <c r="L1261" s="7" t="s">
        <v>14</v>
      </c>
      <c r="M1261" s="7" t="s">
        <v>15</v>
      </c>
      <c r="N1261" s="7">
        <f>COUNTIFS(A:A,A1261,D:D,D1261,E:E,I1261)</f>
        <v>0</v>
      </c>
    </row>
    <row r="1262" spans="1:14" x14ac:dyDescent="0.3">
      <c r="A1262" s="7" t="s">
        <v>40</v>
      </c>
      <c r="B1262" s="7" t="s">
        <v>41</v>
      </c>
      <c r="C1262" s="7" t="s">
        <v>426</v>
      </c>
      <c r="D1262" s="8">
        <v>45319</v>
      </c>
      <c r="E1262" s="8" t="str">
        <f t="shared" si="75"/>
        <v>January</v>
      </c>
      <c r="F1262">
        <f t="shared" si="76"/>
        <v>2024</v>
      </c>
      <c r="G1262">
        <f t="shared" si="77"/>
        <v>1</v>
      </c>
      <c r="H1262">
        <f t="shared" si="78"/>
        <v>1</v>
      </c>
      <c r="I1262" s="6">
        <v>0.46388888888888891</v>
      </c>
      <c r="J1262" s="6">
        <v>0.68263888888888891</v>
      </c>
      <c r="K1262" s="7" t="s">
        <v>26</v>
      </c>
      <c r="L1262" s="7" t="s">
        <v>14</v>
      </c>
      <c r="M1262" s="7" t="s">
        <v>15</v>
      </c>
      <c r="N1262" s="7">
        <f>COUNTIFS(A:A,A1262,D:D,D1262,E:E,I1262)</f>
        <v>0</v>
      </c>
    </row>
    <row r="1263" spans="1:14" x14ac:dyDescent="0.3">
      <c r="A1263" s="7" t="s">
        <v>175</v>
      </c>
      <c r="B1263" s="7" t="s">
        <v>176</v>
      </c>
      <c r="C1263" s="7" t="s">
        <v>42</v>
      </c>
      <c r="D1263" s="8">
        <v>45336</v>
      </c>
      <c r="E1263" s="8" t="str">
        <f t="shared" si="75"/>
        <v>February</v>
      </c>
      <c r="F1263">
        <f t="shared" si="76"/>
        <v>2024</v>
      </c>
      <c r="G1263">
        <f t="shared" si="77"/>
        <v>1</v>
      </c>
      <c r="H1263">
        <f t="shared" si="78"/>
        <v>0</v>
      </c>
      <c r="I1263" s="6">
        <v>0.34861111111111109</v>
      </c>
      <c r="J1263" s="6">
        <v>0.74791666666666667</v>
      </c>
      <c r="K1263" s="7" t="s">
        <v>20</v>
      </c>
      <c r="L1263" s="7" t="s">
        <v>14</v>
      </c>
      <c r="M1263" s="7" t="s">
        <v>21</v>
      </c>
      <c r="N1263" s="7">
        <f>COUNTIFS(A:A,A1263,D:D,D1263,E:E,I1263)</f>
        <v>0</v>
      </c>
    </row>
    <row r="1264" spans="1:14" x14ac:dyDescent="0.3">
      <c r="A1264" s="7" t="s">
        <v>9</v>
      </c>
      <c r="B1264" s="7" t="s">
        <v>10</v>
      </c>
      <c r="C1264" s="7" t="s">
        <v>426</v>
      </c>
      <c r="D1264" s="8">
        <v>45350</v>
      </c>
      <c r="E1264" s="8" t="str">
        <f t="shared" si="75"/>
        <v>February</v>
      </c>
      <c r="F1264">
        <f t="shared" si="76"/>
        <v>2024</v>
      </c>
      <c r="G1264">
        <f t="shared" si="77"/>
        <v>1</v>
      </c>
      <c r="H1264">
        <f t="shared" si="78"/>
        <v>1</v>
      </c>
      <c r="I1264" s="6">
        <v>0.4465277777777778</v>
      </c>
      <c r="J1264" s="6">
        <v>0.68194444444444446</v>
      </c>
      <c r="K1264" s="7" t="s">
        <v>26</v>
      </c>
      <c r="L1264" s="7" t="s">
        <v>27</v>
      </c>
      <c r="M1264" s="7" t="s">
        <v>21</v>
      </c>
      <c r="N1264" s="7">
        <f>COUNTIFS(A:A,A1264,D:D,D1264,E:E,I1264)</f>
        <v>0</v>
      </c>
    </row>
    <row r="1265" spans="1:14" x14ac:dyDescent="0.3">
      <c r="A1265" s="7" t="s">
        <v>34</v>
      </c>
      <c r="B1265" s="7" t="s">
        <v>35</v>
      </c>
      <c r="C1265" s="7" t="s">
        <v>425</v>
      </c>
      <c r="D1265" s="8">
        <v>45368</v>
      </c>
      <c r="E1265" s="8" t="str">
        <f t="shared" si="75"/>
        <v>March</v>
      </c>
      <c r="F1265">
        <f t="shared" si="76"/>
        <v>2024</v>
      </c>
      <c r="G1265">
        <f t="shared" si="77"/>
        <v>1</v>
      </c>
      <c r="H1265">
        <f t="shared" si="78"/>
        <v>1</v>
      </c>
      <c r="I1265" s="6">
        <v>0.47430555555555554</v>
      </c>
      <c r="J1265" s="6">
        <v>0.73263888888888884</v>
      </c>
      <c r="K1265" s="7" t="s">
        <v>26</v>
      </c>
      <c r="L1265" s="7" t="s">
        <v>14</v>
      </c>
      <c r="M1265" s="7" t="s">
        <v>15</v>
      </c>
      <c r="N1265" s="7">
        <f>COUNTIFS(A:A,A1265,D:D,D1265,E:E,I1265)</f>
        <v>0</v>
      </c>
    </row>
    <row r="1266" spans="1:14" x14ac:dyDescent="0.3">
      <c r="A1266" s="7" t="s">
        <v>75</v>
      </c>
      <c r="B1266" s="7" t="s">
        <v>76</v>
      </c>
      <c r="C1266" s="7" t="s">
        <v>426</v>
      </c>
      <c r="D1266" s="8">
        <v>45296</v>
      </c>
      <c r="E1266" s="8" t="str">
        <f t="shared" si="75"/>
        <v>January</v>
      </c>
      <c r="F1266">
        <f t="shared" si="76"/>
        <v>2024</v>
      </c>
      <c r="G1266">
        <f t="shared" si="77"/>
        <v>1</v>
      </c>
      <c r="H1266">
        <f t="shared" si="78"/>
        <v>0</v>
      </c>
      <c r="I1266" s="6">
        <v>0.3888888888888889</v>
      </c>
      <c r="J1266" s="6">
        <v>0.8125</v>
      </c>
      <c r="K1266" s="7" t="s">
        <v>20</v>
      </c>
      <c r="L1266" s="7" t="s">
        <v>27</v>
      </c>
      <c r="M1266" s="7" t="s">
        <v>21</v>
      </c>
      <c r="N1266" s="7">
        <f>COUNTIFS(A:A,A1266,D:D,D1266,E:E,I1266)</f>
        <v>0</v>
      </c>
    </row>
    <row r="1267" spans="1:14" x14ac:dyDescent="0.3">
      <c r="A1267" s="7" t="s">
        <v>191</v>
      </c>
      <c r="B1267" s="7" t="s">
        <v>192</v>
      </c>
      <c r="C1267" s="7" t="s">
        <v>60</v>
      </c>
      <c r="D1267" s="8">
        <v>45475</v>
      </c>
      <c r="E1267" s="8" t="str">
        <f t="shared" si="75"/>
        <v>July</v>
      </c>
      <c r="F1267">
        <f t="shared" si="76"/>
        <v>2024</v>
      </c>
      <c r="G1267">
        <f t="shared" si="77"/>
        <v>1</v>
      </c>
      <c r="H1267">
        <f t="shared" si="78"/>
        <v>1</v>
      </c>
      <c r="I1267" s="6">
        <v>0.45347222222222222</v>
      </c>
      <c r="J1267" s="6">
        <v>0.75694444444444442</v>
      </c>
      <c r="K1267" s="7" t="s">
        <v>26</v>
      </c>
      <c r="L1267" s="7" t="s">
        <v>27</v>
      </c>
      <c r="M1267" s="7" t="s">
        <v>21</v>
      </c>
      <c r="N1267" s="7">
        <f>COUNTIFS(A:A,A1267,D:D,D1267,E:E,I1267)</f>
        <v>0</v>
      </c>
    </row>
    <row r="1268" spans="1:14" x14ac:dyDescent="0.3">
      <c r="A1268" s="7" t="s">
        <v>197</v>
      </c>
      <c r="B1268" s="7" t="s">
        <v>198</v>
      </c>
      <c r="C1268" s="7" t="s">
        <v>426</v>
      </c>
      <c r="D1268" s="8">
        <v>45373</v>
      </c>
      <c r="E1268" s="8" t="str">
        <f t="shared" si="75"/>
        <v>March</v>
      </c>
      <c r="F1268">
        <f t="shared" si="76"/>
        <v>2024</v>
      </c>
      <c r="G1268">
        <f t="shared" si="77"/>
        <v>1</v>
      </c>
      <c r="H1268">
        <f t="shared" si="78"/>
        <v>0</v>
      </c>
      <c r="I1268" s="6">
        <v>0.40416666666666667</v>
      </c>
      <c r="J1268" s="6">
        <v>0.67083333333333328</v>
      </c>
      <c r="K1268" s="7" t="s">
        <v>13</v>
      </c>
      <c r="L1268" s="7" t="s">
        <v>27</v>
      </c>
      <c r="M1268" s="7" t="s">
        <v>21</v>
      </c>
      <c r="N1268" s="7">
        <f>COUNTIFS(A:A,A1268,D:D,D1268,E:E,I1268)</f>
        <v>0</v>
      </c>
    </row>
    <row r="1269" spans="1:14" x14ac:dyDescent="0.3">
      <c r="A1269" s="7" t="s">
        <v>134</v>
      </c>
      <c r="B1269" s="7" t="s">
        <v>135</v>
      </c>
      <c r="C1269" s="7" t="s">
        <v>425</v>
      </c>
      <c r="D1269" s="8">
        <v>45326</v>
      </c>
      <c r="E1269" s="8" t="str">
        <f t="shared" si="75"/>
        <v>February</v>
      </c>
      <c r="F1269">
        <f t="shared" si="76"/>
        <v>2024</v>
      </c>
      <c r="G1269">
        <f t="shared" si="77"/>
        <v>0</v>
      </c>
      <c r="H1269">
        <f t="shared" si="78"/>
        <v>0</v>
      </c>
      <c r="I1269" s="6"/>
      <c r="J1269" s="6"/>
      <c r="K1269" s="7" t="s">
        <v>44</v>
      </c>
      <c r="L1269" s="7" t="s">
        <v>27</v>
      </c>
      <c r="M1269" s="7" t="s">
        <v>21</v>
      </c>
      <c r="N1269" s="7">
        <f>COUNTIFS(A:A,A1269,D:D,D1269,E:E,I1269)</f>
        <v>0</v>
      </c>
    </row>
    <row r="1270" spans="1:14" x14ac:dyDescent="0.3">
      <c r="A1270" s="7" t="s">
        <v>58</v>
      </c>
      <c r="B1270" s="7" t="s">
        <v>59</v>
      </c>
      <c r="C1270" s="7" t="s">
        <v>426</v>
      </c>
      <c r="D1270" s="8">
        <v>45347</v>
      </c>
      <c r="E1270" s="8" t="str">
        <f t="shared" si="75"/>
        <v>February</v>
      </c>
      <c r="F1270">
        <f t="shared" si="76"/>
        <v>2024</v>
      </c>
      <c r="G1270">
        <f t="shared" si="77"/>
        <v>1</v>
      </c>
      <c r="H1270">
        <f t="shared" si="78"/>
        <v>1</v>
      </c>
      <c r="I1270" s="6">
        <v>0.33680555555555558</v>
      </c>
      <c r="J1270" s="6">
        <v>0.68472222222222223</v>
      </c>
      <c r="K1270" s="7" t="s">
        <v>26</v>
      </c>
      <c r="L1270" s="7" t="s">
        <v>14</v>
      </c>
      <c r="M1270" s="7" t="s">
        <v>15</v>
      </c>
      <c r="N1270" s="7">
        <f>COUNTIFS(A:A,A1270,D:D,D1270,E:E,I1270)</f>
        <v>0</v>
      </c>
    </row>
    <row r="1271" spans="1:14" x14ac:dyDescent="0.3">
      <c r="A1271" s="7" t="s">
        <v>315</v>
      </c>
      <c r="B1271" s="7" t="s">
        <v>316</v>
      </c>
      <c r="C1271" s="7" t="s">
        <v>60</v>
      </c>
      <c r="D1271" s="8">
        <v>45367</v>
      </c>
      <c r="E1271" s="8" t="str">
        <f t="shared" si="75"/>
        <v>March</v>
      </c>
      <c r="F1271">
        <f t="shared" si="76"/>
        <v>2024</v>
      </c>
      <c r="G1271">
        <f t="shared" si="77"/>
        <v>1</v>
      </c>
      <c r="H1271">
        <f t="shared" si="78"/>
        <v>1</v>
      </c>
      <c r="I1271" s="6">
        <v>0.47708333333333336</v>
      </c>
      <c r="J1271" s="6">
        <v>0.72986111111111107</v>
      </c>
      <c r="K1271" s="7" t="s">
        <v>26</v>
      </c>
      <c r="L1271" s="7" t="s">
        <v>14</v>
      </c>
      <c r="M1271" s="7" t="s">
        <v>21</v>
      </c>
      <c r="N1271" s="7">
        <f>COUNTIFS(A:A,A1271,D:D,D1271,E:E,I1271)</f>
        <v>0</v>
      </c>
    </row>
    <row r="1272" spans="1:14" x14ac:dyDescent="0.3">
      <c r="A1272" s="7" t="s">
        <v>141</v>
      </c>
      <c r="B1272" s="7" t="s">
        <v>142</v>
      </c>
      <c r="C1272" s="7" t="s">
        <v>426</v>
      </c>
      <c r="D1272" s="8">
        <v>45359</v>
      </c>
      <c r="E1272" s="8" t="str">
        <f t="shared" si="75"/>
        <v>March</v>
      </c>
      <c r="F1272">
        <f t="shared" si="76"/>
        <v>2024</v>
      </c>
      <c r="G1272">
        <f t="shared" si="77"/>
        <v>0</v>
      </c>
      <c r="H1272">
        <f t="shared" si="78"/>
        <v>0</v>
      </c>
      <c r="I1272" s="6"/>
      <c r="J1272" s="6"/>
      <c r="K1272" s="7" t="s">
        <v>44</v>
      </c>
      <c r="L1272" s="7" t="s">
        <v>27</v>
      </c>
      <c r="M1272" s="7" t="s">
        <v>15</v>
      </c>
      <c r="N1272" s="7">
        <f>COUNTIFS(A:A,A1272,D:D,D1272,E:E,I1272)</f>
        <v>0</v>
      </c>
    </row>
    <row r="1273" spans="1:14" x14ac:dyDescent="0.3">
      <c r="A1273" s="7" t="s">
        <v>99</v>
      </c>
      <c r="B1273" s="7" t="s">
        <v>100</v>
      </c>
      <c r="C1273" s="7" t="s">
        <v>425</v>
      </c>
      <c r="D1273" s="8">
        <v>45383</v>
      </c>
      <c r="E1273" s="8" t="str">
        <f t="shared" si="75"/>
        <v>April</v>
      </c>
      <c r="F1273">
        <f t="shared" si="76"/>
        <v>2024</v>
      </c>
      <c r="G1273">
        <f t="shared" si="77"/>
        <v>1</v>
      </c>
      <c r="H1273">
        <f t="shared" si="78"/>
        <v>0</v>
      </c>
      <c r="I1273" s="6">
        <v>0.39652777777777776</v>
      </c>
      <c r="J1273" s="6">
        <v>0.69444444444444442</v>
      </c>
      <c r="K1273" s="7" t="s">
        <v>20</v>
      </c>
      <c r="L1273" s="7" t="s">
        <v>14</v>
      </c>
      <c r="M1273" s="7" t="s">
        <v>15</v>
      </c>
      <c r="N1273" s="7">
        <f>COUNTIFS(A:A,A1273,D:D,D1273,E:E,I1273)</f>
        <v>0</v>
      </c>
    </row>
    <row r="1274" spans="1:14" x14ac:dyDescent="0.3">
      <c r="A1274" s="7" t="s">
        <v>141</v>
      </c>
      <c r="B1274" s="7" t="s">
        <v>142</v>
      </c>
      <c r="C1274" s="7" t="s">
        <v>42</v>
      </c>
      <c r="D1274" s="8">
        <v>45351</v>
      </c>
      <c r="E1274" s="8" t="str">
        <f t="shared" si="75"/>
        <v>February</v>
      </c>
      <c r="F1274">
        <f t="shared" si="76"/>
        <v>2024</v>
      </c>
      <c r="G1274">
        <f t="shared" si="77"/>
        <v>1</v>
      </c>
      <c r="H1274">
        <f t="shared" si="78"/>
        <v>1</v>
      </c>
      <c r="I1274" s="6">
        <v>0.37916666666666665</v>
      </c>
      <c r="J1274" s="6">
        <v>0.79374999999999996</v>
      </c>
      <c r="K1274" s="7" t="s">
        <v>26</v>
      </c>
      <c r="L1274" s="7" t="s">
        <v>27</v>
      </c>
      <c r="M1274" s="7" t="s">
        <v>15</v>
      </c>
      <c r="N1274" s="7">
        <f>COUNTIFS(A:A,A1274,D:D,D1274,E:E,I1274)</f>
        <v>0</v>
      </c>
    </row>
    <row r="1275" spans="1:14" x14ac:dyDescent="0.3">
      <c r="A1275" s="7" t="s">
        <v>87</v>
      </c>
      <c r="B1275" s="7" t="s">
        <v>88</v>
      </c>
      <c r="C1275" s="7" t="s">
        <v>60</v>
      </c>
      <c r="D1275" s="8">
        <v>45374</v>
      </c>
      <c r="E1275" s="8" t="str">
        <f t="shared" si="75"/>
        <v>March</v>
      </c>
      <c r="F1275">
        <f t="shared" si="76"/>
        <v>2024</v>
      </c>
      <c r="G1275">
        <f t="shared" si="77"/>
        <v>1</v>
      </c>
      <c r="H1275">
        <f t="shared" si="78"/>
        <v>1</v>
      </c>
      <c r="I1275" s="6">
        <v>0.3888888888888889</v>
      </c>
      <c r="J1275" s="6">
        <v>0.74027777777777781</v>
      </c>
      <c r="K1275" s="7" t="s">
        <v>26</v>
      </c>
      <c r="L1275" s="7" t="s">
        <v>14</v>
      </c>
      <c r="M1275" s="7" t="s">
        <v>21</v>
      </c>
      <c r="N1275" s="7">
        <f>COUNTIFS(A:A,A1275,D:D,D1275,E:E,I1275)</f>
        <v>0</v>
      </c>
    </row>
    <row r="1276" spans="1:14" x14ac:dyDescent="0.3">
      <c r="A1276" s="7" t="s">
        <v>34</v>
      </c>
      <c r="B1276" s="7" t="s">
        <v>35</v>
      </c>
      <c r="C1276" s="7" t="s">
        <v>64</v>
      </c>
      <c r="D1276" s="8">
        <v>45627</v>
      </c>
      <c r="E1276" s="8" t="str">
        <f t="shared" si="75"/>
        <v>December</v>
      </c>
      <c r="F1276">
        <f t="shared" si="76"/>
        <v>2024</v>
      </c>
      <c r="G1276">
        <f t="shared" si="77"/>
        <v>0</v>
      </c>
      <c r="H1276">
        <f t="shared" si="78"/>
        <v>0</v>
      </c>
      <c r="I1276" s="6"/>
      <c r="J1276" s="6"/>
      <c r="K1276" s="7" t="s">
        <v>44</v>
      </c>
      <c r="L1276" s="7" t="s">
        <v>27</v>
      </c>
      <c r="M1276" s="7" t="s">
        <v>15</v>
      </c>
      <c r="N1276" s="7">
        <f>COUNTIFS(A:A,A1276,D:D,D1276,E:E,I1276)</f>
        <v>0</v>
      </c>
    </row>
    <row r="1277" spans="1:14" x14ac:dyDescent="0.3">
      <c r="A1277" s="7" t="s">
        <v>197</v>
      </c>
      <c r="B1277" s="7" t="s">
        <v>198</v>
      </c>
      <c r="C1277" s="7" t="s">
        <v>425</v>
      </c>
      <c r="D1277" s="8">
        <v>45305</v>
      </c>
      <c r="E1277" s="8" t="str">
        <f t="shared" si="75"/>
        <v>January</v>
      </c>
      <c r="F1277">
        <f t="shared" si="76"/>
        <v>2024</v>
      </c>
      <c r="G1277">
        <f t="shared" si="77"/>
        <v>1</v>
      </c>
      <c r="H1277">
        <f t="shared" si="78"/>
        <v>0</v>
      </c>
      <c r="I1277" s="6">
        <v>0.40625</v>
      </c>
      <c r="J1277" s="6">
        <v>0.85763888888888884</v>
      </c>
      <c r="K1277" s="7" t="s">
        <v>13</v>
      </c>
      <c r="L1277" s="7" t="s">
        <v>27</v>
      </c>
      <c r="M1277" s="7" t="s">
        <v>15</v>
      </c>
      <c r="N1277" s="7">
        <f>COUNTIFS(A:A,A1277,D:D,D1277,E:E,I1277)</f>
        <v>0</v>
      </c>
    </row>
    <row r="1278" spans="1:14" x14ac:dyDescent="0.3">
      <c r="A1278" s="7" t="s">
        <v>84</v>
      </c>
      <c r="B1278" s="7" t="s">
        <v>85</v>
      </c>
      <c r="C1278" s="7" t="s">
        <v>42</v>
      </c>
      <c r="D1278" s="8">
        <v>45308</v>
      </c>
      <c r="E1278" s="8" t="str">
        <f t="shared" si="75"/>
        <v>January</v>
      </c>
      <c r="F1278">
        <f t="shared" si="76"/>
        <v>2024</v>
      </c>
      <c r="G1278">
        <f t="shared" si="77"/>
        <v>1</v>
      </c>
      <c r="H1278">
        <f t="shared" si="78"/>
        <v>0</v>
      </c>
      <c r="I1278" s="6">
        <v>0.39305555555555555</v>
      </c>
      <c r="J1278" s="6">
        <v>0.72430555555555554</v>
      </c>
      <c r="K1278" s="7" t="s">
        <v>20</v>
      </c>
      <c r="L1278" s="7" t="s">
        <v>27</v>
      </c>
      <c r="M1278" s="7" t="s">
        <v>21</v>
      </c>
      <c r="N1278" s="7">
        <f>COUNTIFS(A:A,A1278,D:D,D1278,E:E,I1278)</f>
        <v>0</v>
      </c>
    </row>
    <row r="1279" spans="1:14" x14ac:dyDescent="0.3">
      <c r="A1279" s="7" t="s">
        <v>78</v>
      </c>
      <c r="B1279" s="7" t="s">
        <v>79</v>
      </c>
      <c r="C1279" s="7" t="s">
        <v>60</v>
      </c>
      <c r="D1279" s="8">
        <v>45379</v>
      </c>
      <c r="E1279" s="8" t="str">
        <f t="shared" si="75"/>
        <v>March</v>
      </c>
      <c r="F1279">
        <f t="shared" si="76"/>
        <v>2024</v>
      </c>
      <c r="G1279">
        <f t="shared" si="77"/>
        <v>1</v>
      </c>
      <c r="H1279">
        <f t="shared" si="78"/>
        <v>0</v>
      </c>
      <c r="I1279" s="6">
        <v>0.38472222222222224</v>
      </c>
      <c r="J1279" s="6">
        <v>0.77847222222222223</v>
      </c>
      <c r="K1279" s="7" t="s">
        <v>20</v>
      </c>
      <c r="L1279" s="7" t="s">
        <v>14</v>
      </c>
      <c r="M1279" s="7" t="s">
        <v>15</v>
      </c>
      <c r="N1279" s="7">
        <f>COUNTIFS(A:A,A1279,D:D,D1279,E:E,I1279)</f>
        <v>0</v>
      </c>
    </row>
    <row r="1280" spans="1:14" x14ac:dyDescent="0.3">
      <c r="A1280" s="7" t="s">
        <v>34</v>
      </c>
      <c r="B1280" s="7" t="s">
        <v>35</v>
      </c>
      <c r="C1280" s="7" t="s">
        <v>60</v>
      </c>
      <c r="D1280" s="8">
        <v>45413</v>
      </c>
      <c r="E1280" s="8" t="str">
        <f t="shared" si="75"/>
        <v>May</v>
      </c>
      <c r="F1280">
        <f t="shared" si="76"/>
        <v>2024</v>
      </c>
      <c r="G1280">
        <f t="shared" si="77"/>
        <v>1</v>
      </c>
      <c r="H1280">
        <f t="shared" si="78"/>
        <v>1</v>
      </c>
      <c r="I1280" s="6">
        <v>0.45833333333333331</v>
      </c>
      <c r="J1280" s="6">
        <v>0.82222222222222219</v>
      </c>
      <c r="K1280" s="7" t="s">
        <v>26</v>
      </c>
      <c r="L1280" s="7" t="s">
        <v>27</v>
      </c>
      <c r="M1280" s="7" t="s">
        <v>15</v>
      </c>
      <c r="N1280" s="7">
        <f>COUNTIFS(A:A,A1280,D:D,D1280,E:E,I1280)</f>
        <v>0</v>
      </c>
    </row>
    <row r="1281" spans="1:14" x14ac:dyDescent="0.3">
      <c r="A1281" s="7" t="s">
        <v>84</v>
      </c>
      <c r="B1281" s="7" t="s">
        <v>85</v>
      </c>
      <c r="C1281" s="7" t="s">
        <v>425</v>
      </c>
      <c r="D1281" s="8">
        <v>45367</v>
      </c>
      <c r="E1281" s="8" t="str">
        <f t="shared" si="75"/>
        <v>March</v>
      </c>
      <c r="F1281">
        <f t="shared" si="76"/>
        <v>2024</v>
      </c>
      <c r="G1281">
        <f t="shared" si="77"/>
        <v>1</v>
      </c>
      <c r="H1281">
        <f t="shared" si="78"/>
        <v>1</v>
      </c>
      <c r="I1281" s="6">
        <v>0.36180555555555555</v>
      </c>
      <c r="J1281" s="6">
        <v>0.78402777777777777</v>
      </c>
      <c r="K1281" s="7" t="s">
        <v>26</v>
      </c>
      <c r="L1281" s="7" t="s">
        <v>14</v>
      </c>
      <c r="M1281" s="7" t="s">
        <v>21</v>
      </c>
      <c r="N1281" s="7">
        <f>COUNTIFS(A:A,A1281,D:D,D1281,E:E,I1281)</f>
        <v>0</v>
      </c>
    </row>
    <row r="1282" spans="1:14" x14ac:dyDescent="0.3">
      <c r="A1282" s="7" t="s">
        <v>146</v>
      </c>
      <c r="B1282" s="7" t="s">
        <v>147</v>
      </c>
      <c r="C1282" s="7" t="s">
        <v>42</v>
      </c>
      <c r="D1282" s="8">
        <v>45339</v>
      </c>
      <c r="E1282" s="8" t="str">
        <f t="shared" ref="E1282:E1345" si="79">TEXT(D1282,"mmmm")</f>
        <v>February</v>
      </c>
      <c r="F1282">
        <f t="shared" ref="F1282:F1345" si="80">YEAR(D1282)</f>
        <v>2024</v>
      </c>
      <c r="G1282">
        <f t="shared" ref="G1282:G1345" si="81">IF(LOWER(K1282)="absent",0,1)</f>
        <v>1</v>
      </c>
      <c r="H1282">
        <f t="shared" ref="H1282:H1345" si="82">IF(K1282="Late",1,0)</f>
        <v>0</v>
      </c>
      <c r="I1282" s="6">
        <v>0.43541666666666667</v>
      </c>
      <c r="J1282" s="6">
        <v>0.72013888888888888</v>
      </c>
      <c r="K1282" s="7" t="s">
        <v>13</v>
      </c>
      <c r="L1282" s="7" t="s">
        <v>27</v>
      </c>
      <c r="M1282" s="7" t="s">
        <v>21</v>
      </c>
      <c r="N1282" s="7">
        <f>COUNTIFS(A:A,A1282,D:D,D1282,E:E,I1282)</f>
        <v>0</v>
      </c>
    </row>
    <row r="1283" spans="1:14" x14ac:dyDescent="0.3">
      <c r="A1283" s="7" t="s">
        <v>84</v>
      </c>
      <c r="B1283" s="7" t="s">
        <v>85</v>
      </c>
      <c r="C1283" s="7" t="s">
        <v>64</v>
      </c>
      <c r="D1283" s="8">
        <v>45320</v>
      </c>
      <c r="E1283" s="8" t="str">
        <f t="shared" si="79"/>
        <v>January</v>
      </c>
      <c r="F1283">
        <f t="shared" si="80"/>
        <v>2024</v>
      </c>
      <c r="G1283">
        <f t="shared" si="81"/>
        <v>1</v>
      </c>
      <c r="H1283">
        <f t="shared" si="82"/>
        <v>0</v>
      </c>
      <c r="I1283" s="6">
        <v>0.41249999999999998</v>
      </c>
      <c r="J1283" s="6">
        <v>0.87083333333333335</v>
      </c>
      <c r="K1283" s="7" t="s">
        <v>20</v>
      </c>
      <c r="L1283" s="7" t="s">
        <v>14</v>
      </c>
      <c r="M1283" s="7" t="s">
        <v>15</v>
      </c>
      <c r="N1283" s="7">
        <f>COUNTIFS(A:A,A1283,D:D,D1283,E:E,I1283)</f>
        <v>0</v>
      </c>
    </row>
    <row r="1284" spans="1:14" x14ac:dyDescent="0.3">
      <c r="A1284" s="7" t="s">
        <v>34</v>
      </c>
      <c r="B1284" s="7" t="s">
        <v>35</v>
      </c>
      <c r="C1284" s="7" t="s">
        <v>64</v>
      </c>
      <c r="D1284" s="8">
        <v>45378</v>
      </c>
      <c r="E1284" s="8" t="str">
        <f t="shared" si="79"/>
        <v>March</v>
      </c>
      <c r="F1284">
        <f t="shared" si="80"/>
        <v>2024</v>
      </c>
      <c r="G1284">
        <f t="shared" si="81"/>
        <v>0</v>
      </c>
      <c r="H1284">
        <f t="shared" si="82"/>
        <v>0</v>
      </c>
      <c r="I1284" s="6"/>
      <c r="J1284" s="6"/>
      <c r="K1284" s="7" t="s">
        <v>44</v>
      </c>
      <c r="L1284" s="7" t="s">
        <v>14</v>
      </c>
      <c r="M1284" s="7" t="s">
        <v>15</v>
      </c>
      <c r="N1284" s="7">
        <f>COUNTIFS(A:A,A1284,D:D,D1284,E:E,I1284)</f>
        <v>0</v>
      </c>
    </row>
    <row r="1285" spans="1:14" x14ac:dyDescent="0.3">
      <c r="A1285" s="7" t="s">
        <v>22</v>
      </c>
      <c r="B1285" s="7" t="s">
        <v>23</v>
      </c>
      <c r="C1285" s="7" t="s">
        <v>64</v>
      </c>
      <c r="D1285" s="8">
        <v>45310</v>
      </c>
      <c r="E1285" s="8" t="str">
        <f t="shared" si="79"/>
        <v>January</v>
      </c>
      <c r="F1285">
        <f t="shared" si="80"/>
        <v>2024</v>
      </c>
      <c r="G1285">
        <f t="shared" si="81"/>
        <v>1</v>
      </c>
      <c r="H1285">
        <f t="shared" si="82"/>
        <v>0</v>
      </c>
      <c r="I1285" s="6">
        <v>0.34791666666666665</v>
      </c>
      <c r="J1285" s="6">
        <v>0.84861111111111109</v>
      </c>
      <c r="K1285" s="7" t="s">
        <v>13</v>
      </c>
      <c r="L1285" s="7" t="s">
        <v>27</v>
      </c>
      <c r="M1285" s="7" t="s">
        <v>21</v>
      </c>
      <c r="N1285" s="7">
        <f>COUNTIFS(A:A,A1285,D:D,D1285,E:E,I1285)</f>
        <v>0</v>
      </c>
    </row>
    <row r="1286" spans="1:14" x14ac:dyDescent="0.3">
      <c r="A1286" s="7" t="s">
        <v>250</v>
      </c>
      <c r="B1286" s="7" t="s">
        <v>251</v>
      </c>
      <c r="C1286" s="7" t="s">
        <v>60</v>
      </c>
      <c r="D1286" s="8">
        <v>45319</v>
      </c>
      <c r="E1286" s="8" t="str">
        <f t="shared" si="79"/>
        <v>January</v>
      </c>
      <c r="F1286">
        <f t="shared" si="80"/>
        <v>2024</v>
      </c>
      <c r="G1286">
        <f t="shared" si="81"/>
        <v>1</v>
      </c>
      <c r="H1286">
        <f t="shared" si="82"/>
        <v>0</v>
      </c>
      <c r="I1286" s="6">
        <v>0.43958333333333333</v>
      </c>
      <c r="J1286" s="6">
        <v>0.83888888888888891</v>
      </c>
      <c r="K1286" s="7" t="s">
        <v>13</v>
      </c>
      <c r="L1286" s="7" t="s">
        <v>27</v>
      </c>
      <c r="M1286" s="7" t="s">
        <v>15</v>
      </c>
      <c r="N1286" s="7">
        <f>COUNTIFS(A:A,A1286,D:D,D1286,E:E,I1286)</f>
        <v>0</v>
      </c>
    </row>
    <row r="1287" spans="1:14" x14ac:dyDescent="0.3">
      <c r="A1287" s="7" t="s">
        <v>119</v>
      </c>
      <c r="B1287" s="7" t="s">
        <v>120</v>
      </c>
      <c r="C1287" s="7" t="s">
        <v>426</v>
      </c>
      <c r="D1287" s="8">
        <v>45314</v>
      </c>
      <c r="E1287" s="8" t="str">
        <f t="shared" si="79"/>
        <v>January</v>
      </c>
      <c r="F1287">
        <f t="shared" si="80"/>
        <v>2024</v>
      </c>
      <c r="G1287">
        <f t="shared" si="81"/>
        <v>0</v>
      </c>
      <c r="H1287">
        <f t="shared" si="82"/>
        <v>0</v>
      </c>
      <c r="I1287" s="6"/>
      <c r="J1287" s="6"/>
      <c r="K1287" s="7" t="s">
        <v>44</v>
      </c>
      <c r="L1287" s="7" t="s">
        <v>27</v>
      </c>
      <c r="M1287" s="7" t="s">
        <v>21</v>
      </c>
      <c r="N1287" s="7">
        <f>COUNTIFS(A:A,A1287,D:D,D1287,E:E,I1287)</f>
        <v>0</v>
      </c>
    </row>
    <row r="1288" spans="1:14" x14ac:dyDescent="0.3">
      <c r="A1288" s="7" t="s">
        <v>197</v>
      </c>
      <c r="B1288" s="7" t="s">
        <v>198</v>
      </c>
      <c r="C1288" s="7" t="s">
        <v>425</v>
      </c>
      <c r="D1288" s="8">
        <v>45317</v>
      </c>
      <c r="E1288" s="8" t="str">
        <f t="shared" si="79"/>
        <v>January</v>
      </c>
      <c r="F1288">
        <f t="shared" si="80"/>
        <v>2024</v>
      </c>
      <c r="G1288">
        <f t="shared" si="81"/>
        <v>1</v>
      </c>
      <c r="H1288">
        <f t="shared" si="82"/>
        <v>0</v>
      </c>
      <c r="I1288" s="6">
        <v>0.33680555555555558</v>
      </c>
      <c r="J1288" s="6">
        <v>0.86458333333333337</v>
      </c>
      <c r="K1288" s="7" t="s">
        <v>20</v>
      </c>
      <c r="L1288" s="7" t="s">
        <v>14</v>
      </c>
      <c r="M1288" s="7" t="s">
        <v>21</v>
      </c>
      <c r="N1288" s="7">
        <f>COUNTIFS(A:A,A1288,D:D,D1288,E:E,I1288)</f>
        <v>0</v>
      </c>
    </row>
    <row r="1289" spans="1:14" x14ac:dyDescent="0.3">
      <c r="A1289" s="7" t="s">
        <v>191</v>
      </c>
      <c r="B1289" s="7" t="s">
        <v>192</v>
      </c>
      <c r="C1289" s="7" t="s">
        <v>64</v>
      </c>
      <c r="D1289" s="8">
        <v>45415</v>
      </c>
      <c r="E1289" s="8" t="str">
        <f t="shared" si="79"/>
        <v>May</v>
      </c>
      <c r="F1289">
        <f t="shared" si="80"/>
        <v>2024</v>
      </c>
      <c r="G1289">
        <f t="shared" si="81"/>
        <v>0</v>
      </c>
      <c r="H1289">
        <f t="shared" si="82"/>
        <v>0</v>
      </c>
      <c r="I1289" s="6"/>
      <c r="J1289" s="6"/>
      <c r="K1289" s="7" t="s">
        <v>44</v>
      </c>
      <c r="L1289" s="7" t="s">
        <v>14</v>
      </c>
      <c r="M1289" s="7" t="s">
        <v>21</v>
      </c>
      <c r="N1289" s="7">
        <f>COUNTIFS(A:A,A1289,D:D,D1289,E:E,I1289)</f>
        <v>0</v>
      </c>
    </row>
    <row r="1290" spans="1:14" x14ac:dyDescent="0.3">
      <c r="A1290" s="7" t="s">
        <v>16</v>
      </c>
      <c r="B1290" s="7" t="s">
        <v>17</v>
      </c>
      <c r="C1290" s="7" t="s">
        <v>426</v>
      </c>
      <c r="D1290" s="8">
        <v>45372</v>
      </c>
      <c r="E1290" s="8" t="str">
        <f t="shared" si="79"/>
        <v>March</v>
      </c>
      <c r="F1290">
        <f t="shared" si="80"/>
        <v>2024</v>
      </c>
      <c r="G1290">
        <f t="shared" si="81"/>
        <v>1</v>
      </c>
      <c r="H1290">
        <f t="shared" si="82"/>
        <v>0</v>
      </c>
      <c r="I1290" s="6">
        <v>0.47083333333333333</v>
      </c>
      <c r="J1290" s="6">
        <v>0.85069444444444442</v>
      </c>
      <c r="K1290" s="7" t="s">
        <v>20</v>
      </c>
      <c r="L1290" s="7" t="s">
        <v>14</v>
      </c>
      <c r="M1290" s="7" t="s">
        <v>15</v>
      </c>
      <c r="N1290" s="7">
        <f>COUNTIFS(A:A,A1290,D:D,D1290,E:E,I1290)</f>
        <v>0</v>
      </c>
    </row>
    <row r="1291" spans="1:14" x14ac:dyDescent="0.3">
      <c r="A1291" s="7" t="s">
        <v>246</v>
      </c>
      <c r="B1291" s="7" t="s">
        <v>247</v>
      </c>
      <c r="C1291" s="7" t="s">
        <v>60</v>
      </c>
      <c r="D1291" s="8">
        <v>45304</v>
      </c>
      <c r="E1291" s="8" t="str">
        <f t="shared" si="79"/>
        <v>January</v>
      </c>
      <c r="F1291">
        <f t="shared" si="80"/>
        <v>2024</v>
      </c>
      <c r="G1291">
        <f t="shared" si="81"/>
        <v>1</v>
      </c>
      <c r="H1291">
        <f t="shared" si="82"/>
        <v>0</v>
      </c>
      <c r="I1291" s="6">
        <v>0.48888888888888887</v>
      </c>
      <c r="J1291" s="6">
        <v>0.76736111111111116</v>
      </c>
      <c r="K1291" s="7" t="s">
        <v>20</v>
      </c>
      <c r="L1291" s="7" t="s">
        <v>27</v>
      </c>
      <c r="M1291" s="7" t="s">
        <v>15</v>
      </c>
      <c r="N1291" s="7">
        <f>COUNTIFS(A:A,A1291,D:D,D1291,E:E,I1291)</f>
        <v>0</v>
      </c>
    </row>
    <row r="1292" spans="1:14" x14ac:dyDescent="0.3">
      <c r="A1292" s="7" t="s">
        <v>78</v>
      </c>
      <c r="B1292" s="7" t="s">
        <v>79</v>
      </c>
      <c r="C1292" s="7" t="s">
        <v>42</v>
      </c>
      <c r="D1292" s="8">
        <v>45335</v>
      </c>
      <c r="E1292" s="8" t="str">
        <f t="shared" si="79"/>
        <v>February</v>
      </c>
      <c r="F1292">
        <f t="shared" si="80"/>
        <v>2024</v>
      </c>
      <c r="G1292">
        <f t="shared" si="81"/>
        <v>1</v>
      </c>
      <c r="H1292">
        <f t="shared" si="82"/>
        <v>1</v>
      </c>
      <c r="I1292" s="6">
        <v>0.35694444444444445</v>
      </c>
      <c r="J1292" s="6">
        <v>0.7993055555555556</v>
      </c>
      <c r="K1292" s="7" t="s">
        <v>26</v>
      </c>
      <c r="L1292" s="7" t="s">
        <v>14</v>
      </c>
      <c r="M1292" s="7" t="s">
        <v>15</v>
      </c>
      <c r="N1292" s="7">
        <f>COUNTIFS(A:A,A1292,D:D,D1292,E:E,I1292)</f>
        <v>0</v>
      </c>
    </row>
    <row r="1293" spans="1:14" x14ac:dyDescent="0.3">
      <c r="A1293" s="7" t="s">
        <v>52</v>
      </c>
      <c r="B1293" s="7" t="s">
        <v>53</v>
      </c>
      <c r="C1293" s="7" t="s">
        <v>60</v>
      </c>
      <c r="D1293" s="8">
        <v>45294</v>
      </c>
      <c r="E1293" s="8" t="str">
        <f t="shared" si="79"/>
        <v>January</v>
      </c>
      <c r="F1293">
        <f t="shared" si="80"/>
        <v>2024</v>
      </c>
      <c r="G1293">
        <f t="shared" si="81"/>
        <v>1</v>
      </c>
      <c r="H1293">
        <f t="shared" si="82"/>
        <v>1</v>
      </c>
      <c r="I1293" s="6">
        <v>0.35972222222222222</v>
      </c>
      <c r="J1293" s="6">
        <v>0.8208333333333333</v>
      </c>
      <c r="K1293" s="7" t="s">
        <v>26</v>
      </c>
      <c r="L1293" s="7" t="s">
        <v>27</v>
      </c>
      <c r="M1293" s="7" t="s">
        <v>15</v>
      </c>
      <c r="N1293" s="7">
        <f>COUNTIFS(A:A,A1293,D:D,D1293,E:E,I1293)</f>
        <v>0</v>
      </c>
    </row>
    <row r="1294" spans="1:14" x14ac:dyDescent="0.3">
      <c r="A1294" s="7" t="s">
        <v>22</v>
      </c>
      <c r="B1294" s="7" t="s">
        <v>23</v>
      </c>
      <c r="C1294" s="7" t="s">
        <v>426</v>
      </c>
      <c r="D1294" s="8">
        <v>45378</v>
      </c>
      <c r="E1294" s="8" t="str">
        <f t="shared" si="79"/>
        <v>March</v>
      </c>
      <c r="F1294">
        <f t="shared" si="80"/>
        <v>2024</v>
      </c>
      <c r="G1294">
        <f t="shared" si="81"/>
        <v>1</v>
      </c>
      <c r="H1294">
        <f t="shared" si="82"/>
        <v>0</v>
      </c>
      <c r="I1294" s="6">
        <v>0.34097222222222223</v>
      </c>
      <c r="J1294" s="6">
        <v>0.77569444444444446</v>
      </c>
      <c r="K1294" s="7" t="s">
        <v>13</v>
      </c>
      <c r="L1294" s="7" t="s">
        <v>14</v>
      </c>
      <c r="M1294" s="7" t="s">
        <v>21</v>
      </c>
      <c r="N1294" s="7">
        <f>COUNTIFS(A:A,A1294,D:D,D1294,E:E,I1294)</f>
        <v>0</v>
      </c>
    </row>
    <row r="1295" spans="1:14" x14ac:dyDescent="0.3">
      <c r="A1295" s="7" t="s">
        <v>78</v>
      </c>
      <c r="B1295" s="7" t="s">
        <v>79</v>
      </c>
      <c r="C1295" s="7" t="s">
        <v>64</v>
      </c>
      <c r="D1295" s="8">
        <v>45309</v>
      </c>
      <c r="E1295" s="8" t="str">
        <f t="shared" si="79"/>
        <v>January</v>
      </c>
      <c r="F1295">
        <f t="shared" si="80"/>
        <v>2024</v>
      </c>
      <c r="G1295">
        <f t="shared" si="81"/>
        <v>1</v>
      </c>
      <c r="H1295">
        <f t="shared" si="82"/>
        <v>1</v>
      </c>
      <c r="I1295" s="6">
        <v>0.42152777777777778</v>
      </c>
      <c r="J1295" s="6">
        <v>0.7631944444444444</v>
      </c>
      <c r="K1295" s="7" t="s">
        <v>26</v>
      </c>
      <c r="L1295" s="7" t="s">
        <v>14</v>
      </c>
      <c r="M1295" s="7" t="s">
        <v>15</v>
      </c>
      <c r="N1295" s="7">
        <f>COUNTIFS(A:A,A1295,D:D,D1295,E:E,I1295)</f>
        <v>0</v>
      </c>
    </row>
    <row r="1296" spans="1:14" x14ac:dyDescent="0.3">
      <c r="A1296" s="7" t="s">
        <v>34</v>
      </c>
      <c r="B1296" s="7" t="s">
        <v>35</v>
      </c>
      <c r="C1296" s="7" t="s">
        <v>426</v>
      </c>
      <c r="D1296" s="8">
        <v>45414</v>
      </c>
      <c r="E1296" s="8" t="str">
        <f t="shared" si="79"/>
        <v>May</v>
      </c>
      <c r="F1296">
        <f t="shared" si="80"/>
        <v>2024</v>
      </c>
      <c r="G1296">
        <f t="shared" si="81"/>
        <v>0</v>
      </c>
      <c r="H1296">
        <f t="shared" si="82"/>
        <v>0</v>
      </c>
      <c r="I1296" s="6"/>
      <c r="J1296" s="6"/>
      <c r="K1296" s="7" t="s">
        <v>44</v>
      </c>
      <c r="L1296" s="7" t="s">
        <v>27</v>
      </c>
      <c r="M1296" s="7" t="s">
        <v>21</v>
      </c>
      <c r="N1296" s="7">
        <f>COUNTIFS(A:A,A1296,D:D,D1296,E:E,I1296)</f>
        <v>0</v>
      </c>
    </row>
    <row r="1297" spans="1:14" x14ac:dyDescent="0.3">
      <c r="A1297" s="7" t="s">
        <v>9</v>
      </c>
      <c r="B1297" s="7" t="s">
        <v>10</v>
      </c>
      <c r="C1297" s="7" t="s">
        <v>426</v>
      </c>
      <c r="D1297" s="8">
        <v>45336</v>
      </c>
      <c r="E1297" s="8" t="str">
        <f t="shared" si="79"/>
        <v>February</v>
      </c>
      <c r="F1297">
        <f t="shared" si="80"/>
        <v>2024</v>
      </c>
      <c r="G1297">
        <f t="shared" si="81"/>
        <v>1</v>
      </c>
      <c r="H1297">
        <f t="shared" si="82"/>
        <v>0</v>
      </c>
      <c r="I1297" s="6">
        <v>0.38541666666666669</v>
      </c>
      <c r="J1297" s="6">
        <v>0.6791666666666667</v>
      </c>
      <c r="K1297" s="7" t="s">
        <v>13</v>
      </c>
      <c r="L1297" s="7" t="s">
        <v>27</v>
      </c>
      <c r="M1297" s="7" t="s">
        <v>21</v>
      </c>
      <c r="N1297" s="7">
        <f>COUNTIFS(A:A,A1297,D:D,D1297,E:E,I1297)</f>
        <v>0</v>
      </c>
    </row>
    <row r="1298" spans="1:14" x14ac:dyDescent="0.3">
      <c r="A1298" s="7" t="s">
        <v>213</v>
      </c>
      <c r="B1298" s="7" t="s">
        <v>214</v>
      </c>
      <c r="C1298" s="7" t="s">
        <v>42</v>
      </c>
      <c r="D1298" s="8">
        <v>45351</v>
      </c>
      <c r="E1298" s="8" t="str">
        <f t="shared" si="79"/>
        <v>February</v>
      </c>
      <c r="F1298">
        <f t="shared" si="80"/>
        <v>2024</v>
      </c>
      <c r="G1298">
        <f t="shared" si="81"/>
        <v>1</v>
      </c>
      <c r="H1298">
        <f t="shared" si="82"/>
        <v>0</v>
      </c>
      <c r="I1298" s="6">
        <v>0.48333333333333334</v>
      </c>
      <c r="J1298" s="6">
        <v>0.86388888888888893</v>
      </c>
      <c r="K1298" s="7" t="s">
        <v>13</v>
      </c>
      <c r="L1298" s="7" t="s">
        <v>27</v>
      </c>
      <c r="M1298" s="7" t="s">
        <v>15</v>
      </c>
      <c r="N1298" s="7">
        <f>COUNTIFS(A:A,A1298,D:D,D1298,E:E,I1298)</f>
        <v>0</v>
      </c>
    </row>
    <row r="1299" spans="1:14" x14ac:dyDescent="0.3">
      <c r="A1299" s="7" t="s">
        <v>22</v>
      </c>
      <c r="B1299" s="7" t="s">
        <v>23</v>
      </c>
      <c r="C1299" s="7" t="s">
        <v>60</v>
      </c>
      <c r="D1299" s="8">
        <v>45354</v>
      </c>
      <c r="E1299" s="8" t="str">
        <f t="shared" si="79"/>
        <v>March</v>
      </c>
      <c r="F1299">
        <f t="shared" si="80"/>
        <v>2024</v>
      </c>
      <c r="G1299">
        <f t="shared" si="81"/>
        <v>1</v>
      </c>
      <c r="H1299">
        <f t="shared" si="82"/>
        <v>0</v>
      </c>
      <c r="I1299" s="6">
        <v>0.3611111111111111</v>
      </c>
      <c r="J1299" s="6">
        <v>0.8</v>
      </c>
      <c r="K1299" s="7" t="s">
        <v>20</v>
      </c>
      <c r="L1299" s="7" t="s">
        <v>14</v>
      </c>
      <c r="M1299" s="7" t="s">
        <v>15</v>
      </c>
      <c r="N1299" s="7">
        <f>COUNTIFS(A:A,A1299,D:D,D1299,E:E,I1299)</f>
        <v>0</v>
      </c>
    </row>
    <row r="1300" spans="1:14" x14ac:dyDescent="0.3">
      <c r="A1300" s="7" t="s">
        <v>16</v>
      </c>
      <c r="B1300" s="7" t="s">
        <v>17</v>
      </c>
      <c r="C1300" s="7" t="s">
        <v>42</v>
      </c>
      <c r="D1300" s="8">
        <v>45298</v>
      </c>
      <c r="E1300" s="8" t="str">
        <f t="shared" si="79"/>
        <v>January</v>
      </c>
      <c r="F1300">
        <f t="shared" si="80"/>
        <v>2024</v>
      </c>
      <c r="G1300">
        <f t="shared" si="81"/>
        <v>1</v>
      </c>
      <c r="H1300">
        <f t="shared" si="82"/>
        <v>0</v>
      </c>
      <c r="I1300" s="6">
        <v>0.38611111111111113</v>
      </c>
      <c r="J1300" s="6">
        <v>0.77013888888888893</v>
      </c>
      <c r="K1300" s="7" t="s">
        <v>13</v>
      </c>
      <c r="L1300" s="7" t="s">
        <v>27</v>
      </c>
      <c r="M1300" s="7" t="s">
        <v>21</v>
      </c>
      <c r="N1300" s="7">
        <f>COUNTIFS(A:A,A1300,D:D,D1300,E:E,I1300)</f>
        <v>0</v>
      </c>
    </row>
    <row r="1301" spans="1:14" x14ac:dyDescent="0.3">
      <c r="A1301" s="7" t="s">
        <v>224</v>
      </c>
      <c r="B1301" s="7" t="s">
        <v>225</v>
      </c>
      <c r="C1301" s="7" t="s">
        <v>425</v>
      </c>
      <c r="D1301" s="8">
        <v>45297</v>
      </c>
      <c r="E1301" s="8" t="str">
        <f t="shared" si="79"/>
        <v>January</v>
      </c>
      <c r="F1301">
        <f t="shared" si="80"/>
        <v>2024</v>
      </c>
      <c r="G1301">
        <f t="shared" si="81"/>
        <v>1</v>
      </c>
      <c r="H1301">
        <f t="shared" si="82"/>
        <v>0</v>
      </c>
      <c r="I1301" s="6">
        <v>0.34861111111111109</v>
      </c>
      <c r="J1301" s="6">
        <v>0.80208333333333337</v>
      </c>
      <c r="K1301" s="7" t="s">
        <v>20</v>
      </c>
      <c r="L1301" s="7" t="s">
        <v>14</v>
      </c>
      <c r="M1301" s="7" t="s">
        <v>21</v>
      </c>
      <c r="N1301" s="7">
        <f>COUNTIFS(A:A,A1301,D:D,D1301,E:E,I1301)</f>
        <v>0</v>
      </c>
    </row>
    <row r="1302" spans="1:14" x14ac:dyDescent="0.3">
      <c r="A1302" s="7" t="s">
        <v>213</v>
      </c>
      <c r="B1302" s="7" t="s">
        <v>214</v>
      </c>
      <c r="C1302" s="7" t="s">
        <v>60</v>
      </c>
      <c r="D1302" s="8">
        <v>45322</v>
      </c>
      <c r="E1302" s="8" t="str">
        <f t="shared" si="79"/>
        <v>January</v>
      </c>
      <c r="F1302">
        <f t="shared" si="80"/>
        <v>2024</v>
      </c>
      <c r="G1302">
        <f t="shared" si="81"/>
        <v>1</v>
      </c>
      <c r="H1302">
        <f t="shared" si="82"/>
        <v>1</v>
      </c>
      <c r="I1302" s="6">
        <v>0.49652777777777779</v>
      </c>
      <c r="J1302" s="6">
        <v>0.85069444444444442</v>
      </c>
      <c r="K1302" s="7" t="s">
        <v>26</v>
      </c>
      <c r="L1302" s="7" t="s">
        <v>27</v>
      </c>
      <c r="M1302" s="7" t="s">
        <v>15</v>
      </c>
      <c r="N1302" s="7">
        <f>COUNTIFS(A:A,A1302,D:D,D1302,E:E,I1302)</f>
        <v>0</v>
      </c>
    </row>
    <row r="1303" spans="1:14" x14ac:dyDescent="0.3">
      <c r="A1303" s="7" t="s">
        <v>134</v>
      </c>
      <c r="B1303" s="7" t="s">
        <v>135</v>
      </c>
      <c r="C1303" s="7" t="s">
        <v>426</v>
      </c>
      <c r="D1303" s="8">
        <v>45376</v>
      </c>
      <c r="E1303" s="8" t="str">
        <f t="shared" si="79"/>
        <v>March</v>
      </c>
      <c r="F1303">
        <f t="shared" si="80"/>
        <v>2024</v>
      </c>
      <c r="G1303">
        <f t="shared" si="81"/>
        <v>1</v>
      </c>
      <c r="H1303">
        <f t="shared" si="82"/>
        <v>0</v>
      </c>
      <c r="I1303" s="6">
        <v>0.46805555555555556</v>
      </c>
      <c r="J1303" s="6">
        <v>0.84305555555555556</v>
      </c>
      <c r="K1303" s="7" t="s">
        <v>20</v>
      </c>
      <c r="L1303" s="7" t="s">
        <v>27</v>
      </c>
      <c r="M1303" s="7" t="s">
        <v>15</v>
      </c>
      <c r="N1303" s="7">
        <f>COUNTIFS(A:A,A1303,D:D,D1303,E:E,I1303)</f>
        <v>0</v>
      </c>
    </row>
    <row r="1304" spans="1:14" x14ac:dyDescent="0.3">
      <c r="A1304" s="7" t="s">
        <v>78</v>
      </c>
      <c r="B1304" s="7" t="s">
        <v>79</v>
      </c>
      <c r="C1304" s="7" t="s">
        <v>426</v>
      </c>
      <c r="D1304" s="8">
        <v>45341</v>
      </c>
      <c r="E1304" s="8" t="str">
        <f t="shared" si="79"/>
        <v>February</v>
      </c>
      <c r="F1304">
        <f t="shared" si="80"/>
        <v>2024</v>
      </c>
      <c r="G1304">
        <f t="shared" si="81"/>
        <v>0</v>
      </c>
      <c r="H1304">
        <f t="shared" si="82"/>
        <v>0</v>
      </c>
      <c r="I1304" s="6"/>
      <c r="J1304" s="6"/>
      <c r="K1304" s="7" t="s">
        <v>44</v>
      </c>
      <c r="L1304" s="7" t="s">
        <v>27</v>
      </c>
      <c r="M1304" s="7" t="s">
        <v>21</v>
      </c>
      <c r="N1304" s="7">
        <f>COUNTIFS(A:A,A1304,D:D,D1304,E:E,I1304)</f>
        <v>0</v>
      </c>
    </row>
    <row r="1305" spans="1:14" x14ac:dyDescent="0.3">
      <c r="A1305" s="7" t="s">
        <v>191</v>
      </c>
      <c r="B1305" s="7" t="s">
        <v>192</v>
      </c>
      <c r="C1305" s="7" t="s">
        <v>425</v>
      </c>
      <c r="D1305" s="8">
        <v>45306</v>
      </c>
      <c r="E1305" s="8" t="str">
        <f t="shared" si="79"/>
        <v>January</v>
      </c>
      <c r="F1305">
        <f t="shared" si="80"/>
        <v>2024</v>
      </c>
      <c r="G1305">
        <f t="shared" si="81"/>
        <v>1</v>
      </c>
      <c r="H1305">
        <f t="shared" si="82"/>
        <v>0</v>
      </c>
      <c r="I1305" s="6">
        <v>0.46666666666666667</v>
      </c>
      <c r="J1305" s="6">
        <v>0.85833333333333328</v>
      </c>
      <c r="K1305" s="7" t="s">
        <v>13</v>
      </c>
      <c r="L1305" s="7" t="s">
        <v>14</v>
      </c>
      <c r="M1305" s="7" t="s">
        <v>15</v>
      </c>
      <c r="N1305" s="7">
        <f>COUNTIFS(A:A,A1305,D:D,D1305,E:E,I1305)</f>
        <v>0</v>
      </c>
    </row>
    <row r="1306" spans="1:14" x14ac:dyDescent="0.3">
      <c r="A1306" s="7" t="s">
        <v>150</v>
      </c>
      <c r="B1306" s="7" t="s">
        <v>151</v>
      </c>
      <c r="C1306" s="7" t="s">
        <v>425</v>
      </c>
      <c r="D1306" s="8">
        <v>45299</v>
      </c>
      <c r="E1306" s="8" t="str">
        <f t="shared" si="79"/>
        <v>January</v>
      </c>
      <c r="F1306">
        <f t="shared" si="80"/>
        <v>2024</v>
      </c>
      <c r="G1306">
        <f t="shared" si="81"/>
        <v>0</v>
      </c>
      <c r="H1306">
        <f t="shared" si="82"/>
        <v>0</v>
      </c>
      <c r="I1306" s="6"/>
      <c r="J1306" s="6"/>
      <c r="K1306" s="7" t="s">
        <v>44</v>
      </c>
      <c r="L1306" s="7" t="s">
        <v>27</v>
      </c>
      <c r="M1306" s="7" t="s">
        <v>15</v>
      </c>
      <c r="N1306" s="7">
        <f>COUNTIFS(A:A,A1306,D:D,D1306,E:E,I1306)</f>
        <v>0</v>
      </c>
    </row>
    <row r="1307" spans="1:14" x14ac:dyDescent="0.3">
      <c r="A1307" s="7" t="s">
        <v>31</v>
      </c>
      <c r="B1307" s="7" t="s">
        <v>32</v>
      </c>
      <c r="C1307" s="7" t="s">
        <v>60</v>
      </c>
      <c r="D1307" s="8">
        <v>45315</v>
      </c>
      <c r="E1307" s="8" t="str">
        <f t="shared" si="79"/>
        <v>January</v>
      </c>
      <c r="F1307">
        <f t="shared" si="80"/>
        <v>2024</v>
      </c>
      <c r="G1307">
        <f t="shared" si="81"/>
        <v>1</v>
      </c>
      <c r="H1307">
        <f t="shared" si="82"/>
        <v>0</v>
      </c>
      <c r="I1307" s="6">
        <v>0.37361111111111112</v>
      </c>
      <c r="J1307" s="6">
        <v>0.82638888888888884</v>
      </c>
      <c r="K1307" s="7" t="s">
        <v>13</v>
      </c>
      <c r="L1307" s="7" t="s">
        <v>27</v>
      </c>
      <c r="M1307" s="7" t="s">
        <v>21</v>
      </c>
      <c r="N1307" s="7">
        <f>COUNTIFS(A:A,A1307,D:D,D1307,E:E,I1307)</f>
        <v>0</v>
      </c>
    </row>
    <row r="1308" spans="1:14" x14ac:dyDescent="0.3">
      <c r="A1308" s="7" t="s">
        <v>122</v>
      </c>
      <c r="B1308" s="7" t="s">
        <v>123</v>
      </c>
      <c r="C1308" s="7" t="s">
        <v>425</v>
      </c>
      <c r="D1308" s="8">
        <v>45445</v>
      </c>
      <c r="E1308" s="8" t="str">
        <f t="shared" si="79"/>
        <v>June</v>
      </c>
      <c r="F1308">
        <f t="shared" si="80"/>
        <v>2024</v>
      </c>
      <c r="G1308">
        <f t="shared" si="81"/>
        <v>1</v>
      </c>
      <c r="H1308">
        <f t="shared" si="82"/>
        <v>1</v>
      </c>
      <c r="I1308" s="6">
        <v>0.44791666666666669</v>
      </c>
      <c r="J1308" s="6">
        <v>0.79305555555555551</v>
      </c>
      <c r="K1308" s="7" t="s">
        <v>26</v>
      </c>
      <c r="L1308" s="7" t="s">
        <v>27</v>
      </c>
      <c r="M1308" s="7" t="s">
        <v>15</v>
      </c>
      <c r="N1308" s="7">
        <f>COUNTIFS(A:A,A1308,D:D,D1308,E:E,I1308)</f>
        <v>0</v>
      </c>
    </row>
    <row r="1309" spans="1:14" x14ac:dyDescent="0.3">
      <c r="A1309" s="7" t="s">
        <v>69</v>
      </c>
      <c r="B1309" s="7" t="s">
        <v>70</v>
      </c>
      <c r="C1309" s="7" t="s">
        <v>426</v>
      </c>
      <c r="D1309" s="8">
        <v>45444</v>
      </c>
      <c r="E1309" s="8" t="str">
        <f t="shared" si="79"/>
        <v>June</v>
      </c>
      <c r="F1309">
        <f t="shared" si="80"/>
        <v>2024</v>
      </c>
      <c r="G1309">
        <f t="shared" si="81"/>
        <v>1</v>
      </c>
      <c r="H1309">
        <f t="shared" si="82"/>
        <v>0</v>
      </c>
      <c r="I1309" s="6">
        <v>0.3888888888888889</v>
      </c>
      <c r="J1309" s="6">
        <v>0.7583333333333333</v>
      </c>
      <c r="K1309" s="7" t="s">
        <v>20</v>
      </c>
      <c r="L1309" s="7" t="s">
        <v>27</v>
      </c>
      <c r="M1309" s="7" t="s">
        <v>15</v>
      </c>
      <c r="N1309" s="7">
        <f>COUNTIFS(A:A,A1309,D:D,D1309,E:E,I1309)</f>
        <v>0</v>
      </c>
    </row>
    <row r="1310" spans="1:14" x14ac:dyDescent="0.3">
      <c r="A1310" s="7" t="s">
        <v>338</v>
      </c>
      <c r="B1310" s="7" t="s">
        <v>339</v>
      </c>
      <c r="C1310" s="7" t="s">
        <v>64</v>
      </c>
      <c r="D1310" s="8">
        <v>45341</v>
      </c>
      <c r="E1310" s="8" t="str">
        <f t="shared" si="79"/>
        <v>February</v>
      </c>
      <c r="F1310">
        <f t="shared" si="80"/>
        <v>2024</v>
      </c>
      <c r="G1310">
        <f t="shared" si="81"/>
        <v>1</v>
      </c>
      <c r="H1310">
        <f t="shared" si="82"/>
        <v>1</v>
      </c>
      <c r="I1310" s="6">
        <v>0.3888888888888889</v>
      </c>
      <c r="J1310" s="6">
        <v>0.80833333333333335</v>
      </c>
      <c r="K1310" s="7" t="s">
        <v>26</v>
      </c>
      <c r="L1310" s="7" t="s">
        <v>14</v>
      </c>
      <c r="M1310" s="7" t="s">
        <v>15</v>
      </c>
      <c r="N1310" s="7">
        <f>COUNTIFS(A:A,A1310,D:D,D1310,E:E,I1310)</f>
        <v>0</v>
      </c>
    </row>
    <row r="1311" spans="1:14" x14ac:dyDescent="0.3">
      <c r="A1311" s="7" t="s">
        <v>216</v>
      </c>
      <c r="B1311" s="7" t="s">
        <v>217</v>
      </c>
      <c r="C1311" s="7" t="s">
        <v>426</v>
      </c>
      <c r="D1311" s="8">
        <v>45365</v>
      </c>
      <c r="E1311" s="8" t="str">
        <f t="shared" si="79"/>
        <v>March</v>
      </c>
      <c r="F1311">
        <f t="shared" si="80"/>
        <v>2024</v>
      </c>
      <c r="G1311">
        <f t="shared" si="81"/>
        <v>1</v>
      </c>
      <c r="H1311">
        <f t="shared" si="82"/>
        <v>0</v>
      </c>
      <c r="I1311" s="6">
        <v>0.47708333333333336</v>
      </c>
      <c r="J1311" s="6">
        <v>0.6791666666666667</v>
      </c>
      <c r="K1311" s="7" t="s">
        <v>13</v>
      </c>
      <c r="L1311" s="7" t="s">
        <v>14</v>
      </c>
      <c r="M1311" s="7" t="s">
        <v>15</v>
      </c>
      <c r="N1311" s="7">
        <f>COUNTIFS(A:A,A1311,D:D,D1311,E:E,I1311)</f>
        <v>0</v>
      </c>
    </row>
    <row r="1312" spans="1:14" x14ac:dyDescent="0.3">
      <c r="A1312" s="7" t="s">
        <v>109</v>
      </c>
      <c r="B1312" s="7" t="s">
        <v>110</v>
      </c>
      <c r="C1312" s="7" t="s">
        <v>42</v>
      </c>
      <c r="D1312" s="8">
        <v>45597</v>
      </c>
      <c r="E1312" s="8" t="str">
        <f t="shared" si="79"/>
        <v>November</v>
      </c>
      <c r="F1312">
        <f t="shared" si="80"/>
        <v>2024</v>
      </c>
      <c r="G1312">
        <f t="shared" si="81"/>
        <v>0</v>
      </c>
      <c r="H1312">
        <f t="shared" si="82"/>
        <v>0</v>
      </c>
      <c r="I1312" s="6"/>
      <c r="J1312" s="6"/>
      <c r="K1312" s="7" t="s">
        <v>44</v>
      </c>
      <c r="L1312" s="7" t="s">
        <v>27</v>
      </c>
      <c r="M1312" s="7" t="s">
        <v>21</v>
      </c>
      <c r="N1312" s="7">
        <f>COUNTIFS(A:A,A1312,D:D,D1312,E:E,I1312)</f>
        <v>0</v>
      </c>
    </row>
    <row r="1313" spans="1:14" x14ac:dyDescent="0.3">
      <c r="A1313" s="7" t="s">
        <v>99</v>
      </c>
      <c r="B1313" s="7" t="s">
        <v>100</v>
      </c>
      <c r="C1313" s="7" t="s">
        <v>425</v>
      </c>
      <c r="D1313" s="8">
        <v>45316</v>
      </c>
      <c r="E1313" s="8" t="str">
        <f t="shared" si="79"/>
        <v>January</v>
      </c>
      <c r="F1313">
        <f t="shared" si="80"/>
        <v>2024</v>
      </c>
      <c r="G1313">
        <f t="shared" si="81"/>
        <v>1</v>
      </c>
      <c r="H1313">
        <f t="shared" si="82"/>
        <v>1</v>
      </c>
      <c r="I1313" s="6">
        <v>0.49513888888888891</v>
      </c>
      <c r="J1313" s="6">
        <v>0.70486111111111116</v>
      </c>
      <c r="K1313" s="7" t="s">
        <v>26</v>
      </c>
      <c r="L1313" s="7" t="s">
        <v>14</v>
      </c>
      <c r="M1313" s="7" t="s">
        <v>15</v>
      </c>
      <c r="N1313" s="7">
        <f>COUNTIFS(A:A,A1313,D:D,D1313,E:E,I1313)</f>
        <v>0</v>
      </c>
    </row>
    <row r="1314" spans="1:14" x14ac:dyDescent="0.3">
      <c r="A1314" s="7" t="s">
        <v>69</v>
      </c>
      <c r="B1314" s="7" t="s">
        <v>70</v>
      </c>
      <c r="C1314" s="7" t="s">
        <v>60</v>
      </c>
      <c r="D1314" s="8">
        <v>45346</v>
      </c>
      <c r="E1314" s="8" t="str">
        <f t="shared" si="79"/>
        <v>February</v>
      </c>
      <c r="F1314">
        <f t="shared" si="80"/>
        <v>2024</v>
      </c>
      <c r="G1314">
        <f t="shared" si="81"/>
        <v>1</v>
      </c>
      <c r="H1314">
        <f t="shared" si="82"/>
        <v>0</v>
      </c>
      <c r="I1314" s="6">
        <v>0.48472222222222222</v>
      </c>
      <c r="J1314" s="6">
        <v>0.74930555555555556</v>
      </c>
      <c r="K1314" s="7" t="s">
        <v>13</v>
      </c>
      <c r="L1314" s="7" t="s">
        <v>27</v>
      </c>
      <c r="M1314" s="7" t="s">
        <v>21</v>
      </c>
      <c r="N1314" s="7">
        <f>COUNTIFS(A:A,A1314,D:D,D1314,E:E,I1314)</f>
        <v>0</v>
      </c>
    </row>
    <row r="1315" spans="1:14" x14ac:dyDescent="0.3">
      <c r="A1315" s="7" t="s">
        <v>22</v>
      </c>
      <c r="B1315" s="7" t="s">
        <v>23</v>
      </c>
      <c r="C1315" s="7" t="s">
        <v>60</v>
      </c>
      <c r="D1315" s="8">
        <v>45340</v>
      </c>
      <c r="E1315" s="8" t="str">
        <f t="shared" si="79"/>
        <v>February</v>
      </c>
      <c r="F1315">
        <f t="shared" si="80"/>
        <v>2024</v>
      </c>
      <c r="G1315">
        <f t="shared" si="81"/>
        <v>1</v>
      </c>
      <c r="H1315">
        <f t="shared" si="82"/>
        <v>0</v>
      </c>
      <c r="I1315" s="6">
        <v>0.39027777777777778</v>
      </c>
      <c r="J1315" s="6">
        <v>0.66874999999999996</v>
      </c>
      <c r="K1315" s="7" t="s">
        <v>13</v>
      </c>
      <c r="L1315" s="7" t="s">
        <v>14</v>
      </c>
      <c r="M1315" s="7" t="s">
        <v>15</v>
      </c>
      <c r="N1315" s="7">
        <f>COUNTIFS(A:A,A1315,D:D,D1315,E:E,I1315)</f>
        <v>0</v>
      </c>
    </row>
    <row r="1316" spans="1:14" x14ac:dyDescent="0.3">
      <c r="A1316" s="7" t="s">
        <v>16</v>
      </c>
      <c r="B1316" s="7" t="s">
        <v>17</v>
      </c>
      <c r="C1316" s="7" t="s">
        <v>42</v>
      </c>
      <c r="D1316" s="8">
        <v>45315</v>
      </c>
      <c r="E1316" s="8" t="str">
        <f t="shared" si="79"/>
        <v>January</v>
      </c>
      <c r="F1316">
        <f t="shared" si="80"/>
        <v>2024</v>
      </c>
      <c r="G1316">
        <f t="shared" si="81"/>
        <v>1</v>
      </c>
      <c r="H1316">
        <f t="shared" si="82"/>
        <v>1</v>
      </c>
      <c r="I1316" s="6">
        <v>0.40972222222222221</v>
      </c>
      <c r="J1316" s="6">
        <v>0.83402777777777781</v>
      </c>
      <c r="K1316" s="7" t="s">
        <v>26</v>
      </c>
      <c r="L1316" s="7" t="s">
        <v>27</v>
      </c>
      <c r="M1316" s="7" t="s">
        <v>21</v>
      </c>
      <c r="N1316" s="7">
        <f>COUNTIFS(A:A,A1316,D:D,D1316,E:E,I1316)</f>
        <v>0</v>
      </c>
    </row>
    <row r="1317" spans="1:14" x14ac:dyDescent="0.3">
      <c r="A1317" s="7" t="s">
        <v>96</v>
      </c>
      <c r="B1317" s="7" t="s">
        <v>97</v>
      </c>
      <c r="C1317" s="7" t="s">
        <v>425</v>
      </c>
      <c r="D1317" s="8">
        <v>45293</v>
      </c>
      <c r="E1317" s="8" t="str">
        <f t="shared" si="79"/>
        <v>January</v>
      </c>
      <c r="F1317">
        <f t="shared" si="80"/>
        <v>2024</v>
      </c>
      <c r="G1317">
        <f t="shared" si="81"/>
        <v>1</v>
      </c>
      <c r="H1317">
        <f t="shared" si="82"/>
        <v>1</v>
      </c>
      <c r="I1317" s="6">
        <v>0.49027777777777776</v>
      </c>
      <c r="J1317" s="6">
        <v>0.70277777777777772</v>
      </c>
      <c r="K1317" s="7" t="s">
        <v>26</v>
      </c>
      <c r="L1317" s="7" t="s">
        <v>14</v>
      </c>
      <c r="M1317" s="7" t="s">
        <v>21</v>
      </c>
      <c r="N1317" s="7">
        <f>COUNTIFS(A:A,A1317,D:D,D1317,E:E,I1317)</f>
        <v>0</v>
      </c>
    </row>
    <row r="1318" spans="1:14" x14ac:dyDescent="0.3">
      <c r="A1318" s="7" t="s">
        <v>55</v>
      </c>
      <c r="B1318" s="7" t="s">
        <v>56</v>
      </c>
      <c r="C1318" s="7" t="s">
        <v>426</v>
      </c>
      <c r="D1318" s="8">
        <v>45367</v>
      </c>
      <c r="E1318" s="8" t="str">
        <f t="shared" si="79"/>
        <v>March</v>
      </c>
      <c r="F1318">
        <f t="shared" si="80"/>
        <v>2024</v>
      </c>
      <c r="G1318">
        <f t="shared" si="81"/>
        <v>1</v>
      </c>
      <c r="H1318">
        <f t="shared" si="82"/>
        <v>1</v>
      </c>
      <c r="I1318" s="6">
        <v>0.49027777777777776</v>
      </c>
      <c r="J1318" s="6">
        <v>0.8</v>
      </c>
      <c r="K1318" s="7" t="s">
        <v>26</v>
      </c>
      <c r="L1318" s="7" t="s">
        <v>27</v>
      </c>
      <c r="M1318" s="7" t="s">
        <v>21</v>
      </c>
      <c r="N1318" s="7">
        <f>COUNTIFS(A:A,A1318,D:D,D1318,E:E,I1318)</f>
        <v>0</v>
      </c>
    </row>
    <row r="1319" spans="1:14" x14ac:dyDescent="0.3">
      <c r="A1319" s="7" t="s">
        <v>40</v>
      </c>
      <c r="B1319" s="7" t="s">
        <v>41</v>
      </c>
      <c r="C1319" s="7" t="s">
        <v>426</v>
      </c>
      <c r="D1319" s="8">
        <v>45310</v>
      </c>
      <c r="E1319" s="8" t="str">
        <f t="shared" si="79"/>
        <v>January</v>
      </c>
      <c r="F1319">
        <f t="shared" si="80"/>
        <v>2024</v>
      </c>
      <c r="G1319">
        <f t="shared" si="81"/>
        <v>1</v>
      </c>
      <c r="H1319">
        <f t="shared" si="82"/>
        <v>0</v>
      </c>
      <c r="I1319" s="6">
        <v>0.44583333333333336</v>
      </c>
      <c r="J1319" s="6">
        <v>0.75</v>
      </c>
      <c r="K1319" s="7" t="s">
        <v>13</v>
      </c>
      <c r="L1319" s="7" t="s">
        <v>27</v>
      </c>
      <c r="M1319" s="7" t="s">
        <v>21</v>
      </c>
      <c r="N1319" s="7">
        <f>COUNTIFS(A:A,A1319,D:D,D1319,E:E,I1319)</f>
        <v>0</v>
      </c>
    </row>
    <row r="1320" spans="1:14" x14ac:dyDescent="0.3">
      <c r="A1320" s="7" t="s">
        <v>246</v>
      </c>
      <c r="B1320" s="7" t="s">
        <v>247</v>
      </c>
      <c r="C1320" s="7" t="s">
        <v>42</v>
      </c>
      <c r="D1320" s="8">
        <v>45381</v>
      </c>
      <c r="E1320" s="8" t="str">
        <f t="shared" si="79"/>
        <v>March</v>
      </c>
      <c r="F1320">
        <f t="shared" si="80"/>
        <v>2024</v>
      </c>
      <c r="G1320">
        <f t="shared" si="81"/>
        <v>1</v>
      </c>
      <c r="H1320">
        <f t="shared" si="82"/>
        <v>0</v>
      </c>
      <c r="I1320" s="6">
        <v>0.38472222222222224</v>
      </c>
      <c r="J1320" s="6">
        <v>0.70625000000000004</v>
      </c>
      <c r="K1320" s="7" t="s">
        <v>13</v>
      </c>
      <c r="L1320" s="7" t="s">
        <v>14</v>
      </c>
      <c r="M1320" s="7" t="s">
        <v>15</v>
      </c>
      <c r="N1320" s="7">
        <f>COUNTIFS(A:A,A1320,D:D,D1320,E:E,I1320)</f>
        <v>0</v>
      </c>
    </row>
    <row r="1321" spans="1:14" x14ac:dyDescent="0.3">
      <c r="A1321" s="7" t="s">
        <v>55</v>
      </c>
      <c r="B1321" s="7" t="s">
        <v>56</v>
      </c>
      <c r="C1321" s="7" t="s">
        <v>425</v>
      </c>
      <c r="D1321" s="8">
        <v>45375</v>
      </c>
      <c r="E1321" s="8" t="str">
        <f t="shared" si="79"/>
        <v>March</v>
      </c>
      <c r="F1321">
        <f t="shared" si="80"/>
        <v>2024</v>
      </c>
      <c r="G1321">
        <f t="shared" si="81"/>
        <v>1</v>
      </c>
      <c r="H1321">
        <f t="shared" si="82"/>
        <v>1</v>
      </c>
      <c r="I1321" s="6">
        <v>0.41875000000000001</v>
      </c>
      <c r="J1321" s="6">
        <v>0.71250000000000002</v>
      </c>
      <c r="K1321" s="7" t="s">
        <v>26</v>
      </c>
      <c r="L1321" s="7" t="s">
        <v>27</v>
      </c>
      <c r="M1321" s="7" t="s">
        <v>15</v>
      </c>
      <c r="N1321" s="7">
        <f>COUNTIFS(A:A,A1321,D:D,D1321,E:E,I1321)</f>
        <v>0</v>
      </c>
    </row>
    <row r="1322" spans="1:14" x14ac:dyDescent="0.3">
      <c r="A1322" s="7" t="s">
        <v>37</v>
      </c>
      <c r="B1322" s="7" t="s">
        <v>38</v>
      </c>
      <c r="C1322" s="7" t="s">
        <v>425</v>
      </c>
      <c r="D1322" s="8">
        <v>45325</v>
      </c>
      <c r="E1322" s="8" t="str">
        <f t="shared" si="79"/>
        <v>February</v>
      </c>
      <c r="F1322">
        <f t="shared" si="80"/>
        <v>2024</v>
      </c>
      <c r="G1322">
        <f t="shared" si="81"/>
        <v>1</v>
      </c>
      <c r="H1322">
        <f t="shared" si="82"/>
        <v>0</v>
      </c>
      <c r="I1322" s="6">
        <v>0.43888888888888888</v>
      </c>
      <c r="J1322" s="6">
        <v>0.73819444444444449</v>
      </c>
      <c r="K1322" s="7" t="s">
        <v>20</v>
      </c>
      <c r="L1322" s="7" t="s">
        <v>14</v>
      </c>
      <c r="M1322" s="7" t="s">
        <v>15</v>
      </c>
      <c r="N1322" s="7">
        <f>COUNTIFS(A:A,A1322,D:D,D1322,E:E,I1322)</f>
        <v>0</v>
      </c>
    </row>
    <row r="1323" spans="1:14" x14ac:dyDescent="0.3">
      <c r="A1323" s="7" t="s">
        <v>146</v>
      </c>
      <c r="B1323" s="7" t="s">
        <v>147</v>
      </c>
      <c r="C1323" s="7" t="s">
        <v>64</v>
      </c>
      <c r="D1323" s="8">
        <v>45536</v>
      </c>
      <c r="E1323" s="8" t="str">
        <f t="shared" si="79"/>
        <v>September</v>
      </c>
      <c r="F1323">
        <f t="shared" si="80"/>
        <v>2024</v>
      </c>
      <c r="G1323">
        <f t="shared" si="81"/>
        <v>1</v>
      </c>
      <c r="H1323">
        <f t="shared" si="82"/>
        <v>0</v>
      </c>
      <c r="I1323" s="6">
        <v>0.38263888888888886</v>
      </c>
      <c r="J1323" s="6">
        <v>0.78888888888888886</v>
      </c>
      <c r="K1323" s="7" t="s">
        <v>20</v>
      </c>
      <c r="L1323" s="7" t="s">
        <v>27</v>
      </c>
      <c r="M1323" s="7" t="s">
        <v>15</v>
      </c>
      <c r="N1323" s="7">
        <f>COUNTIFS(A:A,A1323,D:D,D1323,E:E,I1323)</f>
        <v>0</v>
      </c>
    </row>
    <row r="1324" spans="1:14" x14ac:dyDescent="0.3">
      <c r="A1324" s="7" t="s">
        <v>236</v>
      </c>
      <c r="B1324" s="7" t="s">
        <v>237</v>
      </c>
      <c r="C1324" s="7" t="s">
        <v>60</v>
      </c>
      <c r="D1324" s="8">
        <v>45338</v>
      </c>
      <c r="E1324" s="8" t="str">
        <f t="shared" si="79"/>
        <v>February</v>
      </c>
      <c r="F1324">
        <f t="shared" si="80"/>
        <v>2024</v>
      </c>
      <c r="G1324">
        <f t="shared" si="81"/>
        <v>0</v>
      </c>
      <c r="H1324">
        <f t="shared" si="82"/>
        <v>0</v>
      </c>
      <c r="I1324" s="6"/>
      <c r="J1324" s="6"/>
      <c r="K1324" s="7" t="s">
        <v>44</v>
      </c>
      <c r="L1324" s="7" t="s">
        <v>27</v>
      </c>
      <c r="M1324" s="7" t="s">
        <v>21</v>
      </c>
      <c r="N1324" s="7">
        <f>COUNTIFS(A:A,A1324,D:D,D1324,E:E,I1324)</f>
        <v>0</v>
      </c>
    </row>
    <row r="1325" spans="1:14" x14ac:dyDescent="0.3">
      <c r="A1325" s="7" t="s">
        <v>40</v>
      </c>
      <c r="B1325" s="7" t="s">
        <v>41</v>
      </c>
      <c r="C1325" s="7" t="s">
        <v>426</v>
      </c>
      <c r="D1325" s="8">
        <v>45349</v>
      </c>
      <c r="E1325" s="8" t="str">
        <f t="shared" si="79"/>
        <v>February</v>
      </c>
      <c r="F1325">
        <f t="shared" si="80"/>
        <v>2024</v>
      </c>
      <c r="G1325">
        <f t="shared" si="81"/>
        <v>1</v>
      </c>
      <c r="H1325">
        <f t="shared" si="82"/>
        <v>0</v>
      </c>
      <c r="I1325" s="6">
        <v>0.47916666666666669</v>
      </c>
      <c r="J1325" s="6">
        <v>0.83263888888888893</v>
      </c>
      <c r="K1325" s="7" t="s">
        <v>20</v>
      </c>
      <c r="L1325" s="7" t="s">
        <v>14</v>
      </c>
      <c r="M1325" s="7" t="s">
        <v>15</v>
      </c>
      <c r="N1325" s="7">
        <f>COUNTIFS(A:A,A1325,D:D,D1325,E:E,I1325)</f>
        <v>0</v>
      </c>
    </row>
    <row r="1326" spans="1:14" x14ac:dyDescent="0.3">
      <c r="A1326" s="7" t="s">
        <v>213</v>
      </c>
      <c r="B1326" s="7" t="s">
        <v>214</v>
      </c>
      <c r="C1326" s="7" t="s">
        <v>60</v>
      </c>
      <c r="D1326" s="8">
        <v>45376</v>
      </c>
      <c r="E1326" s="8" t="str">
        <f t="shared" si="79"/>
        <v>March</v>
      </c>
      <c r="F1326">
        <f t="shared" si="80"/>
        <v>2024</v>
      </c>
      <c r="G1326">
        <f t="shared" si="81"/>
        <v>1</v>
      </c>
      <c r="H1326">
        <f t="shared" si="82"/>
        <v>0</v>
      </c>
      <c r="I1326" s="6">
        <v>0.47986111111111113</v>
      </c>
      <c r="J1326" s="6">
        <v>0.69236111111111109</v>
      </c>
      <c r="K1326" s="7" t="s">
        <v>20</v>
      </c>
      <c r="L1326" s="7" t="s">
        <v>14</v>
      </c>
      <c r="M1326" s="7" t="s">
        <v>21</v>
      </c>
      <c r="N1326" s="7">
        <f>COUNTIFS(A:A,A1326,D:D,D1326,E:E,I1326)</f>
        <v>0</v>
      </c>
    </row>
    <row r="1327" spans="1:14" x14ac:dyDescent="0.3">
      <c r="A1327" s="7" t="s">
        <v>213</v>
      </c>
      <c r="B1327" s="7" t="s">
        <v>214</v>
      </c>
      <c r="C1327" s="7" t="s">
        <v>426</v>
      </c>
      <c r="D1327" s="8">
        <v>45343</v>
      </c>
      <c r="E1327" s="8" t="str">
        <f t="shared" si="79"/>
        <v>February</v>
      </c>
      <c r="F1327">
        <f t="shared" si="80"/>
        <v>2024</v>
      </c>
      <c r="G1327">
        <f t="shared" si="81"/>
        <v>1</v>
      </c>
      <c r="H1327">
        <f t="shared" si="82"/>
        <v>1</v>
      </c>
      <c r="I1327" s="6">
        <v>0.38958333333333334</v>
      </c>
      <c r="J1327" s="6">
        <v>0.72222222222222221</v>
      </c>
      <c r="K1327" s="7" t="s">
        <v>26</v>
      </c>
      <c r="L1327" s="7" t="s">
        <v>14</v>
      </c>
      <c r="M1327" s="7" t="s">
        <v>21</v>
      </c>
      <c r="N1327" s="7">
        <f>COUNTIFS(A:A,A1327,D:D,D1327,E:E,I1327)</f>
        <v>0</v>
      </c>
    </row>
    <row r="1328" spans="1:14" x14ac:dyDescent="0.3">
      <c r="A1328" s="7" t="s">
        <v>96</v>
      </c>
      <c r="B1328" s="7" t="s">
        <v>97</v>
      </c>
      <c r="C1328" s="7" t="s">
        <v>60</v>
      </c>
      <c r="D1328" s="8">
        <v>45336</v>
      </c>
      <c r="E1328" s="8" t="str">
        <f t="shared" si="79"/>
        <v>February</v>
      </c>
      <c r="F1328">
        <f t="shared" si="80"/>
        <v>2024</v>
      </c>
      <c r="G1328">
        <f t="shared" si="81"/>
        <v>1</v>
      </c>
      <c r="H1328">
        <f t="shared" si="82"/>
        <v>1</v>
      </c>
      <c r="I1328" s="6">
        <v>0.34583333333333333</v>
      </c>
      <c r="J1328" s="6">
        <v>0.71527777777777779</v>
      </c>
      <c r="K1328" s="7" t="s">
        <v>26</v>
      </c>
      <c r="L1328" s="7" t="s">
        <v>14</v>
      </c>
      <c r="M1328" s="7" t="s">
        <v>15</v>
      </c>
      <c r="N1328" s="7">
        <f>COUNTIFS(A:A,A1328,D:D,D1328,E:E,I1328)</f>
        <v>0</v>
      </c>
    </row>
    <row r="1329" spans="1:14" x14ac:dyDescent="0.3">
      <c r="A1329" s="7" t="s">
        <v>75</v>
      </c>
      <c r="B1329" s="7" t="s">
        <v>76</v>
      </c>
      <c r="C1329" s="7" t="s">
        <v>42</v>
      </c>
      <c r="D1329" s="8">
        <v>45341</v>
      </c>
      <c r="E1329" s="8" t="str">
        <f t="shared" si="79"/>
        <v>February</v>
      </c>
      <c r="F1329">
        <f t="shared" si="80"/>
        <v>2024</v>
      </c>
      <c r="G1329">
        <f t="shared" si="81"/>
        <v>0</v>
      </c>
      <c r="H1329">
        <f t="shared" si="82"/>
        <v>0</v>
      </c>
      <c r="I1329" s="6"/>
      <c r="J1329" s="6"/>
      <c r="K1329" s="7" t="s">
        <v>44</v>
      </c>
      <c r="L1329" s="7" t="s">
        <v>14</v>
      </c>
      <c r="M1329" s="7" t="s">
        <v>15</v>
      </c>
      <c r="N1329" s="7">
        <f>COUNTIFS(A:A,A1329,D:D,D1329,E:E,I1329)</f>
        <v>0</v>
      </c>
    </row>
    <row r="1330" spans="1:14" x14ac:dyDescent="0.3">
      <c r="A1330" s="7" t="s">
        <v>187</v>
      </c>
      <c r="B1330" s="7" t="s">
        <v>188</v>
      </c>
      <c r="C1330" s="7" t="s">
        <v>64</v>
      </c>
      <c r="D1330" s="8">
        <v>45305</v>
      </c>
      <c r="E1330" s="8" t="str">
        <f t="shared" si="79"/>
        <v>January</v>
      </c>
      <c r="F1330">
        <f t="shared" si="80"/>
        <v>2024</v>
      </c>
      <c r="G1330">
        <f t="shared" si="81"/>
        <v>1</v>
      </c>
      <c r="H1330">
        <f t="shared" si="82"/>
        <v>1</v>
      </c>
      <c r="I1330" s="6">
        <v>0.44166666666666665</v>
      </c>
      <c r="J1330" s="6">
        <v>0.81180555555555556</v>
      </c>
      <c r="K1330" s="7" t="s">
        <v>26</v>
      </c>
      <c r="L1330" s="7" t="s">
        <v>27</v>
      </c>
      <c r="M1330" s="7" t="s">
        <v>21</v>
      </c>
      <c r="N1330" s="7">
        <f>COUNTIFS(A:A,A1330,D:D,D1330,E:E,I1330)</f>
        <v>0</v>
      </c>
    </row>
    <row r="1331" spans="1:14" x14ac:dyDescent="0.3">
      <c r="A1331" s="7" t="s">
        <v>146</v>
      </c>
      <c r="B1331" s="7" t="s">
        <v>147</v>
      </c>
      <c r="C1331" s="7" t="s">
        <v>425</v>
      </c>
      <c r="D1331" s="8">
        <v>45307</v>
      </c>
      <c r="E1331" s="8" t="str">
        <f t="shared" si="79"/>
        <v>January</v>
      </c>
      <c r="F1331">
        <f t="shared" si="80"/>
        <v>2024</v>
      </c>
      <c r="G1331">
        <f t="shared" si="81"/>
        <v>0</v>
      </c>
      <c r="H1331">
        <f t="shared" si="82"/>
        <v>0</v>
      </c>
      <c r="I1331" s="6"/>
      <c r="J1331" s="6"/>
      <c r="K1331" s="7" t="s">
        <v>44</v>
      </c>
      <c r="L1331" s="7" t="s">
        <v>27</v>
      </c>
      <c r="M1331" s="7" t="s">
        <v>15</v>
      </c>
      <c r="N1331" s="7">
        <f>COUNTIFS(A:A,A1331,D:D,D1331,E:E,I1331)</f>
        <v>0</v>
      </c>
    </row>
    <row r="1332" spans="1:14" x14ac:dyDescent="0.3">
      <c r="A1332" s="7" t="s">
        <v>55</v>
      </c>
      <c r="B1332" s="7" t="s">
        <v>56</v>
      </c>
      <c r="C1332" s="7" t="s">
        <v>425</v>
      </c>
      <c r="D1332" s="8">
        <v>45323</v>
      </c>
      <c r="E1332" s="8" t="str">
        <f t="shared" si="79"/>
        <v>February</v>
      </c>
      <c r="F1332">
        <f t="shared" si="80"/>
        <v>2024</v>
      </c>
      <c r="G1332">
        <f t="shared" si="81"/>
        <v>0</v>
      </c>
      <c r="H1332">
        <f t="shared" si="82"/>
        <v>0</v>
      </c>
      <c r="I1332" s="6"/>
      <c r="J1332" s="6"/>
      <c r="K1332" s="7" t="s">
        <v>44</v>
      </c>
      <c r="L1332" s="7" t="s">
        <v>14</v>
      </c>
      <c r="M1332" s="7" t="s">
        <v>15</v>
      </c>
      <c r="N1332" s="7">
        <f>COUNTIFS(A:A,A1332,D:D,D1332,E:E,I1332)</f>
        <v>0</v>
      </c>
    </row>
    <row r="1333" spans="1:14" x14ac:dyDescent="0.3">
      <c r="A1333" s="7" t="s">
        <v>291</v>
      </c>
      <c r="B1333" s="7" t="s">
        <v>292</v>
      </c>
      <c r="C1333" s="7" t="s">
        <v>42</v>
      </c>
      <c r="D1333" s="8">
        <v>45376</v>
      </c>
      <c r="E1333" s="8" t="str">
        <f t="shared" si="79"/>
        <v>March</v>
      </c>
      <c r="F1333">
        <f t="shared" si="80"/>
        <v>2024</v>
      </c>
      <c r="G1333">
        <f t="shared" si="81"/>
        <v>0</v>
      </c>
      <c r="H1333">
        <f t="shared" si="82"/>
        <v>0</v>
      </c>
      <c r="I1333" s="6"/>
      <c r="J1333" s="6"/>
      <c r="K1333" s="7" t="s">
        <v>44</v>
      </c>
      <c r="L1333" s="7" t="s">
        <v>27</v>
      </c>
      <c r="M1333" s="7" t="s">
        <v>15</v>
      </c>
      <c r="N1333" s="7">
        <f>COUNTIFS(A:A,A1333,D:D,D1333,E:E,I1333)</f>
        <v>0</v>
      </c>
    </row>
    <row r="1334" spans="1:14" x14ac:dyDescent="0.3">
      <c r="A1334" s="7" t="s">
        <v>269</v>
      </c>
      <c r="B1334" s="7" t="s">
        <v>270</v>
      </c>
      <c r="C1334" s="7" t="s">
        <v>425</v>
      </c>
      <c r="D1334" s="8">
        <v>45305</v>
      </c>
      <c r="E1334" s="8" t="str">
        <f t="shared" si="79"/>
        <v>January</v>
      </c>
      <c r="F1334">
        <f t="shared" si="80"/>
        <v>2024</v>
      </c>
      <c r="G1334">
        <f t="shared" si="81"/>
        <v>1</v>
      </c>
      <c r="H1334">
        <f t="shared" si="82"/>
        <v>0</v>
      </c>
      <c r="I1334" s="6">
        <v>0.35416666666666669</v>
      </c>
      <c r="J1334" s="6">
        <v>0.78055555555555556</v>
      </c>
      <c r="K1334" s="7" t="s">
        <v>13</v>
      </c>
      <c r="L1334" s="7" t="s">
        <v>14</v>
      </c>
      <c r="M1334" s="7" t="s">
        <v>15</v>
      </c>
      <c r="N1334" s="7">
        <f>COUNTIFS(A:A,A1334,D:D,D1334,E:E,I1334)</f>
        <v>0</v>
      </c>
    </row>
    <row r="1335" spans="1:14" x14ac:dyDescent="0.3">
      <c r="A1335" s="7" t="s">
        <v>175</v>
      </c>
      <c r="B1335" s="7" t="s">
        <v>176</v>
      </c>
      <c r="C1335" s="7" t="s">
        <v>64</v>
      </c>
      <c r="D1335" s="8">
        <v>45294</v>
      </c>
      <c r="E1335" s="8" t="str">
        <f t="shared" si="79"/>
        <v>January</v>
      </c>
      <c r="F1335">
        <f t="shared" si="80"/>
        <v>2024</v>
      </c>
      <c r="G1335">
        <f t="shared" si="81"/>
        <v>0</v>
      </c>
      <c r="H1335">
        <f t="shared" si="82"/>
        <v>0</v>
      </c>
      <c r="I1335" s="6"/>
      <c r="J1335" s="6"/>
      <c r="K1335" s="7" t="s">
        <v>44</v>
      </c>
      <c r="L1335" s="7" t="s">
        <v>27</v>
      </c>
      <c r="M1335" s="7" t="s">
        <v>15</v>
      </c>
      <c r="N1335" s="7">
        <f>COUNTIFS(A:A,A1335,D:D,D1335,E:E,I1335)</f>
        <v>0</v>
      </c>
    </row>
    <row r="1336" spans="1:14" x14ac:dyDescent="0.3">
      <c r="A1336" s="7" t="s">
        <v>16</v>
      </c>
      <c r="B1336" s="7" t="s">
        <v>17</v>
      </c>
      <c r="C1336" s="7" t="s">
        <v>64</v>
      </c>
      <c r="D1336" s="8">
        <v>45379</v>
      </c>
      <c r="E1336" s="8" t="str">
        <f t="shared" si="79"/>
        <v>March</v>
      </c>
      <c r="F1336">
        <f t="shared" si="80"/>
        <v>2024</v>
      </c>
      <c r="G1336">
        <f t="shared" si="81"/>
        <v>0</v>
      </c>
      <c r="H1336">
        <f t="shared" si="82"/>
        <v>0</v>
      </c>
      <c r="I1336" s="6"/>
      <c r="J1336" s="6"/>
      <c r="K1336" s="7" t="s">
        <v>44</v>
      </c>
      <c r="L1336" s="7" t="s">
        <v>27</v>
      </c>
      <c r="M1336" s="7" t="s">
        <v>21</v>
      </c>
      <c r="N1336" s="7">
        <f>COUNTIFS(A:A,A1336,D:D,D1336,E:E,I1336)</f>
        <v>0</v>
      </c>
    </row>
    <row r="1337" spans="1:14" x14ac:dyDescent="0.3">
      <c r="A1337" s="7" t="s">
        <v>200</v>
      </c>
      <c r="B1337" s="7" t="s">
        <v>201</v>
      </c>
      <c r="C1337" s="7" t="s">
        <v>426</v>
      </c>
      <c r="D1337" s="8">
        <v>45385</v>
      </c>
      <c r="E1337" s="8" t="str">
        <f t="shared" si="79"/>
        <v>April</v>
      </c>
      <c r="F1337">
        <f t="shared" si="80"/>
        <v>2024</v>
      </c>
      <c r="G1337">
        <f t="shared" si="81"/>
        <v>1</v>
      </c>
      <c r="H1337">
        <f t="shared" si="82"/>
        <v>1</v>
      </c>
      <c r="I1337" s="6">
        <v>0.49027777777777776</v>
      </c>
      <c r="J1337" s="6">
        <v>0.67361111111111116</v>
      </c>
      <c r="K1337" s="7" t="s">
        <v>26</v>
      </c>
      <c r="L1337" s="7" t="s">
        <v>27</v>
      </c>
      <c r="M1337" s="7" t="s">
        <v>21</v>
      </c>
      <c r="N1337" s="7">
        <f>COUNTIFS(A:A,A1337,D:D,D1337,E:E,I1337)</f>
        <v>0</v>
      </c>
    </row>
    <row r="1338" spans="1:14" x14ac:dyDescent="0.3">
      <c r="A1338" s="7" t="s">
        <v>22</v>
      </c>
      <c r="B1338" s="7" t="s">
        <v>23</v>
      </c>
      <c r="C1338" s="7" t="s">
        <v>425</v>
      </c>
      <c r="D1338" s="8">
        <v>45369</v>
      </c>
      <c r="E1338" s="8" t="str">
        <f t="shared" si="79"/>
        <v>March</v>
      </c>
      <c r="F1338">
        <f t="shared" si="80"/>
        <v>2024</v>
      </c>
      <c r="G1338">
        <f t="shared" si="81"/>
        <v>1</v>
      </c>
      <c r="H1338">
        <f t="shared" si="82"/>
        <v>0</v>
      </c>
      <c r="I1338" s="6">
        <v>0.34027777777777779</v>
      </c>
      <c r="J1338" s="6">
        <v>0.87083333333333335</v>
      </c>
      <c r="K1338" s="7" t="s">
        <v>13</v>
      </c>
      <c r="L1338" s="7" t="s">
        <v>27</v>
      </c>
      <c r="M1338" s="7" t="s">
        <v>21</v>
      </c>
      <c r="N1338" s="7">
        <f>COUNTIFS(A:A,A1338,D:D,D1338,E:E,I1338)</f>
        <v>0</v>
      </c>
    </row>
    <row r="1339" spans="1:14" x14ac:dyDescent="0.3">
      <c r="A1339" s="7" t="s">
        <v>34</v>
      </c>
      <c r="B1339" s="7" t="s">
        <v>35</v>
      </c>
      <c r="C1339" s="7" t="s">
        <v>425</v>
      </c>
      <c r="D1339" s="8">
        <v>45380</v>
      </c>
      <c r="E1339" s="8" t="str">
        <f t="shared" si="79"/>
        <v>March</v>
      </c>
      <c r="F1339">
        <f t="shared" si="80"/>
        <v>2024</v>
      </c>
      <c r="G1339">
        <f t="shared" si="81"/>
        <v>1</v>
      </c>
      <c r="H1339">
        <f t="shared" si="82"/>
        <v>0</v>
      </c>
      <c r="I1339" s="6">
        <v>0.41041666666666665</v>
      </c>
      <c r="J1339" s="6">
        <v>0.68055555555555558</v>
      </c>
      <c r="K1339" s="7" t="s">
        <v>20</v>
      </c>
      <c r="L1339" s="7" t="s">
        <v>14</v>
      </c>
      <c r="M1339" s="7" t="s">
        <v>21</v>
      </c>
      <c r="N1339" s="7">
        <f>COUNTIFS(A:A,A1339,D:D,D1339,E:E,I1339)</f>
        <v>0</v>
      </c>
    </row>
    <row r="1340" spans="1:14" x14ac:dyDescent="0.3">
      <c r="A1340" s="7" t="s">
        <v>146</v>
      </c>
      <c r="B1340" s="7" t="s">
        <v>147</v>
      </c>
      <c r="C1340" s="7" t="s">
        <v>42</v>
      </c>
      <c r="D1340" s="8">
        <v>45319</v>
      </c>
      <c r="E1340" s="8" t="str">
        <f t="shared" si="79"/>
        <v>January</v>
      </c>
      <c r="F1340">
        <f t="shared" si="80"/>
        <v>2024</v>
      </c>
      <c r="G1340">
        <f t="shared" si="81"/>
        <v>1</v>
      </c>
      <c r="H1340">
        <f t="shared" si="82"/>
        <v>1</v>
      </c>
      <c r="I1340" s="6">
        <v>0.42777777777777776</v>
      </c>
      <c r="J1340" s="6">
        <v>0.72916666666666663</v>
      </c>
      <c r="K1340" s="7" t="s">
        <v>26</v>
      </c>
      <c r="L1340" s="7" t="s">
        <v>14</v>
      </c>
      <c r="M1340" s="7" t="s">
        <v>15</v>
      </c>
      <c r="N1340" s="7">
        <f>COUNTIFS(A:A,A1340,D:D,D1340,E:E,I1340)</f>
        <v>0</v>
      </c>
    </row>
    <row r="1341" spans="1:14" x14ac:dyDescent="0.3">
      <c r="A1341" s="7" t="s">
        <v>62</v>
      </c>
      <c r="B1341" s="7" t="s">
        <v>63</v>
      </c>
      <c r="C1341" s="7" t="s">
        <v>426</v>
      </c>
      <c r="D1341" s="8">
        <v>45308</v>
      </c>
      <c r="E1341" s="8" t="str">
        <f t="shared" si="79"/>
        <v>January</v>
      </c>
      <c r="F1341">
        <f t="shared" si="80"/>
        <v>2024</v>
      </c>
      <c r="G1341">
        <f t="shared" si="81"/>
        <v>1</v>
      </c>
      <c r="H1341">
        <f t="shared" si="82"/>
        <v>0</v>
      </c>
      <c r="I1341" s="6">
        <v>0.36736111111111114</v>
      </c>
      <c r="J1341" s="6">
        <v>0.74513888888888891</v>
      </c>
      <c r="K1341" s="7" t="s">
        <v>20</v>
      </c>
      <c r="L1341" s="7" t="s">
        <v>27</v>
      </c>
      <c r="M1341" s="7" t="s">
        <v>21</v>
      </c>
      <c r="N1341" s="7">
        <f>COUNTIFS(A:A,A1341,D:D,D1341,E:E,I1341)</f>
        <v>0</v>
      </c>
    </row>
    <row r="1342" spans="1:14" x14ac:dyDescent="0.3">
      <c r="A1342" s="7" t="s">
        <v>138</v>
      </c>
      <c r="B1342" s="7" t="s">
        <v>139</v>
      </c>
      <c r="C1342" s="7" t="s">
        <v>426</v>
      </c>
      <c r="D1342" s="8">
        <v>45366</v>
      </c>
      <c r="E1342" s="8" t="str">
        <f t="shared" si="79"/>
        <v>March</v>
      </c>
      <c r="F1342">
        <f t="shared" si="80"/>
        <v>2024</v>
      </c>
      <c r="G1342">
        <f t="shared" si="81"/>
        <v>0</v>
      </c>
      <c r="H1342">
        <f t="shared" si="82"/>
        <v>0</v>
      </c>
      <c r="I1342" s="6"/>
      <c r="J1342" s="6"/>
      <c r="K1342" s="7" t="s">
        <v>44</v>
      </c>
      <c r="L1342" s="7" t="s">
        <v>27</v>
      </c>
      <c r="M1342" s="7" t="s">
        <v>15</v>
      </c>
      <c r="N1342" s="7">
        <f>COUNTIFS(A:A,A1342,D:D,D1342,E:E,I1342)</f>
        <v>0</v>
      </c>
    </row>
    <row r="1343" spans="1:14" x14ac:dyDescent="0.3">
      <c r="A1343" s="7" t="s">
        <v>37</v>
      </c>
      <c r="B1343" s="7" t="s">
        <v>38</v>
      </c>
      <c r="C1343" s="7" t="s">
        <v>425</v>
      </c>
      <c r="D1343" s="8">
        <v>45294</v>
      </c>
      <c r="E1343" s="8" t="str">
        <f t="shared" si="79"/>
        <v>January</v>
      </c>
      <c r="F1343">
        <f t="shared" si="80"/>
        <v>2024</v>
      </c>
      <c r="G1343">
        <f t="shared" si="81"/>
        <v>1</v>
      </c>
      <c r="H1343">
        <f t="shared" si="82"/>
        <v>0</v>
      </c>
      <c r="I1343" s="6">
        <v>0.38958333333333334</v>
      </c>
      <c r="J1343" s="6">
        <v>0.84583333333333333</v>
      </c>
      <c r="K1343" s="7" t="s">
        <v>13</v>
      </c>
      <c r="L1343" s="7" t="s">
        <v>27</v>
      </c>
      <c r="M1343" s="7" t="s">
        <v>21</v>
      </c>
      <c r="N1343" s="7">
        <f>COUNTIFS(A:A,A1343,D:D,D1343,E:E,I1343)</f>
        <v>0</v>
      </c>
    </row>
    <row r="1344" spans="1:14" x14ac:dyDescent="0.3">
      <c r="A1344" s="7" t="s">
        <v>315</v>
      </c>
      <c r="B1344" s="7" t="s">
        <v>316</v>
      </c>
      <c r="C1344" s="7" t="s">
        <v>425</v>
      </c>
      <c r="D1344" s="8">
        <v>45313</v>
      </c>
      <c r="E1344" s="8" t="str">
        <f t="shared" si="79"/>
        <v>January</v>
      </c>
      <c r="F1344">
        <f t="shared" si="80"/>
        <v>2024</v>
      </c>
      <c r="G1344">
        <f t="shared" si="81"/>
        <v>1</v>
      </c>
      <c r="H1344">
        <f t="shared" si="82"/>
        <v>1</v>
      </c>
      <c r="I1344" s="6">
        <v>0.38541666666666669</v>
      </c>
      <c r="J1344" s="6">
        <v>0.76041666666666663</v>
      </c>
      <c r="K1344" s="7" t="s">
        <v>26</v>
      </c>
      <c r="L1344" s="7" t="s">
        <v>27</v>
      </c>
      <c r="M1344" s="7" t="s">
        <v>21</v>
      </c>
      <c r="N1344" s="7">
        <f>COUNTIFS(A:A,A1344,D:D,D1344,E:E,I1344)</f>
        <v>0</v>
      </c>
    </row>
    <row r="1345" spans="1:14" x14ac:dyDescent="0.3">
      <c r="A1345" s="7" t="s">
        <v>93</v>
      </c>
      <c r="B1345" s="7" t="s">
        <v>94</v>
      </c>
      <c r="C1345" s="7" t="s">
        <v>60</v>
      </c>
      <c r="D1345" s="8">
        <v>45352</v>
      </c>
      <c r="E1345" s="8" t="str">
        <f t="shared" si="79"/>
        <v>March</v>
      </c>
      <c r="F1345">
        <f t="shared" si="80"/>
        <v>2024</v>
      </c>
      <c r="G1345">
        <f t="shared" si="81"/>
        <v>1</v>
      </c>
      <c r="H1345">
        <f t="shared" si="82"/>
        <v>0</v>
      </c>
      <c r="I1345" s="6">
        <v>0.47916666666666669</v>
      </c>
      <c r="J1345" s="6">
        <v>0.67847222222222225</v>
      </c>
      <c r="K1345" s="7" t="s">
        <v>13</v>
      </c>
      <c r="L1345" s="7" t="s">
        <v>27</v>
      </c>
      <c r="M1345" s="7" t="s">
        <v>15</v>
      </c>
      <c r="N1345" s="7">
        <f>COUNTIFS(A:A,A1345,D:D,D1345,E:E,I1345)</f>
        <v>0</v>
      </c>
    </row>
    <row r="1346" spans="1:14" x14ac:dyDescent="0.3">
      <c r="A1346" s="7" t="s">
        <v>200</v>
      </c>
      <c r="B1346" s="7" t="s">
        <v>201</v>
      </c>
      <c r="C1346" s="7" t="s">
        <v>426</v>
      </c>
      <c r="D1346" s="8">
        <v>45505</v>
      </c>
      <c r="E1346" s="8" t="str">
        <f t="shared" ref="E1346:E1409" si="83">TEXT(D1346,"mmmm")</f>
        <v>August</v>
      </c>
      <c r="F1346">
        <f t="shared" ref="F1346:F1409" si="84">YEAR(D1346)</f>
        <v>2024</v>
      </c>
      <c r="G1346">
        <f t="shared" ref="G1346:G1409" si="85">IF(LOWER(K1346)="absent",0,1)</f>
        <v>1</v>
      </c>
      <c r="H1346">
        <f t="shared" ref="H1346:H1409" si="86">IF(K1346="Late",1,0)</f>
        <v>0</v>
      </c>
      <c r="I1346" s="6">
        <v>0.40972222222222221</v>
      </c>
      <c r="J1346" s="6">
        <v>0.79513888888888884</v>
      </c>
      <c r="K1346" s="7" t="s">
        <v>20</v>
      </c>
      <c r="L1346" s="7" t="s">
        <v>14</v>
      </c>
      <c r="M1346" s="7" t="s">
        <v>15</v>
      </c>
      <c r="N1346" s="7">
        <f>COUNTIFS(A:A,A1346,D:D,D1346,E:E,I1346)</f>
        <v>0</v>
      </c>
    </row>
    <row r="1347" spans="1:14" x14ac:dyDescent="0.3">
      <c r="A1347" s="7" t="s">
        <v>40</v>
      </c>
      <c r="B1347" s="7" t="s">
        <v>41</v>
      </c>
      <c r="C1347" s="7" t="s">
        <v>426</v>
      </c>
      <c r="D1347" s="8">
        <v>45379</v>
      </c>
      <c r="E1347" s="8" t="str">
        <f t="shared" si="83"/>
        <v>March</v>
      </c>
      <c r="F1347">
        <f t="shared" si="84"/>
        <v>2024</v>
      </c>
      <c r="G1347">
        <f t="shared" si="85"/>
        <v>1</v>
      </c>
      <c r="H1347">
        <f t="shared" si="86"/>
        <v>0</v>
      </c>
      <c r="I1347" s="6">
        <v>0.48402777777777778</v>
      </c>
      <c r="J1347" s="6">
        <v>0.80138888888888893</v>
      </c>
      <c r="K1347" s="7" t="s">
        <v>13</v>
      </c>
      <c r="L1347" s="7" t="s">
        <v>27</v>
      </c>
      <c r="M1347" s="7" t="s">
        <v>15</v>
      </c>
      <c r="N1347" s="7">
        <f>COUNTIFS(A:A,A1347,D:D,D1347,E:E,I1347)</f>
        <v>0</v>
      </c>
    </row>
    <row r="1348" spans="1:14" x14ac:dyDescent="0.3">
      <c r="A1348" s="7" t="s">
        <v>197</v>
      </c>
      <c r="B1348" s="7" t="s">
        <v>198</v>
      </c>
      <c r="C1348" s="7" t="s">
        <v>64</v>
      </c>
      <c r="D1348" s="8">
        <v>45324</v>
      </c>
      <c r="E1348" s="8" t="str">
        <f t="shared" si="83"/>
        <v>February</v>
      </c>
      <c r="F1348">
        <f t="shared" si="84"/>
        <v>2024</v>
      </c>
      <c r="G1348">
        <f t="shared" si="85"/>
        <v>1</v>
      </c>
      <c r="H1348">
        <f t="shared" si="86"/>
        <v>1</v>
      </c>
      <c r="I1348" s="6">
        <v>0.40347222222222223</v>
      </c>
      <c r="J1348" s="6">
        <v>0.78125</v>
      </c>
      <c r="K1348" s="7" t="s">
        <v>26</v>
      </c>
      <c r="L1348" s="7" t="s">
        <v>27</v>
      </c>
      <c r="M1348" s="7" t="s">
        <v>15</v>
      </c>
      <c r="N1348" s="7">
        <f>COUNTIFS(A:A,A1348,D:D,D1348,E:E,I1348)</f>
        <v>0</v>
      </c>
    </row>
    <row r="1349" spans="1:14" x14ac:dyDescent="0.3">
      <c r="A1349" s="7" t="s">
        <v>93</v>
      </c>
      <c r="B1349" s="7" t="s">
        <v>94</v>
      </c>
      <c r="C1349" s="7" t="s">
        <v>64</v>
      </c>
      <c r="D1349" s="8">
        <v>45361</v>
      </c>
      <c r="E1349" s="8" t="str">
        <f t="shared" si="83"/>
        <v>March</v>
      </c>
      <c r="F1349">
        <f t="shared" si="84"/>
        <v>2024</v>
      </c>
      <c r="G1349">
        <f t="shared" si="85"/>
        <v>1</v>
      </c>
      <c r="H1349">
        <f t="shared" si="86"/>
        <v>0</v>
      </c>
      <c r="I1349" s="6">
        <v>0.36944444444444446</v>
      </c>
      <c r="J1349" s="6">
        <v>0.84166666666666667</v>
      </c>
      <c r="K1349" s="7" t="s">
        <v>13</v>
      </c>
      <c r="L1349" s="7" t="s">
        <v>27</v>
      </c>
      <c r="M1349" s="7" t="s">
        <v>15</v>
      </c>
      <c r="N1349" s="7">
        <f>COUNTIFS(A:A,A1349,D:D,D1349,E:E,I1349)</f>
        <v>0</v>
      </c>
    </row>
    <row r="1350" spans="1:14" x14ac:dyDescent="0.3">
      <c r="A1350" s="7" t="s">
        <v>22</v>
      </c>
      <c r="B1350" s="7" t="s">
        <v>23</v>
      </c>
      <c r="C1350" s="7" t="s">
        <v>64</v>
      </c>
      <c r="D1350" s="8">
        <v>45308</v>
      </c>
      <c r="E1350" s="8" t="str">
        <f t="shared" si="83"/>
        <v>January</v>
      </c>
      <c r="F1350">
        <f t="shared" si="84"/>
        <v>2024</v>
      </c>
      <c r="G1350">
        <f t="shared" si="85"/>
        <v>1</v>
      </c>
      <c r="H1350">
        <f t="shared" si="86"/>
        <v>1</v>
      </c>
      <c r="I1350" s="6">
        <v>0.35694444444444445</v>
      </c>
      <c r="J1350" s="6">
        <v>0.85416666666666663</v>
      </c>
      <c r="K1350" s="7" t="s">
        <v>26</v>
      </c>
      <c r="L1350" s="7" t="s">
        <v>27</v>
      </c>
      <c r="M1350" s="7" t="s">
        <v>21</v>
      </c>
      <c r="N1350" s="7">
        <f>COUNTIFS(A:A,A1350,D:D,D1350,E:E,I1350)</f>
        <v>0</v>
      </c>
    </row>
    <row r="1351" spans="1:14" x14ac:dyDescent="0.3">
      <c r="A1351" s="7" t="s">
        <v>146</v>
      </c>
      <c r="B1351" s="7" t="s">
        <v>147</v>
      </c>
      <c r="C1351" s="7" t="s">
        <v>60</v>
      </c>
      <c r="D1351" s="8">
        <v>45365</v>
      </c>
      <c r="E1351" s="8" t="str">
        <f t="shared" si="83"/>
        <v>March</v>
      </c>
      <c r="F1351">
        <f t="shared" si="84"/>
        <v>2024</v>
      </c>
      <c r="G1351">
        <f t="shared" si="85"/>
        <v>0</v>
      </c>
      <c r="H1351">
        <f t="shared" si="86"/>
        <v>0</v>
      </c>
      <c r="I1351" s="6"/>
      <c r="J1351" s="6"/>
      <c r="K1351" s="7" t="s">
        <v>44</v>
      </c>
      <c r="L1351" s="7" t="s">
        <v>27</v>
      </c>
      <c r="M1351" s="7" t="s">
        <v>15</v>
      </c>
      <c r="N1351" s="7">
        <f>COUNTIFS(A:A,A1351,D:D,D1351,E:E,I1351)</f>
        <v>0</v>
      </c>
    </row>
    <row r="1352" spans="1:14" x14ac:dyDescent="0.3">
      <c r="A1352" s="7" t="s">
        <v>187</v>
      </c>
      <c r="B1352" s="7" t="s">
        <v>188</v>
      </c>
      <c r="C1352" s="7" t="s">
        <v>60</v>
      </c>
      <c r="D1352" s="8">
        <v>45362</v>
      </c>
      <c r="E1352" s="8" t="str">
        <f t="shared" si="83"/>
        <v>March</v>
      </c>
      <c r="F1352">
        <f t="shared" si="84"/>
        <v>2024</v>
      </c>
      <c r="G1352">
        <f t="shared" si="85"/>
        <v>0</v>
      </c>
      <c r="H1352">
        <f t="shared" si="86"/>
        <v>0</v>
      </c>
      <c r="I1352" s="6"/>
      <c r="J1352" s="6"/>
      <c r="K1352" s="7" t="s">
        <v>44</v>
      </c>
      <c r="L1352" s="7" t="s">
        <v>27</v>
      </c>
      <c r="M1352" s="7" t="s">
        <v>21</v>
      </c>
      <c r="N1352" s="7">
        <f>COUNTIFS(A:A,A1352,D:D,D1352,E:E,I1352)</f>
        <v>0</v>
      </c>
    </row>
    <row r="1353" spans="1:14" x14ac:dyDescent="0.3">
      <c r="A1353" s="7" t="s">
        <v>122</v>
      </c>
      <c r="B1353" s="7" t="s">
        <v>123</v>
      </c>
      <c r="C1353" s="7" t="s">
        <v>426</v>
      </c>
      <c r="D1353" s="8">
        <v>45566</v>
      </c>
      <c r="E1353" s="8" t="str">
        <f t="shared" si="83"/>
        <v>October</v>
      </c>
      <c r="F1353">
        <f t="shared" si="84"/>
        <v>2024</v>
      </c>
      <c r="G1353">
        <f t="shared" si="85"/>
        <v>1</v>
      </c>
      <c r="H1353">
        <f t="shared" si="86"/>
        <v>1</v>
      </c>
      <c r="I1353" s="6">
        <v>0.49930555555555556</v>
      </c>
      <c r="J1353" s="6">
        <v>0.87291666666666667</v>
      </c>
      <c r="K1353" s="7" t="s">
        <v>26</v>
      </c>
      <c r="L1353" s="7" t="s">
        <v>14</v>
      </c>
      <c r="M1353" s="7" t="s">
        <v>15</v>
      </c>
      <c r="N1353" s="7">
        <f>COUNTIFS(A:A,A1353,D:D,D1353,E:E,I1353)</f>
        <v>0</v>
      </c>
    </row>
    <row r="1354" spans="1:14" x14ac:dyDescent="0.3">
      <c r="A1354" s="7" t="s">
        <v>48</v>
      </c>
      <c r="B1354" s="7" t="s">
        <v>49</v>
      </c>
      <c r="C1354" s="7" t="s">
        <v>426</v>
      </c>
      <c r="D1354" s="8">
        <v>45352</v>
      </c>
      <c r="E1354" s="8" t="str">
        <f t="shared" si="83"/>
        <v>March</v>
      </c>
      <c r="F1354">
        <f t="shared" si="84"/>
        <v>2024</v>
      </c>
      <c r="G1354">
        <f t="shared" si="85"/>
        <v>1</v>
      </c>
      <c r="H1354">
        <f t="shared" si="86"/>
        <v>1</v>
      </c>
      <c r="I1354" s="6">
        <v>0.37708333333333333</v>
      </c>
      <c r="J1354" s="6">
        <v>0.76180555555555551</v>
      </c>
      <c r="K1354" s="7" t="s">
        <v>26</v>
      </c>
      <c r="L1354" s="7" t="s">
        <v>27</v>
      </c>
      <c r="M1354" s="7" t="s">
        <v>21</v>
      </c>
      <c r="N1354" s="7">
        <f>COUNTIFS(A:A,A1354,D:D,D1354,E:E,I1354)</f>
        <v>0</v>
      </c>
    </row>
    <row r="1355" spans="1:14" x14ac:dyDescent="0.3">
      <c r="A1355" s="7" t="s">
        <v>157</v>
      </c>
      <c r="B1355" s="7" t="s">
        <v>158</v>
      </c>
      <c r="C1355" s="7" t="s">
        <v>60</v>
      </c>
      <c r="D1355" s="8">
        <v>45415</v>
      </c>
      <c r="E1355" s="8" t="str">
        <f t="shared" si="83"/>
        <v>May</v>
      </c>
      <c r="F1355">
        <f t="shared" si="84"/>
        <v>2024</v>
      </c>
      <c r="G1355">
        <f t="shared" si="85"/>
        <v>1</v>
      </c>
      <c r="H1355">
        <f t="shared" si="86"/>
        <v>0</v>
      </c>
      <c r="I1355" s="6">
        <v>0.46805555555555556</v>
      </c>
      <c r="J1355" s="6">
        <v>0.69236111111111109</v>
      </c>
      <c r="K1355" s="7" t="s">
        <v>20</v>
      </c>
      <c r="L1355" s="7" t="s">
        <v>14</v>
      </c>
      <c r="M1355" s="7" t="s">
        <v>21</v>
      </c>
      <c r="N1355" s="7">
        <f>COUNTIFS(A:A,A1355,D:D,D1355,E:E,I1355)</f>
        <v>0</v>
      </c>
    </row>
    <row r="1356" spans="1:14" x14ac:dyDescent="0.3">
      <c r="A1356" s="7" t="s">
        <v>31</v>
      </c>
      <c r="B1356" s="7" t="s">
        <v>32</v>
      </c>
      <c r="C1356" s="7" t="s">
        <v>425</v>
      </c>
      <c r="D1356" s="8">
        <v>45413</v>
      </c>
      <c r="E1356" s="8" t="str">
        <f t="shared" si="83"/>
        <v>May</v>
      </c>
      <c r="F1356">
        <f t="shared" si="84"/>
        <v>2024</v>
      </c>
      <c r="G1356">
        <f t="shared" si="85"/>
        <v>1</v>
      </c>
      <c r="H1356">
        <f t="shared" si="86"/>
        <v>1</v>
      </c>
      <c r="I1356" s="6">
        <v>0.44374999999999998</v>
      </c>
      <c r="J1356" s="6">
        <v>0.79861111111111116</v>
      </c>
      <c r="K1356" s="7" t="s">
        <v>26</v>
      </c>
      <c r="L1356" s="7" t="s">
        <v>14</v>
      </c>
      <c r="M1356" s="7" t="s">
        <v>21</v>
      </c>
      <c r="N1356" s="7">
        <f>COUNTIFS(A:A,A1356,D:D,D1356,E:E,I1356)</f>
        <v>0</v>
      </c>
    </row>
    <row r="1357" spans="1:14" x14ac:dyDescent="0.3">
      <c r="A1357" s="7" t="s">
        <v>37</v>
      </c>
      <c r="B1357" s="7" t="s">
        <v>38</v>
      </c>
      <c r="C1357" s="7" t="s">
        <v>42</v>
      </c>
      <c r="D1357" s="8">
        <v>45311</v>
      </c>
      <c r="E1357" s="8" t="str">
        <f t="shared" si="83"/>
        <v>January</v>
      </c>
      <c r="F1357">
        <f t="shared" si="84"/>
        <v>2024</v>
      </c>
      <c r="G1357">
        <f t="shared" si="85"/>
        <v>1</v>
      </c>
      <c r="H1357">
        <f t="shared" si="86"/>
        <v>0</v>
      </c>
      <c r="I1357" s="6">
        <v>0.40694444444444444</v>
      </c>
      <c r="J1357" s="6">
        <v>0.75486111111111109</v>
      </c>
      <c r="K1357" s="7" t="s">
        <v>20</v>
      </c>
      <c r="L1357" s="7" t="s">
        <v>27</v>
      </c>
      <c r="M1357" s="7" t="s">
        <v>15</v>
      </c>
      <c r="N1357" s="7">
        <f>COUNTIFS(A:A,A1357,D:D,D1357,E:E,I1357)</f>
        <v>0</v>
      </c>
    </row>
    <row r="1358" spans="1:14" x14ac:dyDescent="0.3">
      <c r="A1358" s="7" t="s">
        <v>58</v>
      </c>
      <c r="B1358" s="7" t="s">
        <v>59</v>
      </c>
      <c r="C1358" s="7" t="s">
        <v>425</v>
      </c>
      <c r="D1358" s="8">
        <v>45446</v>
      </c>
      <c r="E1358" s="8" t="str">
        <f t="shared" si="83"/>
        <v>June</v>
      </c>
      <c r="F1358">
        <f t="shared" si="84"/>
        <v>2024</v>
      </c>
      <c r="G1358">
        <f t="shared" si="85"/>
        <v>1</v>
      </c>
      <c r="H1358">
        <f t="shared" si="86"/>
        <v>0</v>
      </c>
      <c r="I1358" s="6">
        <v>0.38750000000000001</v>
      </c>
      <c r="J1358" s="6">
        <v>0.72013888888888888</v>
      </c>
      <c r="K1358" s="7" t="s">
        <v>13</v>
      </c>
      <c r="L1358" s="7" t="s">
        <v>27</v>
      </c>
      <c r="M1358" s="7" t="s">
        <v>15</v>
      </c>
      <c r="N1358" s="7">
        <f>COUNTIFS(A:A,A1358,D:D,D1358,E:E,I1358)</f>
        <v>0</v>
      </c>
    </row>
    <row r="1359" spans="1:14" x14ac:dyDescent="0.3">
      <c r="A1359" s="7" t="s">
        <v>315</v>
      </c>
      <c r="B1359" s="7" t="s">
        <v>316</v>
      </c>
      <c r="C1359" s="7" t="s">
        <v>42</v>
      </c>
      <c r="D1359" s="8">
        <v>45378</v>
      </c>
      <c r="E1359" s="8" t="str">
        <f t="shared" si="83"/>
        <v>March</v>
      </c>
      <c r="F1359">
        <f t="shared" si="84"/>
        <v>2024</v>
      </c>
      <c r="G1359">
        <f t="shared" si="85"/>
        <v>0</v>
      </c>
      <c r="H1359">
        <f t="shared" si="86"/>
        <v>0</v>
      </c>
      <c r="I1359" s="6"/>
      <c r="J1359" s="6"/>
      <c r="K1359" s="7" t="s">
        <v>44</v>
      </c>
      <c r="L1359" s="7" t="s">
        <v>27</v>
      </c>
      <c r="M1359" s="7" t="s">
        <v>21</v>
      </c>
      <c r="N1359" s="7">
        <f>COUNTIFS(A:A,A1359,D:D,D1359,E:E,I1359)</f>
        <v>0</v>
      </c>
    </row>
    <row r="1360" spans="1:14" x14ac:dyDescent="0.3">
      <c r="A1360" s="7" t="s">
        <v>122</v>
      </c>
      <c r="B1360" s="7" t="s">
        <v>123</v>
      </c>
      <c r="C1360" s="7" t="s">
        <v>426</v>
      </c>
      <c r="D1360" s="8">
        <v>45341</v>
      </c>
      <c r="E1360" s="8" t="str">
        <f t="shared" si="83"/>
        <v>February</v>
      </c>
      <c r="F1360">
        <f t="shared" si="84"/>
        <v>2024</v>
      </c>
      <c r="G1360">
        <f t="shared" si="85"/>
        <v>1</v>
      </c>
      <c r="H1360">
        <f t="shared" si="86"/>
        <v>1</v>
      </c>
      <c r="I1360" s="6">
        <v>0.4465277777777778</v>
      </c>
      <c r="J1360" s="6">
        <v>0.79722222222222228</v>
      </c>
      <c r="K1360" s="7" t="s">
        <v>26</v>
      </c>
      <c r="L1360" s="7" t="s">
        <v>14</v>
      </c>
      <c r="M1360" s="7" t="s">
        <v>15</v>
      </c>
      <c r="N1360" s="7">
        <f>COUNTIFS(A:A,A1360,D:D,D1360,E:E,I1360)</f>
        <v>0</v>
      </c>
    </row>
    <row r="1361" spans="1:14" x14ac:dyDescent="0.3">
      <c r="A1361" s="7" t="s">
        <v>93</v>
      </c>
      <c r="B1361" s="7" t="s">
        <v>94</v>
      </c>
      <c r="C1361" s="7" t="s">
        <v>426</v>
      </c>
      <c r="D1361" s="8">
        <v>45505</v>
      </c>
      <c r="E1361" s="8" t="str">
        <f t="shared" si="83"/>
        <v>August</v>
      </c>
      <c r="F1361">
        <f t="shared" si="84"/>
        <v>2024</v>
      </c>
      <c r="G1361">
        <f t="shared" si="85"/>
        <v>1</v>
      </c>
      <c r="H1361">
        <f t="shared" si="86"/>
        <v>1</v>
      </c>
      <c r="I1361" s="6">
        <v>0.46875</v>
      </c>
      <c r="J1361" s="6">
        <v>0.81736111111111109</v>
      </c>
      <c r="K1361" s="7" t="s">
        <v>26</v>
      </c>
      <c r="L1361" s="7" t="s">
        <v>14</v>
      </c>
      <c r="M1361" s="7" t="s">
        <v>21</v>
      </c>
      <c r="N1361" s="7">
        <f>COUNTIFS(A:A,A1361,D:D,D1361,E:E,I1361)</f>
        <v>0</v>
      </c>
    </row>
    <row r="1362" spans="1:14" x14ac:dyDescent="0.3">
      <c r="A1362" s="7" t="s">
        <v>37</v>
      </c>
      <c r="B1362" s="7" t="s">
        <v>38</v>
      </c>
      <c r="C1362" s="7" t="s">
        <v>425</v>
      </c>
      <c r="D1362" s="8">
        <v>45306</v>
      </c>
      <c r="E1362" s="8" t="str">
        <f t="shared" si="83"/>
        <v>January</v>
      </c>
      <c r="F1362">
        <f t="shared" si="84"/>
        <v>2024</v>
      </c>
      <c r="G1362">
        <f t="shared" si="85"/>
        <v>0</v>
      </c>
      <c r="H1362">
        <f t="shared" si="86"/>
        <v>0</v>
      </c>
      <c r="I1362" s="6"/>
      <c r="J1362" s="6"/>
      <c r="K1362" s="7" t="s">
        <v>44</v>
      </c>
      <c r="L1362" s="7" t="s">
        <v>14</v>
      </c>
      <c r="M1362" s="7" t="s">
        <v>21</v>
      </c>
      <c r="N1362" s="7">
        <f>COUNTIFS(A:A,A1362,D:D,D1362,E:E,I1362)</f>
        <v>0</v>
      </c>
    </row>
    <row r="1363" spans="1:14" x14ac:dyDescent="0.3">
      <c r="A1363" s="7" t="s">
        <v>87</v>
      </c>
      <c r="B1363" s="7" t="s">
        <v>88</v>
      </c>
      <c r="C1363" s="7" t="s">
        <v>64</v>
      </c>
      <c r="D1363" s="8">
        <v>45339</v>
      </c>
      <c r="E1363" s="8" t="str">
        <f t="shared" si="83"/>
        <v>February</v>
      </c>
      <c r="F1363">
        <f t="shared" si="84"/>
        <v>2024</v>
      </c>
      <c r="G1363">
        <f t="shared" si="85"/>
        <v>0</v>
      </c>
      <c r="H1363">
        <f t="shared" si="86"/>
        <v>0</v>
      </c>
      <c r="I1363" s="6"/>
      <c r="J1363" s="6"/>
      <c r="K1363" s="7" t="s">
        <v>44</v>
      </c>
      <c r="L1363" s="7" t="s">
        <v>27</v>
      </c>
      <c r="M1363" s="7" t="s">
        <v>21</v>
      </c>
      <c r="N1363" s="7">
        <f>COUNTIFS(A:A,A1363,D:D,D1363,E:E,I1363)</f>
        <v>0</v>
      </c>
    </row>
    <row r="1364" spans="1:14" x14ac:dyDescent="0.3">
      <c r="A1364" s="7" t="s">
        <v>72</v>
      </c>
      <c r="B1364" s="7" t="s">
        <v>73</v>
      </c>
      <c r="C1364" s="7" t="s">
        <v>425</v>
      </c>
      <c r="D1364" s="8">
        <v>45414</v>
      </c>
      <c r="E1364" s="8" t="str">
        <f t="shared" si="83"/>
        <v>May</v>
      </c>
      <c r="F1364">
        <f t="shared" si="84"/>
        <v>2024</v>
      </c>
      <c r="G1364">
        <f t="shared" si="85"/>
        <v>1</v>
      </c>
      <c r="H1364">
        <f t="shared" si="86"/>
        <v>0</v>
      </c>
      <c r="I1364" s="6">
        <v>0.41388888888888886</v>
      </c>
      <c r="J1364" s="6">
        <v>0.67152777777777772</v>
      </c>
      <c r="K1364" s="7" t="s">
        <v>13</v>
      </c>
      <c r="L1364" s="7" t="s">
        <v>27</v>
      </c>
      <c r="M1364" s="7" t="s">
        <v>15</v>
      </c>
      <c r="N1364" s="7">
        <f>COUNTIFS(A:A,A1364,D:D,D1364,E:E,I1364)</f>
        <v>0</v>
      </c>
    </row>
    <row r="1365" spans="1:14" x14ac:dyDescent="0.3">
      <c r="A1365" s="7" t="s">
        <v>194</v>
      </c>
      <c r="B1365" s="7" t="s">
        <v>195</v>
      </c>
      <c r="C1365" s="7" t="s">
        <v>42</v>
      </c>
      <c r="D1365" s="8">
        <v>45597</v>
      </c>
      <c r="E1365" s="8" t="str">
        <f t="shared" si="83"/>
        <v>November</v>
      </c>
      <c r="F1365">
        <f t="shared" si="84"/>
        <v>2024</v>
      </c>
      <c r="G1365">
        <f t="shared" si="85"/>
        <v>1</v>
      </c>
      <c r="H1365">
        <f t="shared" si="86"/>
        <v>0</v>
      </c>
      <c r="I1365" s="6">
        <v>0.34513888888888888</v>
      </c>
      <c r="J1365" s="6">
        <v>0.71458333333333335</v>
      </c>
      <c r="K1365" s="7" t="s">
        <v>13</v>
      </c>
      <c r="L1365" s="7" t="s">
        <v>27</v>
      </c>
      <c r="M1365" s="7" t="s">
        <v>15</v>
      </c>
      <c r="N1365" s="7">
        <f>COUNTIFS(A:A,A1365,D:D,D1365,E:E,I1365)</f>
        <v>0</v>
      </c>
    </row>
    <row r="1366" spans="1:14" x14ac:dyDescent="0.3">
      <c r="A1366" s="7" t="s">
        <v>122</v>
      </c>
      <c r="B1366" s="7" t="s">
        <v>123</v>
      </c>
      <c r="C1366" s="7" t="s">
        <v>42</v>
      </c>
      <c r="D1366" s="8">
        <v>45367</v>
      </c>
      <c r="E1366" s="8" t="str">
        <f t="shared" si="83"/>
        <v>March</v>
      </c>
      <c r="F1366">
        <f t="shared" si="84"/>
        <v>2024</v>
      </c>
      <c r="G1366">
        <f t="shared" si="85"/>
        <v>1</v>
      </c>
      <c r="H1366">
        <f t="shared" si="86"/>
        <v>0</v>
      </c>
      <c r="I1366" s="6">
        <v>0.3840277777777778</v>
      </c>
      <c r="J1366" s="6">
        <v>0.67361111111111116</v>
      </c>
      <c r="K1366" s="7" t="s">
        <v>13</v>
      </c>
      <c r="L1366" s="7" t="s">
        <v>14</v>
      </c>
      <c r="M1366" s="7" t="s">
        <v>21</v>
      </c>
      <c r="N1366" s="7">
        <f>COUNTIFS(A:A,A1366,D:D,D1366,E:E,I1366)</f>
        <v>0</v>
      </c>
    </row>
    <row r="1367" spans="1:14" x14ac:dyDescent="0.3">
      <c r="A1367" s="7" t="s">
        <v>40</v>
      </c>
      <c r="B1367" s="7" t="s">
        <v>41</v>
      </c>
      <c r="C1367" s="7" t="s">
        <v>60</v>
      </c>
      <c r="D1367" s="8">
        <v>45323</v>
      </c>
      <c r="E1367" s="8" t="str">
        <f t="shared" si="83"/>
        <v>February</v>
      </c>
      <c r="F1367">
        <f t="shared" si="84"/>
        <v>2024</v>
      </c>
      <c r="G1367">
        <f t="shared" si="85"/>
        <v>1</v>
      </c>
      <c r="H1367">
        <f t="shared" si="86"/>
        <v>1</v>
      </c>
      <c r="I1367" s="6">
        <v>0.37361111111111112</v>
      </c>
      <c r="J1367" s="6">
        <v>0.67777777777777781</v>
      </c>
      <c r="K1367" s="7" t="s">
        <v>26</v>
      </c>
      <c r="L1367" s="7" t="s">
        <v>27</v>
      </c>
      <c r="M1367" s="7" t="s">
        <v>15</v>
      </c>
      <c r="N1367" s="7">
        <f>COUNTIFS(A:A,A1367,D:D,D1367,E:E,I1367)</f>
        <v>0</v>
      </c>
    </row>
    <row r="1368" spans="1:14" x14ac:dyDescent="0.3">
      <c r="A1368" s="7" t="s">
        <v>52</v>
      </c>
      <c r="B1368" s="7" t="s">
        <v>53</v>
      </c>
      <c r="C1368" s="7" t="s">
        <v>42</v>
      </c>
      <c r="D1368" s="8">
        <v>45310</v>
      </c>
      <c r="E1368" s="8" t="str">
        <f t="shared" si="83"/>
        <v>January</v>
      </c>
      <c r="F1368">
        <f t="shared" si="84"/>
        <v>2024</v>
      </c>
      <c r="G1368">
        <f t="shared" si="85"/>
        <v>1</v>
      </c>
      <c r="H1368">
        <f t="shared" si="86"/>
        <v>1</v>
      </c>
      <c r="I1368" s="6">
        <v>0.42638888888888887</v>
      </c>
      <c r="J1368" s="6">
        <v>0.70833333333333337</v>
      </c>
      <c r="K1368" s="7" t="s">
        <v>26</v>
      </c>
      <c r="L1368" s="7" t="s">
        <v>14</v>
      </c>
      <c r="M1368" s="7" t="s">
        <v>21</v>
      </c>
      <c r="N1368" s="7">
        <f>COUNTIFS(A:A,A1368,D:D,D1368,E:E,I1368)</f>
        <v>0</v>
      </c>
    </row>
    <row r="1369" spans="1:14" x14ac:dyDescent="0.3">
      <c r="A1369" s="7" t="s">
        <v>154</v>
      </c>
      <c r="B1369" s="7" t="s">
        <v>155</v>
      </c>
      <c r="C1369" s="7" t="s">
        <v>42</v>
      </c>
      <c r="D1369" s="8">
        <v>45339</v>
      </c>
      <c r="E1369" s="8" t="str">
        <f t="shared" si="83"/>
        <v>February</v>
      </c>
      <c r="F1369">
        <f t="shared" si="84"/>
        <v>2024</v>
      </c>
      <c r="G1369">
        <f t="shared" si="85"/>
        <v>1</v>
      </c>
      <c r="H1369">
        <f t="shared" si="86"/>
        <v>1</v>
      </c>
      <c r="I1369" s="6">
        <v>0.38472222222222224</v>
      </c>
      <c r="J1369" s="6">
        <v>0.76458333333333328</v>
      </c>
      <c r="K1369" s="7" t="s">
        <v>26</v>
      </c>
      <c r="L1369" s="7" t="s">
        <v>27</v>
      </c>
      <c r="M1369" s="7" t="s">
        <v>15</v>
      </c>
      <c r="N1369" s="7">
        <f>COUNTIFS(A:A,A1369,D:D,D1369,E:E,I1369)</f>
        <v>0</v>
      </c>
    </row>
    <row r="1370" spans="1:14" x14ac:dyDescent="0.3">
      <c r="A1370" s="7" t="s">
        <v>99</v>
      </c>
      <c r="B1370" s="7" t="s">
        <v>100</v>
      </c>
      <c r="C1370" s="7" t="s">
        <v>42</v>
      </c>
      <c r="D1370" s="8">
        <v>45344</v>
      </c>
      <c r="E1370" s="8" t="str">
        <f t="shared" si="83"/>
        <v>February</v>
      </c>
      <c r="F1370">
        <f t="shared" si="84"/>
        <v>2024</v>
      </c>
      <c r="G1370">
        <f t="shared" si="85"/>
        <v>1</v>
      </c>
      <c r="H1370">
        <f t="shared" si="86"/>
        <v>0</v>
      </c>
      <c r="I1370" s="6">
        <v>0.48749999999999999</v>
      </c>
      <c r="J1370" s="6">
        <v>0.85416666666666663</v>
      </c>
      <c r="K1370" s="7" t="s">
        <v>20</v>
      </c>
      <c r="L1370" s="7" t="s">
        <v>27</v>
      </c>
      <c r="M1370" s="7" t="s">
        <v>15</v>
      </c>
      <c r="N1370" s="7">
        <f>COUNTIFS(A:A,A1370,D:D,D1370,E:E,I1370)</f>
        <v>0</v>
      </c>
    </row>
    <row r="1371" spans="1:14" x14ac:dyDescent="0.3">
      <c r="A1371" s="7" t="s">
        <v>84</v>
      </c>
      <c r="B1371" s="7" t="s">
        <v>85</v>
      </c>
      <c r="C1371" s="7" t="s">
        <v>60</v>
      </c>
      <c r="D1371" s="8">
        <v>45313</v>
      </c>
      <c r="E1371" s="8" t="str">
        <f t="shared" si="83"/>
        <v>January</v>
      </c>
      <c r="F1371">
        <f t="shared" si="84"/>
        <v>2024</v>
      </c>
      <c r="G1371">
        <f t="shared" si="85"/>
        <v>1</v>
      </c>
      <c r="H1371">
        <f t="shared" si="86"/>
        <v>1</v>
      </c>
      <c r="I1371" s="6">
        <v>0.36666666666666664</v>
      </c>
      <c r="J1371" s="6">
        <v>0.82499999999999996</v>
      </c>
      <c r="K1371" s="7" t="s">
        <v>26</v>
      </c>
      <c r="L1371" s="7" t="s">
        <v>14</v>
      </c>
      <c r="M1371" s="7" t="s">
        <v>15</v>
      </c>
      <c r="N1371" s="7">
        <f>COUNTIFS(A:A,A1371,D:D,D1371,E:E,I1371)</f>
        <v>0</v>
      </c>
    </row>
    <row r="1372" spans="1:14" x14ac:dyDescent="0.3">
      <c r="A1372" s="7" t="s">
        <v>52</v>
      </c>
      <c r="B1372" s="7" t="s">
        <v>53</v>
      </c>
      <c r="C1372" s="7" t="s">
        <v>60</v>
      </c>
      <c r="D1372" s="8">
        <v>45356</v>
      </c>
      <c r="E1372" s="8" t="str">
        <f t="shared" si="83"/>
        <v>March</v>
      </c>
      <c r="F1372">
        <f t="shared" si="84"/>
        <v>2024</v>
      </c>
      <c r="G1372">
        <f t="shared" si="85"/>
        <v>1</v>
      </c>
      <c r="H1372">
        <f t="shared" si="86"/>
        <v>1</v>
      </c>
      <c r="I1372" s="6">
        <v>0.40486111111111112</v>
      </c>
      <c r="J1372" s="6">
        <v>0.82986111111111116</v>
      </c>
      <c r="K1372" s="7" t="s">
        <v>26</v>
      </c>
      <c r="L1372" s="7" t="s">
        <v>14</v>
      </c>
      <c r="M1372" s="7" t="s">
        <v>21</v>
      </c>
      <c r="N1372" s="7">
        <f>COUNTIFS(A:A,A1372,D:D,D1372,E:E,I1372)</f>
        <v>0</v>
      </c>
    </row>
    <row r="1373" spans="1:14" x14ac:dyDescent="0.3">
      <c r="A1373" s="7" t="s">
        <v>204</v>
      </c>
      <c r="B1373" s="7" t="s">
        <v>205</v>
      </c>
      <c r="C1373" s="7" t="s">
        <v>60</v>
      </c>
      <c r="D1373" s="8">
        <v>45384</v>
      </c>
      <c r="E1373" s="8" t="str">
        <f t="shared" si="83"/>
        <v>April</v>
      </c>
      <c r="F1373">
        <f t="shared" si="84"/>
        <v>2024</v>
      </c>
      <c r="G1373">
        <f t="shared" si="85"/>
        <v>1</v>
      </c>
      <c r="H1373">
        <f t="shared" si="86"/>
        <v>0</v>
      </c>
      <c r="I1373" s="6">
        <v>0.37847222222222221</v>
      </c>
      <c r="J1373" s="6">
        <v>0.69930555555555551</v>
      </c>
      <c r="K1373" s="7" t="s">
        <v>20</v>
      </c>
      <c r="L1373" s="7" t="s">
        <v>27</v>
      </c>
      <c r="M1373" s="7" t="s">
        <v>21</v>
      </c>
      <c r="N1373" s="7">
        <f>COUNTIFS(A:A,A1373,D:D,D1373,E:E,I1373)</f>
        <v>0</v>
      </c>
    </row>
    <row r="1374" spans="1:14" x14ac:dyDescent="0.3">
      <c r="A1374" s="7" t="s">
        <v>84</v>
      </c>
      <c r="B1374" s="7" t="s">
        <v>85</v>
      </c>
      <c r="C1374" s="7" t="s">
        <v>426</v>
      </c>
      <c r="D1374" s="8">
        <v>45318</v>
      </c>
      <c r="E1374" s="8" t="str">
        <f t="shared" si="83"/>
        <v>January</v>
      </c>
      <c r="F1374">
        <f t="shared" si="84"/>
        <v>2024</v>
      </c>
      <c r="G1374">
        <f t="shared" si="85"/>
        <v>0</v>
      </c>
      <c r="H1374">
        <f t="shared" si="86"/>
        <v>0</v>
      </c>
      <c r="I1374" s="6"/>
      <c r="J1374" s="6"/>
      <c r="K1374" s="7" t="s">
        <v>44</v>
      </c>
      <c r="L1374" s="7" t="s">
        <v>14</v>
      </c>
      <c r="M1374" s="7" t="s">
        <v>21</v>
      </c>
      <c r="N1374" s="7">
        <f>COUNTIFS(A:A,A1374,D:D,D1374,E:E,I1374)</f>
        <v>0</v>
      </c>
    </row>
    <row r="1375" spans="1:14" x14ac:dyDescent="0.3">
      <c r="A1375" s="7" t="s">
        <v>55</v>
      </c>
      <c r="B1375" s="7" t="s">
        <v>56</v>
      </c>
      <c r="C1375" s="7" t="s">
        <v>42</v>
      </c>
      <c r="D1375" s="8">
        <v>45379</v>
      </c>
      <c r="E1375" s="8" t="str">
        <f t="shared" si="83"/>
        <v>March</v>
      </c>
      <c r="F1375">
        <f t="shared" si="84"/>
        <v>2024</v>
      </c>
      <c r="G1375">
        <f t="shared" si="85"/>
        <v>0</v>
      </c>
      <c r="H1375">
        <f t="shared" si="86"/>
        <v>0</v>
      </c>
      <c r="I1375" s="6"/>
      <c r="J1375" s="6"/>
      <c r="K1375" s="7" t="s">
        <v>44</v>
      </c>
      <c r="L1375" s="7" t="s">
        <v>27</v>
      </c>
      <c r="M1375" s="7" t="s">
        <v>21</v>
      </c>
      <c r="N1375" s="7">
        <f>COUNTIFS(A:A,A1375,D:D,D1375,E:E,I1375)</f>
        <v>0</v>
      </c>
    </row>
    <row r="1376" spans="1:14" x14ac:dyDescent="0.3">
      <c r="A1376" s="7" t="s">
        <v>45</v>
      </c>
      <c r="B1376" s="7" t="s">
        <v>46</v>
      </c>
      <c r="C1376" s="7" t="s">
        <v>60</v>
      </c>
      <c r="D1376" s="8">
        <v>45326</v>
      </c>
      <c r="E1376" s="8" t="str">
        <f t="shared" si="83"/>
        <v>February</v>
      </c>
      <c r="F1376">
        <f t="shared" si="84"/>
        <v>2024</v>
      </c>
      <c r="G1376">
        <f t="shared" si="85"/>
        <v>1</v>
      </c>
      <c r="H1376">
        <f t="shared" si="86"/>
        <v>0</v>
      </c>
      <c r="I1376" s="6">
        <v>0.42083333333333334</v>
      </c>
      <c r="J1376" s="6">
        <v>0.71388888888888891</v>
      </c>
      <c r="K1376" s="7" t="s">
        <v>20</v>
      </c>
      <c r="L1376" s="7" t="s">
        <v>14</v>
      </c>
      <c r="M1376" s="7" t="s">
        <v>15</v>
      </c>
      <c r="N1376" s="7">
        <f>COUNTIFS(A:A,A1376,D:D,D1376,E:E,I1376)</f>
        <v>0</v>
      </c>
    </row>
    <row r="1377" spans="1:14" x14ac:dyDescent="0.3">
      <c r="A1377" s="7" t="s">
        <v>90</v>
      </c>
      <c r="B1377" s="7" t="s">
        <v>91</v>
      </c>
      <c r="C1377" s="7" t="s">
        <v>60</v>
      </c>
      <c r="D1377" s="8">
        <v>45476</v>
      </c>
      <c r="E1377" s="8" t="str">
        <f t="shared" si="83"/>
        <v>July</v>
      </c>
      <c r="F1377">
        <f t="shared" si="84"/>
        <v>2024</v>
      </c>
      <c r="G1377">
        <f t="shared" si="85"/>
        <v>1</v>
      </c>
      <c r="H1377">
        <f t="shared" si="86"/>
        <v>1</v>
      </c>
      <c r="I1377" s="6">
        <v>0.37847222222222221</v>
      </c>
      <c r="J1377" s="6">
        <v>0.85277777777777775</v>
      </c>
      <c r="K1377" s="7" t="s">
        <v>26</v>
      </c>
      <c r="L1377" s="7" t="s">
        <v>14</v>
      </c>
      <c r="M1377" s="7" t="s">
        <v>21</v>
      </c>
      <c r="N1377" s="7">
        <f>COUNTIFS(A:A,A1377,D:D,D1377,E:E,I1377)</f>
        <v>0</v>
      </c>
    </row>
    <row r="1378" spans="1:14" x14ac:dyDescent="0.3">
      <c r="A1378" s="7" t="s">
        <v>150</v>
      </c>
      <c r="B1378" s="7" t="s">
        <v>151</v>
      </c>
      <c r="C1378" s="7" t="s">
        <v>42</v>
      </c>
      <c r="D1378" s="8">
        <v>45381</v>
      </c>
      <c r="E1378" s="8" t="str">
        <f t="shared" si="83"/>
        <v>March</v>
      </c>
      <c r="F1378">
        <f t="shared" si="84"/>
        <v>2024</v>
      </c>
      <c r="G1378">
        <f t="shared" si="85"/>
        <v>1</v>
      </c>
      <c r="H1378">
        <f t="shared" si="86"/>
        <v>1</v>
      </c>
      <c r="I1378" s="6">
        <v>0.33611111111111114</v>
      </c>
      <c r="J1378" s="6">
        <v>0.82152777777777775</v>
      </c>
      <c r="K1378" s="7" t="s">
        <v>26</v>
      </c>
      <c r="L1378" s="7" t="s">
        <v>14</v>
      </c>
      <c r="M1378" s="7" t="s">
        <v>21</v>
      </c>
      <c r="N1378" s="7">
        <f>COUNTIFS(A:A,A1378,D:D,D1378,E:E,I1378)</f>
        <v>0</v>
      </c>
    </row>
    <row r="1379" spans="1:14" x14ac:dyDescent="0.3">
      <c r="A1379" s="7" t="s">
        <v>197</v>
      </c>
      <c r="B1379" s="7" t="s">
        <v>198</v>
      </c>
      <c r="C1379" s="7" t="s">
        <v>60</v>
      </c>
      <c r="D1379" s="8">
        <v>45415</v>
      </c>
      <c r="E1379" s="8" t="str">
        <f t="shared" si="83"/>
        <v>May</v>
      </c>
      <c r="F1379">
        <f t="shared" si="84"/>
        <v>2024</v>
      </c>
      <c r="G1379">
        <f t="shared" si="85"/>
        <v>0</v>
      </c>
      <c r="H1379">
        <f t="shared" si="86"/>
        <v>0</v>
      </c>
      <c r="I1379" s="6"/>
      <c r="J1379" s="6"/>
      <c r="K1379" s="7" t="s">
        <v>44</v>
      </c>
      <c r="L1379" s="7" t="s">
        <v>14</v>
      </c>
      <c r="M1379" s="7" t="s">
        <v>21</v>
      </c>
      <c r="N1379" s="7">
        <f>COUNTIFS(A:A,A1379,D:D,D1379,E:E,I1379)</f>
        <v>0</v>
      </c>
    </row>
    <row r="1380" spans="1:14" x14ac:dyDescent="0.3">
      <c r="A1380" s="7" t="s">
        <v>146</v>
      </c>
      <c r="B1380" s="7" t="s">
        <v>147</v>
      </c>
      <c r="C1380" s="7" t="s">
        <v>64</v>
      </c>
      <c r="D1380" s="8">
        <v>45374</v>
      </c>
      <c r="E1380" s="8" t="str">
        <f t="shared" si="83"/>
        <v>March</v>
      </c>
      <c r="F1380">
        <f t="shared" si="84"/>
        <v>2024</v>
      </c>
      <c r="G1380">
        <f t="shared" si="85"/>
        <v>1</v>
      </c>
      <c r="H1380">
        <f t="shared" si="86"/>
        <v>0</v>
      </c>
      <c r="I1380" s="6">
        <v>0.36180555555555555</v>
      </c>
      <c r="J1380" s="6">
        <v>0.78680555555555554</v>
      </c>
      <c r="K1380" s="7" t="s">
        <v>20</v>
      </c>
      <c r="L1380" s="7" t="s">
        <v>14</v>
      </c>
      <c r="M1380" s="7" t="s">
        <v>21</v>
      </c>
      <c r="N1380" s="7">
        <f>COUNTIFS(A:A,A1380,D:D,D1380,E:E,I1380)</f>
        <v>0</v>
      </c>
    </row>
    <row r="1381" spans="1:14" x14ac:dyDescent="0.3">
      <c r="A1381" s="7" t="s">
        <v>315</v>
      </c>
      <c r="B1381" s="7" t="s">
        <v>316</v>
      </c>
      <c r="C1381" s="7" t="s">
        <v>42</v>
      </c>
      <c r="D1381" s="8">
        <v>45365</v>
      </c>
      <c r="E1381" s="8" t="str">
        <f t="shared" si="83"/>
        <v>March</v>
      </c>
      <c r="F1381">
        <f t="shared" si="84"/>
        <v>2024</v>
      </c>
      <c r="G1381">
        <f t="shared" si="85"/>
        <v>1</v>
      </c>
      <c r="H1381">
        <f t="shared" si="86"/>
        <v>0</v>
      </c>
      <c r="I1381" s="6">
        <v>0.38750000000000001</v>
      </c>
      <c r="J1381" s="6">
        <v>0.71388888888888891</v>
      </c>
      <c r="K1381" s="7" t="s">
        <v>20</v>
      </c>
      <c r="L1381" s="7" t="s">
        <v>14</v>
      </c>
      <c r="M1381" s="7" t="s">
        <v>21</v>
      </c>
      <c r="N1381" s="7">
        <f>COUNTIFS(A:A,A1381,D:D,D1381,E:E,I1381)</f>
        <v>0</v>
      </c>
    </row>
    <row r="1382" spans="1:14" x14ac:dyDescent="0.3">
      <c r="A1382" s="7" t="s">
        <v>165</v>
      </c>
      <c r="B1382" s="7" t="s">
        <v>166</v>
      </c>
      <c r="C1382" s="7" t="s">
        <v>425</v>
      </c>
      <c r="D1382" s="8">
        <v>45506</v>
      </c>
      <c r="E1382" s="8" t="str">
        <f t="shared" si="83"/>
        <v>August</v>
      </c>
      <c r="F1382">
        <f t="shared" si="84"/>
        <v>2024</v>
      </c>
      <c r="G1382">
        <f t="shared" si="85"/>
        <v>1</v>
      </c>
      <c r="H1382">
        <f t="shared" si="86"/>
        <v>0</v>
      </c>
      <c r="I1382" s="6">
        <v>0.4777777777777778</v>
      </c>
      <c r="J1382" s="6">
        <v>0.78819444444444442</v>
      </c>
      <c r="K1382" s="7" t="s">
        <v>20</v>
      </c>
      <c r="L1382" s="7" t="s">
        <v>14</v>
      </c>
      <c r="M1382" s="7" t="s">
        <v>21</v>
      </c>
      <c r="N1382" s="7">
        <f>COUNTIFS(A:A,A1382,D:D,D1382,E:E,I1382)</f>
        <v>0</v>
      </c>
    </row>
    <row r="1383" spans="1:14" x14ac:dyDescent="0.3">
      <c r="A1383" s="7" t="s">
        <v>141</v>
      </c>
      <c r="B1383" s="7" t="s">
        <v>142</v>
      </c>
      <c r="C1383" s="7" t="s">
        <v>426</v>
      </c>
      <c r="D1383" s="8">
        <v>45333</v>
      </c>
      <c r="E1383" s="8" t="str">
        <f t="shared" si="83"/>
        <v>February</v>
      </c>
      <c r="F1383">
        <f t="shared" si="84"/>
        <v>2024</v>
      </c>
      <c r="G1383">
        <f t="shared" si="85"/>
        <v>1</v>
      </c>
      <c r="H1383">
        <f t="shared" si="86"/>
        <v>1</v>
      </c>
      <c r="I1383" s="6">
        <v>0.45347222222222222</v>
      </c>
      <c r="J1383" s="6">
        <v>0.67361111111111116</v>
      </c>
      <c r="K1383" s="7" t="s">
        <v>26</v>
      </c>
      <c r="L1383" s="7" t="s">
        <v>27</v>
      </c>
      <c r="M1383" s="7" t="s">
        <v>21</v>
      </c>
      <c r="N1383" s="7">
        <f>COUNTIFS(A:A,A1383,D:D,D1383,E:E,I1383)</f>
        <v>0</v>
      </c>
    </row>
    <row r="1384" spans="1:14" x14ac:dyDescent="0.3">
      <c r="A1384" s="7" t="s">
        <v>291</v>
      </c>
      <c r="B1384" s="7" t="s">
        <v>292</v>
      </c>
      <c r="C1384" s="7" t="s">
        <v>64</v>
      </c>
      <c r="D1384" s="8">
        <v>45378</v>
      </c>
      <c r="E1384" s="8" t="str">
        <f t="shared" si="83"/>
        <v>March</v>
      </c>
      <c r="F1384">
        <f t="shared" si="84"/>
        <v>2024</v>
      </c>
      <c r="G1384">
        <f t="shared" si="85"/>
        <v>0</v>
      </c>
      <c r="H1384">
        <f t="shared" si="86"/>
        <v>0</v>
      </c>
      <c r="I1384" s="6"/>
      <c r="J1384" s="6"/>
      <c r="K1384" s="7" t="s">
        <v>44</v>
      </c>
      <c r="L1384" s="7" t="s">
        <v>27</v>
      </c>
      <c r="M1384" s="7" t="s">
        <v>15</v>
      </c>
      <c r="N1384" s="7">
        <f>COUNTIFS(A:A,A1384,D:D,D1384,E:E,I1384)</f>
        <v>0</v>
      </c>
    </row>
    <row r="1385" spans="1:14" x14ac:dyDescent="0.3">
      <c r="A1385" s="7" t="s">
        <v>69</v>
      </c>
      <c r="B1385" s="7" t="s">
        <v>70</v>
      </c>
      <c r="C1385" s="7" t="s">
        <v>425</v>
      </c>
      <c r="D1385" s="8">
        <v>45304</v>
      </c>
      <c r="E1385" s="8" t="str">
        <f t="shared" si="83"/>
        <v>January</v>
      </c>
      <c r="F1385">
        <f t="shared" si="84"/>
        <v>2024</v>
      </c>
      <c r="G1385">
        <f t="shared" si="85"/>
        <v>1</v>
      </c>
      <c r="H1385">
        <f t="shared" si="86"/>
        <v>0</v>
      </c>
      <c r="I1385" s="6">
        <v>0.3972222222222222</v>
      </c>
      <c r="J1385" s="6">
        <v>0.7680555555555556</v>
      </c>
      <c r="K1385" s="7" t="s">
        <v>20</v>
      </c>
      <c r="L1385" s="7" t="s">
        <v>14</v>
      </c>
      <c r="M1385" s="7" t="s">
        <v>21</v>
      </c>
      <c r="N1385" s="7">
        <f>COUNTIFS(A:A,A1385,D:D,D1385,E:E,I1385)</f>
        <v>0</v>
      </c>
    </row>
    <row r="1386" spans="1:14" x14ac:dyDescent="0.3">
      <c r="A1386" s="7" t="s">
        <v>34</v>
      </c>
      <c r="B1386" s="7" t="s">
        <v>35</v>
      </c>
      <c r="C1386" s="7" t="s">
        <v>425</v>
      </c>
      <c r="D1386" s="8">
        <v>45353</v>
      </c>
      <c r="E1386" s="8" t="str">
        <f t="shared" si="83"/>
        <v>March</v>
      </c>
      <c r="F1386">
        <f t="shared" si="84"/>
        <v>2024</v>
      </c>
      <c r="G1386">
        <f t="shared" si="85"/>
        <v>0</v>
      </c>
      <c r="H1386">
        <f t="shared" si="86"/>
        <v>0</v>
      </c>
      <c r="I1386" s="6"/>
      <c r="J1386" s="6"/>
      <c r="K1386" s="7" t="s">
        <v>44</v>
      </c>
      <c r="L1386" s="7" t="s">
        <v>14</v>
      </c>
      <c r="M1386" s="7" t="s">
        <v>21</v>
      </c>
      <c r="N1386" s="7">
        <f>COUNTIFS(A:A,A1386,D:D,D1386,E:E,I1386)</f>
        <v>0</v>
      </c>
    </row>
    <row r="1387" spans="1:14" x14ac:dyDescent="0.3">
      <c r="A1387" s="7" t="s">
        <v>45</v>
      </c>
      <c r="B1387" s="7" t="s">
        <v>46</v>
      </c>
      <c r="C1387" s="7" t="s">
        <v>42</v>
      </c>
      <c r="D1387" s="8">
        <v>45446</v>
      </c>
      <c r="E1387" s="8" t="str">
        <f t="shared" si="83"/>
        <v>June</v>
      </c>
      <c r="F1387">
        <f t="shared" si="84"/>
        <v>2024</v>
      </c>
      <c r="G1387">
        <f t="shared" si="85"/>
        <v>0</v>
      </c>
      <c r="H1387">
        <f t="shared" si="86"/>
        <v>0</v>
      </c>
      <c r="I1387" s="6"/>
      <c r="J1387" s="6"/>
      <c r="K1387" s="7" t="s">
        <v>44</v>
      </c>
      <c r="L1387" s="7" t="s">
        <v>27</v>
      </c>
      <c r="M1387" s="7" t="s">
        <v>15</v>
      </c>
      <c r="N1387" s="7">
        <f>COUNTIFS(A:A,A1387,D:D,D1387,E:E,I1387)</f>
        <v>0</v>
      </c>
    </row>
    <row r="1388" spans="1:14" x14ac:dyDescent="0.3">
      <c r="A1388" s="7" t="s">
        <v>37</v>
      </c>
      <c r="B1388" s="7" t="s">
        <v>38</v>
      </c>
      <c r="C1388" s="7" t="s">
        <v>426</v>
      </c>
      <c r="D1388" s="8">
        <v>45353</v>
      </c>
      <c r="E1388" s="8" t="str">
        <f t="shared" si="83"/>
        <v>March</v>
      </c>
      <c r="F1388">
        <f t="shared" si="84"/>
        <v>2024</v>
      </c>
      <c r="G1388">
        <f t="shared" si="85"/>
        <v>1</v>
      </c>
      <c r="H1388">
        <f t="shared" si="86"/>
        <v>0</v>
      </c>
      <c r="I1388" s="6">
        <v>0.33611111111111114</v>
      </c>
      <c r="J1388" s="6">
        <v>0.69027777777777777</v>
      </c>
      <c r="K1388" s="7" t="s">
        <v>20</v>
      </c>
      <c r="L1388" s="7" t="s">
        <v>27</v>
      </c>
      <c r="M1388" s="7" t="s">
        <v>15</v>
      </c>
      <c r="N1388" s="7">
        <f>COUNTIFS(A:A,A1388,D:D,D1388,E:E,I1388)</f>
        <v>0</v>
      </c>
    </row>
    <row r="1389" spans="1:14" x14ac:dyDescent="0.3">
      <c r="A1389" s="7" t="s">
        <v>138</v>
      </c>
      <c r="B1389" s="7" t="s">
        <v>139</v>
      </c>
      <c r="C1389" s="7" t="s">
        <v>60</v>
      </c>
      <c r="D1389" s="8">
        <v>45353</v>
      </c>
      <c r="E1389" s="8" t="str">
        <f t="shared" si="83"/>
        <v>March</v>
      </c>
      <c r="F1389">
        <f t="shared" si="84"/>
        <v>2024</v>
      </c>
      <c r="G1389">
        <f t="shared" si="85"/>
        <v>1</v>
      </c>
      <c r="H1389">
        <f t="shared" si="86"/>
        <v>0</v>
      </c>
      <c r="I1389" s="6">
        <v>0.39097222222222222</v>
      </c>
      <c r="J1389" s="6">
        <v>0.78263888888888888</v>
      </c>
      <c r="K1389" s="7" t="s">
        <v>20</v>
      </c>
      <c r="L1389" s="7" t="s">
        <v>27</v>
      </c>
      <c r="M1389" s="7" t="s">
        <v>15</v>
      </c>
      <c r="N1389" s="7">
        <f>COUNTIFS(A:A,A1389,D:D,D1389,E:E,I1389)</f>
        <v>0</v>
      </c>
    </row>
    <row r="1390" spans="1:14" x14ac:dyDescent="0.3">
      <c r="A1390" s="7" t="s">
        <v>175</v>
      </c>
      <c r="B1390" s="7" t="s">
        <v>176</v>
      </c>
      <c r="C1390" s="7" t="s">
        <v>42</v>
      </c>
      <c r="D1390" s="8">
        <v>45319</v>
      </c>
      <c r="E1390" s="8" t="str">
        <f t="shared" si="83"/>
        <v>January</v>
      </c>
      <c r="F1390">
        <f t="shared" si="84"/>
        <v>2024</v>
      </c>
      <c r="G1390">
        <f t="shared" si="85"/>
        <v>1</v>
      </c>
      <c r="H1390">
        <f t="shared" si="86"/>
        <v>0</v>
      </c>
      <c r="I1390" s="6">
        <v>0.47847222222222224</v>
      </c>
      <c r="J1390" s="6">
        <v>0.68333333333333335</v>
      </c>
      <c r="K1390" s="7" t="s">
        <v>13</v>
      </c>
      <c r="L1390" s="7" t="s">
        <v>14</v>
      </c>
      <c r="M1390" s="7" t="s">
        <v>15</v>
      </c>
      <c r="N1390" s="7">
        <f>COUNTIFS(A:A,A1390,D:D,D1390,E:E,I1390)</f>
        <v>0</v>
      </c>
    </row>
    <row r="1391" spans="1:14" x14ac:dyDescent="0.3">
      <c r="A1391" s="7" t="s">
        <v>9</v>
      </c>
      <c r="B1391" s="7" t="s">
        <v>10</v>
      </c>
      <c r="C1391" s="7" t="s">
        <v>60</v>
      </c>
      <c r="D1391" s="8">
        <v>45326</v>
      </c>
      <c r="E1391" s="8" t="str">
        <f t="shared" si="83"/>
        <v>February</v>
      </c>
      <c r="F1391">
        <f t="shared" si="84"/>
        <v>2024</v>
      </c>
      <c r="G1391">
        <f t="shared" si="85"/>
        <v>1</v>
      </c>
      <c r="H1391">
        <f t="shared" si="86"/>
        <v>0</v>
      </c>
      <c r="I1391" s="6">
        <v>0.37222222222222223</v>
      </c>
      <c r="J1391" s="6">
        <v>0.73472222222222228</v>
      </c>
      <c r="K1391" s="7" t="s">
        <v>20</v>
      </c>
      <c r="L1391" s="7" t="s">
        <v>27</v>
      </c>
      <c r="M1391" s="7" t="s">
        <v>21</v>
      </c>
      <c r="N1391" s="7">
        <f>COUNTIFS(A:A,A1391,D:D,D1391,E:E,I1391)</f>
        <v>0</v>
      </c>
    </row>
    <row r="1392" spans="1:14" x14ac:dyDescent="0.3">
      <c r="A1392" s="7" t="s">
        <v>187</v>
      </c>
      <c r="B1392" s="7" t="s">
        <v>188</v>
      </c>
      <c r="C1392" s="7" t="s">
        <v>425</v>
      </c>
      <c r="D1392" s="8">
        <v>45368</v>
      </c>
      <c r="E1392" s="8" t="str">
        <f t="shared" si="83"/>
        <v>March</v>
      </c>
      <c r="F1392">
        <f t="shared" si="84"/>
        <v>2024</v>
      </c>
      <c r="G1392">
        <f t="shared" si="85"/>
        <v>1</v>
      </c>
      <c r="H1392">
        <f t="shared" si="86"/>
        <v>1</v>
      </c>
      <c r="I1392" s="6">
        <v>0.39027777777777778</v>
      </c>
      <c r="J1392" s="6">
        <v>0.81111111111111112</v>
      </c>
      <c r="K1392" s="7" t="s">
        <v>26</v>
      </c>
      <c r="L1392" s="7" t="s">
        <v>14</v>
      </c>
      <c r="M1392" s="7" t="s">
        <v>21</v>
      </c>
      <c r="N1392" s="7">
        <f>COUNTIFS(A:A,A1392,D:D,D1392,E:E,I1392)</f>
        <v>0</v>
      </c>
    </row>
    <row r="1393" spans="1:14" x14ac:dyDescent="0.3">
      <c r="A1393" s="7" t="s">
        <v>58</v>
      </c>
      <c r="B1393" s="7" t="s">
        <v>59</v>
      </c>
      <c r="C1393" s="7" t="s">
        <v>64</v>
      </c>
      <c r="D1393" s="8">
        <v>45338</v>
      </c>
      <c r="E1393" s="8" t="str">
        <f t="shared" si="83"/>
        <v>February</v>
      </c>
      <c r="F1393">
        <f t="shared" si="84"/>
        <v>2024</v>
      </c>
      <c r="G1393">
        <f t="shared" si="85"/>
        <v>1</v>
      </c>
      <c r="H1393">
        <f t="shared" si="86"/>
        <v>1</v>
      </c>
      <c r="I1393" s="6">
        <v>0.40069444444444446</v>
      </c>
      <c r="J1393" s="6">
        <v>0.69861111111111107</v>
      </c>
      <c r="K1393" s="7" t="s">
        <v>26</v>
      </c>
      <c r="L1393" s="7" t="s">
        <v>14</v>
      </c>
      <c r="M1393" s="7" t="s">
        <v>15</v>
      </c>
      <c r="N1393" s="7">
        <f>COUNTIFS(A:A,A1393,D:D,D1393,E:E,I1393)</f>
        <v>0</v>
      </c>
    </row>
    <row r="1394" spans="1:14" x14ac:dyDescent="0.3">
      <c r="A1394" s="7" t="s">
        <v>362</v>
      </c>
      <c r="B1394" s="7" t="s">
        <v>363</v>
      </c>
      <c r="C1394" s="7" t="s">
        <v>425</v>
      </c>
      <c r="D1394" s="8">
        <v>45474</v>
      </c>
      <c r="E1394" s="8" t="str">
        <f t="shared" si="83"/>
        <v>July</v>
      </c>
      <c r="F1394">
        <f t="shared" si="84"/>
        <v>2024</v>
      </c>
      <c r="G1394">
        <f t="shared" si="85"/>
        <v>1</v>
      </c>
      <c r="H1394">
        <f t="shared" si="86"/>
        <v>0</v>
      </c>
      <c r="I1394" s="6">
        <v>0.49861111111111112</v>
      </c>
      <c r="J1394" s="6">
        <v>0.72499999999999998</v>
      </c>
      <c r="K1394" s="7" t="s">
        <v>20</v>
      </c>
      <c r="L1394" s="7" t="s">
        <v>14</v>
      </c>
      <c r="M1394" s="7" t="s">
        <v>21</v>
      </c>
      <c r="N1394" s="7">
        <f>COUNTIFS(A:A,A1394,D:D,D1394,E:E,I1394)</f>
        <v>0</v>
      </c>
    </row>
    <row r="1395" spans="1:14" x14ac:dyDescent="0.3">
      <c r="A1395" s="7" t="s">
        <v>112</v>
      </c>
      <c r="B1395" s="7" t="s">
        <v>113</v>
      </c>
      <c r="C1395" s="7" t="s">
        <v>60</v>
      </c>
      <c r="D1395" s="8">
        <v>45338</v>
      </c>
      <c r="E1395" s="8" t="str">
        <f t="shared" si="83"/>
        <v>February</v>
      </c>
      <c r="F1395">
        <f t="shared" si="84"/>
        <v>2024</v>
      </c>
      <c r="G1395">
        <f t="shared" si="85"/>
        <v>1</v>
      </c>
      <c r="H1395">
        <f t="shared" si="86"/>
        <v>0</v>
      </c>
      <c r="I1395" s="6">
        <v>0.36388888888888887</v>
      </c>
      <c r="J1395" s="6">
        <v>0.68263888888888891</v>
      </c>
      <c r="K1395" s="7" t="s">
        <v>20</v>
      </c>
      <c r="L1395" s="7" t="s">
        <v>27</v>
      </c>
      <c r="M1395" s="7" t="s">
        <v>21</v>
      </c>
      <c r="N1395" s="7">
        <f>COUNTIFS(A:A,A1395,D:D,D1395,E:E,I1395)</f>
        <v>0</v>
      </c>
    </row>
    <row r="1396" spans="1:14" x14ac:dyDescent="0.3">
      <c r="A1396" s="7" t="s">
        <v>315</v>
      </c>
      <c r="B1396" s="7" t="s">
        <v>316</v>
      </c>
      <c r="C1396" s="7" t="s">
        <v>425</v>
      </c>
      <c r="D1396" s="8">
        <v>45383</v>
      </c>
      <c r="E1396" s="8" t="str">
        <f t="shared" si="83"/>
        <v>April</v>
      </c>
      <c r="F1396">
        <f t="shared" si="84"/>
        <v>2024</v>
      </c>
      <c r="G1396">
        <f t="shared" si="85"/>
        <v>1</v>
      </c>
      <c r="H1396">
        <f t="shared" si="86"/>
        <v>0</v>
      </c>
      <c r="I1396" s="6">
        <v>0.43055555555555558</v>
      </c>
      <c r="J1396" s="6">
        <v>0.83402777777777781</v>
      </c>
      <c r="K1396" s="7" t="s">
        <v>20</v>
      </c>
      <c r="L1396" s="7" t="s">
        <v>14</v>
      </c>
      <c r="M1396" s="7" t="s">
        <v>15</v>
      </c>
      <c r="N1396" s="7">
        <f>COUNTIFS(A:A,A1396,D:D,D1396,E:E,I1396)</f>
        <v>0</v>
      </c>
    </row>
    <row r="1397" spans="1:14" x14ac:dyDescent="0.3">
      <c r="A1397" s="7" t="s">
        <v>165</v>
      </c>
      <c r="B1397" s="7" t="s">
        <v>166</v>
      </c>
      <c r="C1397" s="7" t="s">
        <v>64</v>
      </c>
      <c r="D1397" s="8">
        <v>45345</v>
      </c>
      <c r="E1397" s="8" t="str">
        <f t="shared" si="83"/>
        <v>February</v>
      </c>
      <c r="F1397">
        <f t="shared" si="84"/>
        <v>2024</v>
      </c>
      <c r="G1397">
        <f t="shared" si="85"/>
        <v>1</v>
      </c>
      <c r="H1397">
        <f t="shared" si="86"/>
        <v>1</v>
      </c>
      <c r="I1397" s="6">
        <v>0.34513888888888888</v>
      </c>
      <c r="J1397" s="6">
        <v>0.67500000000000004</v>
      </c>
      <c r="K1397" s="7" t="s">
        <v>26</v>
      </c>
      <c r="L1397" s="7" t="s">
        <v>27</v>
      </c>
      <c r="M1397" s="7" t="s">
        <v>21</v>
      </c>
      <c r="N1397" s="7">
        <f>COUNTIFS(A:A,A1397,D:D,D1397,E:E,I1397)</f>
        <v>0</v>
      </c>
    </row>
    <row r="1398" spans="1:14" x14ac:dyDescent="0.3">
      <c r="A1398" s="7" t="s">
        <v>72</v>
      </c>
      <c r="B1398" s="7" t="s">
        <v>73</v>
      </c>
      <c r="C1398" s="7" t="s">
        <v>425</v>
      </c>
      <c r="D1398" s="8">
        <v>45333</v>
      </c>
      <c r="E1398" s="8" t="str">
        <f t="shared" si="83"/>
        <v>February</v>
      </c>
      <c r="F1398">
        <f t="shared" si="84"/>
        <v>2024</v>
      </c>
      <c r="G1398">
        <f t="shared" si="85"/>
        <v>1</v>
      </c>
      <c r="H1398">
        <f t="shared" si="86"/>
        <v>1</v>
      </c>
      <c r="I1398" s="6">
        <v>0.4777777777777778</v>
      </c>
      <c r="J1398" s="6">
        <v>0.84166666666666667</v>
      </c>
      <c r="K1398" s="7" t="s">
        <v>26</v>
      </c>
      <c r="L1398" s="7" t="s">
        <v>27</v>
      </c>
      <c r="M1398" s="7" t="s">
        <v>15</v>
      </c>
      <c r="N1398" s="7">
        <f>COUNTIFS(A:A,A1398,D:D,D1398,E:E,I1398)</f>
        <v>0</v>
      </c>
    </row>
    <row r="1399" spans="1:14" x14ac:dyDescent="0.3">
      <c r="A1399" s="7" t="s">
        <v>197</v>
      </c>
      <c r="B1399" s="7" t="s">
        <v>198</v>
      </c>
      <c r="C1399" s="7" t="s">
        <v>425</v>
      </c>
      <c r="D1399" s="8">
        <v>45347</v>
      </c>
      <c r="E1399" s="8" t="str">
        <f t="shared" si="83"/>
        <v>February</v>
      </c>
      <c r="F1399">
        <f t="shared" si="84"/>
        <v>2024</v>
      </c>
      <c r="G1399">
        <f t="shared" si="85"/>
        <v>1</v>
      </c>
      <c r="H1399">
        <f t="shared" si="86"/>
        <v>0</v>
      </c>
      <c r="I1399" s="6">
        <v>0.46805555555555556</v>
      </c>
      <c r="J1399" s="6">
        <v>0.75347222222222221</v>
      </c>
      <c r="K1399" s="7" t="s">
        <v>20</v>
      </c>
      <c r="L1399" s="7" t="s">
        <v>14</v>
      </c>
      <c r="M1399" s="7" t="s">
        <v>15</v>
      </c>
      <c r="N1399" s="7">
        <f>COUNTIFS(A:A,A1399,D:D,D1399,E:E,I1399)</f>
        <v>0</v>
      </c>
    </row>
    <row r="1400" spans="1:14" x14ac:dyDescent="0.3">
      <c r="A1400" s="7" t="s">
        <v>119</v>
      </c>
      <c r="B1400" s="7" t="s">
        <v>120</v>
      </c>
      <c r="C1400" s="7" t="s">
        <v>64</v>
      </c>
      <c r="D1400" s="8">
        <v>45300</v>
      </c>
      <c r="E1400" s="8" t="str">
        <f t="shared" si="83"/>
        <v>January</v>
      </c>
      <c r="F1400">
        <f t="shared" si="84"/>
        <v>2024</v>
      </c>
      <c r="G1400">
        <f t="shared" si="85"/>
        <v>1</v>
      </c>
      <c r="H1400">
        <f t="shared" si="86"/>
        <v>0</v>
      </c>
      <c r="I1400" s="6">
        <v>0.36875000000000002</v>
      </c>
      <c r="J1400" s="6">
        <v>0.78680555555555554</v>
      </c>
      <c r="K1400" s="7" t="s">
        <v>20</v>
      </c>
      <c r="L1400" s="7" t="s">
        <v>14</v>
      </c>
      <c r="M1400" s="7" t="s">
        <v>21</v>
      </c>
      <c r="N1400" s="7">
        <f>COUNTIFS(A:A,A1400,D:D,D1400,E:E,I1400)</f>
        <v>0</v>
      </c>
    </row>
    <row r="1401" spans="1:14" x14ac:dyDescent="0.3">
      <c r="A1401" s="7" t="s">
        <v>34</v>
      </c>
      <c r="B1401" s="7" t="s">
        <v>35</v>
      </c>
      <c r="C1401" s="7" t="s">
        <v>42</v>
      </c>
      <c r="D1401" s="8">
        <v>45337</v>
      </c>
      <c r="E1401" s="8" t="str">
        <f t="shared" si="83"/>
        <v>February</v>
      </c>
      <c r="F1401">
        <f t="shared" si="84"/>
        <v>2024</v>
      </c>
      <c r="G1401">
        <f t="shared" si="85"/>
        <v>1</v>
      </c>
      <c r="H1401">
        <f t="shared" si="86"/>
        <v>1</v>
      </c>
      <c r="I1401" s="6">
        <v>0.3972222222222222</v>
      </c>
      <c r="J1401" s="6">
        <v>0.86250000000000004</v>
      </c>
      <c r="K1401" s="7" t="s">
        <v>26</v>
      </c>
      <c r="L1401" s="7" t="s">
        <v>14</v>
      </c>
      <c r="M1401" s="7" t="s">
        <v>15</v>
      </c>
      <c r="N1401" s="7">
        <f>COUNTIFS(A:A,A1401,D:D,D1401,E:E,I1401)</f>
        <v>0</v>
      </c>
    </row>
    <row r="1402" spans="1:14" x14ac:dyDescent="0.3">
      <c r="A1402" s="7" t="s">
        <v>175</v>
      </c>
      <c r="B1402" s="7" t="s">
        <v>176</v>
      </c>
      <c r="C1402" s="7" t="s">
        <v>60</v>
      </c>
      <c r="D1402" s="8">
        <v>45320</v>
      </c>
      <c r="E1402" s="8" t="str">
        <f t="shared" si="83"/>
        <v>January</v>
      </c>
      <c r="F1402">
        <f t="shared" si="84"/>
        <v>2024</v>
      </c>
      <c r="G1402">
        <f t="shared" si="85"/>
        <v>1</v>
      </c>
      <c r="H1402">
        <f t="shared" si="86"/>
        <v>1</v>
      </c>
      <c r="I1402" s="6">
        <v>0.49236111111111114</v>
      </c>
      <c r="J1402" s="6">
        <v>0.72291666666666665</v>
      </c>
      <c r="K1402" s="7" t="s">
        <v>26</v>
      </c>
      <c r="L1402" s="7" t="s">
        <v>27</v>
      </c>
      <c r="M1402" s="7" t="s">
        <v>21</v>
      </c>
      <c r="N1402" s="7">
        <f>COUNTIFS(A:A,A1402,D:D,D1402,E:E,I1402)</f>
        <v>0</v>
      </c>
    </row>
    <row r="1403" spans="1:14" x14ac:dyDescent="0.3">
      <c r="A1403" s="7" t="s">
        <v>315</v>
      </c>
      <c r="B1403" s="7" t="s">
        <v>316</v>
      </c>
      <c r="C1403" s="7" t="s">
        <v>426</v>
      </c>
      <c r="D1403" s="8">
        <v>45337</v>
      </c>
      <c r="E1403" s="8" t="str">
        <f t="shared" si="83"/>
        <v>February</v>
      </c>
      <c r="F1403">
        <f t="shared" si="84"/>
        <v>2024</v>
      </c>
      <c r="G1403">
        <f t="shared" si="85"/>
        <v>1</v>
      </c>
      <c r="H1403">
        <f t="shared" si="86"/>
        <v>1</v>
      </c>
      <c r="I1403" s="6">
        <v>0.34513888888888888</v>
      </c>
      <c r="J1403" s="6">
        <v>0.84305555555555556</v>
      </c>
      <c r="K1403" s="7" t="s">
        <v>26</v>
      </c>
      <c r="L1403" s="7" t="s">
        <v>14</v>
      </c>
      <c r="M1403" s="7" t="s">
        <v>21</v>
      </c>
      <c r="N1403" s="7">
        <f>COUNTIFS(A:A,A1403,D:D,D1403,E:E,I1403)</f>
        <v>0</v>
      </c>
    </row>
    <row r="1404" spans="1:14" x14ac:dyDescent="0.3">
      <c r="A1404" s="7" t="s">
        <v>34</v>
      </c>
      <c r="B1404" s="7" t="s">
        <v>35</v>
      </c>
      <c r="C1404" s="7" t="s">
        <v>42</v>
      </c>
      <c r="D1404" s="8">
        <v>45370</v>
      </c>
      <c r="E1404" s="8" t="str">
        <f t="shared" si="83"/>
        <v>March</v>
      </c>
      <c r="F1404">
        <f t="shared" si="84"/>
        <v>2024</v>
      </c>
      <c r="G1404">
        <f t="shared" si="85"/>
        <v>1</v>
      </c>
      <c r="H1404">
        <f t="shared" si="86"/>
        <v>0</v>
      </c>
      <c r="I1404" s="6">
        <v>0.42777777777777776</v>
      </c>
      <c r="J1404" s="6">
        <v>0.69861111111111107</v>
      </c>
      <c r="K1404" s="7" t="s">
        <v>20</v>
      </c>
      <c r="L1404" s="7" t="s">
        <v>27</v>
      </c>
      <c r="M1404" s="7" t="s">
        <v>15</v>
      </c>
      <c r="N1404" s="7">
        <f>COUNTIFS(A:A,A1404,D:D,D1404,E:E,I1404)</f>
        <v>0</v>
      </c>
    </row>
    <row r="1405" spans="1:14" x14ac:dyDescent="0.3">
      <c r="A1405" s="7" t="s">
        <v>52</v>
      </c>
      <c r="B1405" s="7" t="s">
        <v>53</v>
      </c>
      <c r="C1405" s="7" t="s">
        <v>426</v>
      </c>
      <c r="D1405" s="8">
        <v>45415</v>
      </c>
      <c r="E1405" s="8" t="str">
        <f t="shared" si="83"/>
        <v>May</v>
      </c>
      <c r="F1405">
        <f t="shared" si="84"/>
        <v>2024</v>
      </c>
      <c r="G1405">
        <f t="shared" si="85"/>
        <v>1</v>
      </c>
      <c r="H1405">
        <f t="shared" si="86"/>
        <v>1</v>
      </c>
      <c r="I1405" s="6">
        <v>0.34652777777777777</v>
      </c>
      <c r="J1405" s="6">
        <v>0.84583333333333333</v>
      </c>
      <c r="K1405" s="7" t="s">
        <v>26</v>
      </c>
      <c r="L1405" s="7" t="s">
        <v>14</v>
      </c>
      <c r="M1405" s="7" t="s">
        <v>15</v>
      </c>
      <c r="N1405" s="7">
        <f>COUNTIFS(A:A,A1405,D:D,D1405,E:E,I1405)</f>
        <v>0</v>
      </c>
    </row>
    <row r="1406" spans="1:14" x14ac:dyDescent="0.3">
      <c r="A1406" s="7" t="s">
        <v>204</v>
      </c>
      <c r="B1406" s="7" t="s">
        <v>205</v>
      </c>
      <c r="C1406" s="7" t="s">
        <v>426</v>
      </c>
      <c r="D1406" s="8">
        <v>45413</v>
      </c>
      <c r="E1406" s="8" t="str">
        <f t="shared" si="83"/>
        <v>May</v>
      </c>
      <c r="F1406">
        <f t="shared" si="84"/>
        <v>2024</v>
      </c>
      <c r="G1406">
        <f t="shared" si="85"/>
        <v>0</v>
      </c>
      <c r="H1406">
        <f t="shared" si="86"/>
        <v>0</v>
      </c>
      <c r="I1406" s="6"/>
      <c r="J1406" s="6"/>
      <c r="K1406" s="7" t="s">
        <v>44</v>
      </c>
      <c r="L1406" s="7" t="s">
        <v>14</v>
      </c>
      <c r="M1406" s="7" t="s">
        <v>21</v>
      </c>
      <c r="N1406" s="7">
        <f>COUNTIFS(A:A,A1406,D:D,D1406,E:E,I1406)</f>
        <v>0</v>
      </c>
    </row>
    <row r="1407" spans="1:14" x14ac:dyDescent="0.3">
      <c r="A1407" s="7" t="s">
        <v>216</v>
      </c>
      <c r="B1407" s="7" t="s">
        <v>217</v>
      </c>
      <c r="C1407" s="7" t="s">
        <v>42</v>
      </c>
      <c r="D1407" s="8">
        <v>45505</v>
      </c>
      <c r="E1407" s="8" t="str">
        <f t="shared" si="83"/>
        <v>August</v>
      </c>
      <c r="F1407">
        <f t="shared" si="84"/>
        <v>2024</v>
      </c>
      <c r="G1407">
        <f t="shared" si="85"/>
        <v>1</v>
      </c>
      <c r="H1407">
        <f t="shared" si="86"/>
        <v>0</v>
      </c>
      <c r="I1407" s="6">
        <v>0.4548611111111111</v>
      </c>
      <c r="J1407" s="6">
        <v>0.81944444444444442</v>
      </c>
      <c r="K1407" s="7" t="s">
        <v>20</v>
      </c>
      <c r="L1407" s="7" t="s">
        <v>27</v>
      </c>
      <c r="M1407" s="7" t="s">
        <v>21</v>
      </c>
      <c r="N1407" s="7">
        <f>COUNTIFS(A:A,A1407,D:D,D1407,E:E,I1407)</f>
        <v>0</v>
      </c>
    </row>
    <row r="1408" spans="1:14" x14ac:dyDescent="0.3">
      <c r="A1408" s="7" t="s">
        <v>52</v>
      </c>
      <c r="B1408" s="7" t="s">
        <v>53</v>
      </c>
      <c r="C1408" s="7" t="s">
        <v>42</v>
      </c>
      <c r="D1408" s="8">
        <v>45315</v>
      </c>
      <c r="E1408" s="8" t="str">
        <f t="shared" si="83"/>
        <v>January</v>
      </c>
      <c r="F1408">
        <f t="shared" si="84"/>
        <v>2024</v>
      </c>
      <c r="G1408">
        <f t="shared" si="85"/>
        <v>1</v>
      </c>
      <c r="H1408">
        <f t="shared" si="86"/>
        <v>1</v>
      </c>
      <c r="I1408" s="6">
        <v>0.42638888888888887</v>
      </c>
      <c r="J1408" s="6">
        <v>0.68680555555555556</v>
      </c>
      <c r="K1408" s="7" t="s">
        <v>26</v>
      </c>
      <c r="L1408" s="7" t="s">
        <v>14</v>
      </c>
      <c r="M1408" s="7" t="s">
        <v>15</v>
      </c>
      <c r="N1408" s="7">
        <f>COUNTIFS(A:A,A1408,D:D,D1408,E:E,I1408)</f>
        <v>0</v>
      </c>
    </row>
    <row r="1409" spans="1:14" x14ac:dyDescent="0.3">
      <c r="A1409" s="7" t="s">
        <v>99</v>
      </c>
      <c r="B1409" s="7" t="s">
        <v>100</v>
      </c>
      <c r="C1409" s="7" t="s">
        <v>60</v>
      </c>
      <c r="D1409" s="8">
        <v>45322</v>
      </c>
      <c r="E1409" s="8" t="str">
        <f t="shared" si="83"/>
        <v>January</v>
      </c>
      <c r="F1409">
        <f t="shared" si="84"/>
        <v>2024</v>
      </c>
      <c r="G1409">
        <f t="shared" si="85"/>
        <v>1</v>
      </c>
      <c r="H1409">
        <f t="shared" si="86"/>
        <v>0</v>
      </c>
      <c r="I1409" s="6">
        <v>0.44305555555555554</v>
      </c>
      <c r="J1409" s="6">
        <v>0.69027777777777777</v>
      </c>
      <c r="K1409" s="7" t="s">
        <v>13</v>
      </c>
      <c r="L1409" s="7" t="s">
        <v>27</v>
      </c>
      <c r="M1409" s="7" t="s">
        <v>21</v>
      </c>
      <c r="N1409" s="7">
        <f>COUNTIFS(A:A,A1409,D:D,D1409,E:E,I1409)</f>
        <v>0</v>
      </c>
    </row>
    <row r="1410" spans="1:14" x14ac:dyDescent="0.3">
      <c r="A1410" s="7" t="s">
        <v>22</v>
      </c>
      <c r="B1410" s="7" t="s">
        <v>23</v>
      </c>
      <c r="C1410" s="7" t="s">
        <v>60</v>
      </c>
      <c r="D1410" s="8">
        <v>45537</v>
      </c>
      <c r="E1410" s="8" t="str">
        <f t="shared" ref="E1410:E1473" si="87">TEXT(D1410,"mmmm")</f>
        <v>September</v>
      </c>
      <c r="F1410">
        <f t="shared" ref="F1410:F1473" si="88">YEAR(D1410)</f>
        <v>2024</v>
      </c>
      <c r="G1410">
        <f t="shared" ref="G1410:G1473" si="89">IF(LOWER(K1410)="absent",0,1)</f>
        <v>1</v>
      </c>
      <c r="H1410">
        <f t="shared" ref="H1410:H1473" si="90">IF(K1410="Late",1,0)</f>
        <v>0</v>
      </c>
      <c r="I1410" s="6">
        <v>0.39374999999999999</v>
      </c>
      <c r="J1410" s="6">
        <v>0.7583333333333333</v>
      </c>
      <c r="K1410" s="7" t="s">
        <v>13</v>
      </c>
      <c r="L1410" s="7" t="s">
        <v>14</v>
      </c>
      <c r="M1410" s="7" t="s">
        <v>15</v>
      </c>
      <c r="N1410" s="7">
        <f>COUNTIFS(A:A,A1410,D:D,D1410,E:E,I1410)</f>
        <v>0</v>
      </c>
    </row>
    <row r="1411" spans="1:14" x14ac:dyDescent="0.3">
      <c r="A1411" s="7" t="s">
        <v>72</v>
      </c>
      <c r="B1411" s="7" t="s">
        <v>73</v>
      </c>
      <c r="C1411" s="7" t="s">
        <v>42</v>
      </c>
      <c r="D1411" s="8">
        <v>45379</v>
      </c>
      <c r="E1411" s="8" t="str">
        <f t="shared" si="87"/>
        <v>March</v>
      </c>
      <c r="F1411">
        <f t="shared" si="88"/>
        <v>2024</v>
      </c>
      <c r="G1411">
        <f t="shared" si="89"/>
        <v>1</v>
      </c>
      <c r="H1411">
        <f t="shared" si="90"/>
        <v>0</v>
      </c>
      <c r="I1411" s="6">
        <v>0.41319444444444442</v>
      </c>
      <c r="J1411" s="6">
        <v>0.67569444444444449</v>
      </c>
      <c r="K1411" s="7" t="s">
        <v>20</v>
      </c>
      <c r="L1411" s="7" t="s">
        <v>14</v>
      </c>
      <c r="M1411" s="7" t="s">
        <v>21</v>
      </c>
      <c r="N1411" s="7">
        <f>COUNTIFS(A:A,A1411,D:D,D1411,E:E,I1411)</f>
        <v>0</v>
      </c>
    </row>
    <row r="1412" spans="1:14" x14ac:dyDescent="0.3">
      <c r="A1412" s="7" t="s">
        <v>55</v>
      </c>
      <c r="B1412" s="7" t="s">
        <v>56</v>
      </c>
      <c r="C1412" s="7" t="s">
        <v>425</v>
      </c>
      <c r="D1412" s="8">
        <v>45506</v>
      </c>
      <c r="E1412" s="8" t="str">
        <f t="shared" si="87"/>
        <v>August</v>
      </c>
      <c r="F1412">
        <f t="shared" si="88"/>
        <v>2024</v>
      </c>
      <c r="G1412">
        <f t="shared" si="89"/>
        <v>1</v>
      </c>
      <c r="H1412">
        <f t="shared" si="90"/>
        <v>0</v>
      </c>
      <c r="I1412" s="6">
        <v>0.4597222222222222</v>
      </c>
      <c r="J1412" s="6">
        <v>0.80763888888888891</v>
      </c>
      <c r="K1412" s="7" t="s">
        <v>20</v>
      </c>
      <c r="L1412" s="7" t="s">
        <v>27</v>
      </c>
      <c r="M1412" s="7" t="s">
        <v>15</v>
      </c>
      <c r="N1412" s="7">
        <f>COUNTIFS(A:A,A1412,D:D,D1412,E:E,I1412)</f>
        <v>0</v>
      </c>
    </row>
    <row r="1413" spans="1:14" x14ac:dyDescent="0.3">
      <c r="A1413" s="7" t="s">
        <v>99</v>
      </c>
      <c r="B1413" s="7" t="s">
        <v>100</v>
      </c>
      <c r="C1413" s="7" t="s">
        <v>60</v>
      </c>
      <c r="D1413" s="8">
        <v>45318</v>
      </c>
      <c r="E1413" s="8" t="str">
        <f t="shared" si="87"/>
        <v>January</v>
      </c>
      <c r="F1413">
        <f t="shared" si="88"/>
        <v>2024</v>
      </c>
      <c r="G1413">
        <f t="shared" si="89"/>
        <v>1</v>
      </c>
      <c r="H1413">
        <f t="shared" si="90"/>
        <v>1</v>
      </c>
      <c r="I1413" s="6">
        <v>0.3972222222222222</v>
      </c>
      <c r="J1413" s="6">
        <v>0.7680555555555556</v>
      </c>
      <c r="K1413" s="7" t="s">
        <v>26</v>
      </c>
      <c r="L1413" s="7" t="s">
        <v>27</v>
      </c>
      <c r="M1413" s="7" t="s">
        <v>21</v>
      </c>
      <c r="N1413" s="7">
        <f>COUNTIFS(A:A,A1413,D:D,D1413,E:E,I1413)</f>
        <v>0</v>
      </c>
    </row>
    <row r="1414" spans="1:14" x14ac:dyDescent="0.3">
      <c r="A1414" s="7" t="s">
        <v>31</v>
      </c>
      <c r="B1414" s="7" t="s">
        <v>32</v>
      </c>
      <c r="C1414" s="7" t="s">
        <v>64</v>
      </c>
      <c r="D1414" s="8">
        <v>45322</v>
      </c>
      <c r="E1414" s="8" t="str">
        <f t="shared" si="87"/>
        <v>January</v>
      </c>
      <c r="F1414">
        <f t="shared" si="88"/>
        <v>2024</v>
      </c>
      <c r="G1414">
        <f t="shared" si="89"/>
        <v>1</v>
      </c>
      <c r="H1414">
        <f t="shared" si="90"/>
        <v>0</v>
      </c>
      <c r="I1414" s="6">
        <v>0.37986111111111109</v>
      </c>
      <c r="J1414" s="6">
        <v>0.71180555555555558</v>
      </c>
      <c r="K1414" s="7" t="s">
        <v>20</v>
      </c>
      <c r="L1414" s="7" t="s">
        <v>27</v>
      </c>
      <c r="M1414" s="7" t="s">
        <v>21</v>
      </c>
      <c r="N1414" s="7">
        <f>COUNTIFS(A:A,A1414,D:D,D1414,E:E,I1414)</f>
        <v>0</v>
      </c>
    </row>
    <row r="1415" spans="1:14" x14ac:dyDescent="0.3">
      <c r="A1415" s="7" t="s">
        <v>72</v>
      </c>
      <c r="B1415" s="7" t="s">
        <v>73</v>
      </c>
      <c r="C1415" s="7" t="s">
        <v>64</v>
      </c>
      <c r="D1415" s="8">
        <v>45352</v>
      </c>
      <c r="E1415" s="8" t="str">
        <f t="shared" si="87"/>
        <v>March</v>
      </c>
      <c r="F1415">
        <f t="shared" si="88"/>
        <v>2024</v>
      </c>
      <c r="G1415">
        <f t="shared" si="89"/>
        <v>1</v>
      </c>
      <c r="H1415">
        <f t="shared" si="90"/>
        <v>0</v>
      </c>
      <c r="I1415" s="6">
        <v>0.35902777777777778</v>
      </c>
      <c r="J1415" s="6">
        <v>0.83888888888888891</v>
      </c>
      <c r="K1415" s="7" t="s">
        <v>20</v>
      </c>
      <c r="L1415" s="7" t="s">
        <v>27</v>
      </c>
      <c r="M1415" s="7" t="s">
        <v>15</v>
      </c>
      <c r="N1415" s="7">
        <f>COUNTIFS(A:A,A1415,D:D,D1415,E:E,I1415)</f>
        <v>0</v>
      </c>
    </row>
    <row r="1416" spans="1:14" x14ac:dyDescent="0.3">
      <c r="A1416" s="7" t="s">
        <v>362</v>
      </c>
      <c r="B1416" s="7" t="s">
        <v>363</v>
      </c>
      <c r="C1416" s="7" t="s">
        <v>426</v>
      </c>
      <c r="D1416" s="8">
        <v>45536</v>
      </c>
      <c r="E1416" s="8" t="str">
        <f t="shared" si="87"/>
        <v>September</v>
      </c>
      <c r="F1416">
        <f t="shared" si="88"/>
        <v>2024</v>
      </c>
      <c r="G1416">
        <f t="shared" si="89"/>
        <v>0</v>
      </c>
      <c r="H1416">
        <f t="shared" si="90"/>
        <v>0</v>
      </c>
      <c r="I1416" s="6"/>
      <c r="J1416" s="6"/>
      <c r="K1416" s="7" t="s">
        <v>44</v>
      </c>
      <c r="L1416" s="7" t="s">
        <v>14</v>
      </c>
      <c r="M1416" s="7" t="s">
        <v>15</v>
      </c>
      <c r="N1416" s="7">
        <f>COUNTIFS(A:A,A1416,D:D,D1416,E:E,I1416)</f>
        <v>0</v>
      </c>
    </row>
    <row r="1417" spans="1:14" x14ac:dyDescent="0.3">
      <c r="A1417" s="7" t="s">
        <v>236</v>
      </c>
      <c r="B1417" s="7" t="s">
        <v>237</v>
      </c>
      <c r="C1417" s="7" t="s">
        <v>64</v>
      </c>
      <c r="D1417" s="8">
        <v>45322</v>
      </c>
      <c r="E1417" s="8" t="str">
        <f t="shared" si="87"/>
        <v>January</v>
      </c>
      <c r="F1417">
        <f t="shared" si="88"/>
        <v>2024</v>
      </c>
      <c r="G1417">
        <f t="shared" si="89"/>
        <v>1</v>
      </c>
      <c r="H1417">
        <f t="shared" si="90"/>
        <v>0</v>
      </c>
      <c r="I1417" s="6">
        <v>0.4284722222222222</v>
      </c>
      <c r="J1417" s="6">
        <v>0.83402777777777781</v>
      </c>
      <c r="K1417" s="7" t="s">
        <v>20</v>
      </c>
      <c r="L1417" s="7" t="s">
        <v>14</v>
      </c>
      <c r="M1417" s="7" t="s">
        <v>15</v>
      </c>
      <c r="N1417" s="7">
        <f>COUNTIFS(A:A,A1417,D:D,D1417,E:E,I1417)</f>
        <v>0</v>
      </c>
    </row>
    <row r="1418" spans="1:14" x14ac:dyDescent="0.3">
      <c r="A1418" s="7" t="s">
        <v>58</v>
      </c>
      <c r="B1418" s="7" t="s">
        <v>59</v>
      </c>
      <c r="C1418" s="7" t="s">
        <v>426</v>
      </c>
      <c r="D1418" s="8">
        <v>45312</v>
      </c>
      <c r="E1418" s="8" t="str">
        <f t="shared" si="87"/>
        <v>January</v>
      </c>
      <c r="F1418">
        <f t="shared" si="88"/>
        <v>2024</v>
      </c>
      <c r="G1418">
        <f t="shared" si="89"/>
        <v>1</v>
      </c>
      <c r="H1418">
        <f t="shared" si="90"/>
        <v>0</v>
      </c>
      <c r="I1418" s="6">
        <v>0.44722222222222224</v>
      </c>
      <c r="J1418" s="6">
        <v>0.84097222222222223</v>
      </c>
      <c r="K1418" s="7" t="s">
        <v>13</v>
      </c>
      <c r="L1418" s="7" t="s">
        <v>27</v>
      </c>
      <c r="M1418" s="7" t="s">
        <v>21</v>
      </c>
      <c r="N1418" s="7">
        <f>COUNTIFS(A:A,A1418,D:D,D1418,E:E,I1418)</f>
        <v>0</v>
      </c>
    </row>
    <row r="1419" spans="1:14" x14ac:dyDescent="0.3">
      <c r="A1419" s="7" t="s">
        <v>150</v>
      </c>
      <c r="B1419" s="7" t="s">
        <v>151</v>
      </c>
      <c r="C1419" s="7" t="s">
        <v>42</v>
      </c>
      <c r="D1419" s="8">
        <v>45362</v>
      </c>
      <c r="E1419" s="8" t="str">
        <f t="shared" si="87"/>
        <v>March</v>
      </c>
      <c r="F1419">
        <f t="shared" si="88"/>
        <v>2024</v>
      </c>
      <c r="G1419">
        <f t="shared" si="89"/>
        <v>1</v>
      </c>
      <c r="H1419">
        <f t="shared" si="90"/>
        <v>0</v>
      </c>
      <c r="I1419" s="6">
        <v>0.4284722222222222</v>
      </c>
      <c r="J1419" s="6">
        <v>0.72361111111111109</v>
      </c>
      <c r="K1419" s="7" t="s">
        <v>20</v>
      </c>
      <c r="L1419" s="7" t="s">
        <v>14</v>
      </c>
      <c r="M1419" s="7" t="s">
        <v>15</v>
      </c>
      <c r="N1419" s="7">
        <f>COUNTIFS(A:A,A1419,D:D,D1419,E:E,I1419)</f>
        <v>0</v>
      </c>
    </row>
    <row r="1420" spans="1:14" x14ac:dyDescent="0.3">
      <c r="A1420" s="7" t="s">
        <v>48</v>
      </c>
      <c r="B1420" s="7" t="s">
        <v>49</v>
      </c>
      <c r="C1420" s="7" t="s">
        <v>42</v>
      </c>
      <c r="D1420" s="8">
        <v>45317</v>
      </c>
      <c r="E1420" s="8" t="str">
        <f t="shared" si="87"/>
        <v>January</v>
      </c>
      <c r="F1420">
        <f t="shared" si="88"/>
        <v>2024</v>
      </c>
      <c r="G1420">
        <f t="shared" si="89"/>
        <v>1</v>
      </c>
      <c r="H1420">
        <f t="shared" si="90"/>
        <v>0</v>
      </c>
      <c r="I1420" s="6">
        <v>0.43819444444444444</v>
      </c>
      <c r="J1420" s="6">
        <v>0.83263888888888893</v>
      </c>
      <c r="K1420" s="7" t="s">
        <v>13</v>
      </c>
      <c r="L1420" s="7" t="s">
        <v>14</v>
      </c>
      <c r="M1420" s="7" t="s">
        <v>21</v>
      </c>
      <c r="N1420" s="7">
        <f>COUNTIFS(A:A,A1420,D:D,D1420,E:E,I1420)</f>
        <v>0</v>
      </c>
    </row>
    <row r="1421" spans="1:14" x14ac:dyDescent="0.3">
      <c r="A1421" s="7" t="s">
        <v>40</v>
      </c>
      <c r="B1421" s="7" t="s">
        <v>41</v>
      </c>
      <c r="C1421" s="7" t="s">
        <v>64</v>
      </c>
      <c r="D1421" s="8">
        <v>45293</v>
      </c>
      <c r="E1421" s="8" t="str">
        <f t="shared" si="87"/>
        <v>January</v>
      </c>
      <c r="F1421">
        <f t="shared" si="88"/>
        <v>2024</v>
      </c>
      <c r="G1421">
        <f t="shared" si="89"/>
        <v>0</v>
      </c>
      <c r="H1421">
        <f t="shared" si="90"/>
        <v>0</v>
      </c>
      <c r="I1421" s="6"/>
      <c r="J1421" s="6"/>
      <c r="K1421" s="7" t="s">
        <v>44</v>
      </c>
      <c r="L1421" s="7" t="s">
        <v>27</v>
      </c>
      <c r="M1421" s="7" t="s">
        <v>21</v>
      </c>
      <c r="N1421" s="7">
        <f>COUNTIFS(A:A,A1421,D:D,D1421,E:E,I1421)</f>
        <v>0</v>
      </c>
    </row>
    <row r="1422" spans="1:14" x14ac:dyDescent="0.3">
      <c r="A1422" s="7" t="s">
        <v>81</v>
      </c>
      <c r="B1422" s="7" t="s">
        <v>82</v>
      </c>
      <c r="C1422" s="7" t="s">
        <v>425</v>
      </c>
      <c r="D1422" s="8">
        <v>45306</v>
      </c>
      <c r="E1422" s="8" t="str">
        <f t="shared" si="87"/>
        <v>January</v>
      </c>
      <c r="F1422">
        <f t="shared" si="88"/>
        <v>2024</v>
      </c>
      <c r="G1422">
        <f t="shared" si="89"/>
        <v>1</v>
      </c>
      <c r="H1422">
        <f t="shared" si="90"/>
        <v>0</v>
      </c>
      <c r="I1422" s="6">
        <v>0.33750000000000002</v>
      </c>
      <c r="J1422" s="6">
        <v>0.67777777777777781</v>
      </c>
      <c r="K1422" s="7" t="s">
        <v>20</v>
      </c>
      <c r="L1422" s="7" t="s">
        <v>14</v>
      </c>
      <c r="M1422" s="7" t="s">
        <v>15</v>
      </c>
      <c r="N1422" s="7">
        <f>COUNTIFS(A:A,A1422,D:D,D1422,E:E,I1422)</f>
        <v>0</v>
      </c>
    </row>
    <row r="1423" spans="1:14" x14ac:dyDescent="0.3">
      <c r="A1423" s="7" t="s">
        <v>90</v>
      </c>
      <c r="B1423" s="7" t="s">
        <v>91</v>
      </c>
      <c r="C1423" s="7" t="s">
        <v>64</v>
      </c>
      <c r="D1423" s="8">
        <v>45369</v>
      </c>
      <c r="E1423" s="8" t="str">
        <f t="shared" si="87"/>
        <v>March</v>
      </c>
      <c r="F1423">
        <f t="shared" si="88"/>
        <v>2024</v>
      </c>
      <c r="G1423">
        <f t="shared" si="89"/>
        <v>1</v>
      </c>
      <c r="H1423">
        <f t="shared" si="90"/>
        <v>1</v>
      </c>
      <c r="I1423" s="6">
        <v>0.39652777777777776</v>
      </c>
      <c r="J1423" s="6">
        <v>0.82986111111111116</v>
      </c>
      <c r="K1423" s="7" t="s">
        <v>26</v>
      </c>
      <c r="L1423" s="7" t="s">
        <v>14</v>
      </c>
      <c r="M1423" s="7" t="s">
        <v>21</v>
      </c>
      <c r="N1423" s="7">
        <f>COUNTIFS(A:A,A1423,D:D,D1423,E:E,I1423)</f>
        <v>0</v>
      </c>
    </row>
    <row r="1424" spans="1:14" x14ac:dyDescent="0.3">
      <c r="A1424" s="7" t="s">
        <v>138</v>
      </c>
      <c r="B1424" s="7" t="s">
        <v>139</v>
      </c>
      <c r="C1424" s="7" t="s">
        <v>64</v>
      </c>
      <c r="D1424" s="8">
        <v>45338</v>
      </c>
      <c r="E1424" s="8" t="str">
        <f t="shared" si="87"/>
        <v>February</v>
      </c>
      <c r="F1424">
        <f t="shared" si="88"/>
        <v>2024</v>
      </c>
      <c r="G1424">
        <f t="shared" si="89"/>
        <v>0</v>
      </c>
      <c r="H1424">
        <f t="shared" si="90"/>
        <v>0</v>
      </c>
      <c r="I1424" s="6"/>
      <c r="J1424" s="6"/>
      <c r="K1424" s="7" t="s">
        <v>44</v>
      </c>
      <c r="L1424" s="7" t="s">
        <v>27</v>
      </c>
      <c r="M1424" s="7" t="s">
        <v>21</v>
      </c>
      <c r="N1424" s="7">
        <f>COUNTIFS(A:A,A1424,D:D,D1424,E:E,I1424)</f>
        <v>0</v>
      </c>
    </row>
    <row r="1425" spans="1:14" x14ac:dyDescent="0.3">
      <c r="A1425" s="7" t="s">
        <v>115</v>
      </c>
      <c r="B1425" s="7" t="s">
        <v>116</v>
      </c>
      <c r="C1425" s="7" t="s">
        <v>42</v>
      </c>
      <c r="D1425" s="8">
        <v>45366</v>
      </c>
      <c r="E1425" s="8" t="str">
        <f t="shared" si="87"/>
        <v>March</v>
      </c>
      <c r="F1425">
        <f t="shared" si="88"/>
        <v>2024</v>
      </c>
      <c r="G1425">
        <f t="shared" si="89"/>
        <v>1</v>
      </c>
      <c r="H1425">
        <f t="shared" si="90"/>
        <v>0</v>
      </c>
      <c r="I1425" s="6">
        <v>0.4548611111111111</v>
      </c>
      <c r="J1425" s="6">
        <v>0.76041666666666663</v>
      </c>
      <c r="K1425" s="7" t="s">
        <v>13</v>
      </c>
      <c r="L1425" s="7" t="s">
        <v>27</v>
      </c>
      <c r="M1425" s="7" t="s">
        <v>15</v>
      </c>
      <c r="N1425" s="7">
        <f>COUNTIFS(A:A,A1425,D:D,D1425,E:E,I1425)</f>
        <v>0</v>
      </c>
    </row>
    <row r="1426" spans="1:14" x14ac:dyDescent="0.3">
      <c r="A1426" s="7" t="s">
        <v>191</v>
      </c>
      <c r="B1426" s="7" t="s">
        <v>192</v>
      </c>
      <c r="C1426" s="7" t="s">
        <v>426</v>
      </c>
      <c r="D1426" s="8">
        <v>45306</v>
      </c>
      <c r="E1426" s="8" t="str">
        <f t="shared" si="87"/>
        <v>January</v>
      </c>
      <c r="F1426">
        <f t="shared" si="88"/>
        <v>2024</v>
      </c>
      <c r="G1426">
        <f t="shared" si="89"/>
        <v>1</v>
      </c>
      <c r="H1426">
        <f t="shared" si="90"/>
        <v>0</v>
      </c>
      <c r="I1426" s="6">
        <v>0.36249999999999999</v>
      </c>
      <c r="J1426" s="6">
        <v>0.72361111111111109</v>
      </c>
      <c r="K1426" s="7" t="s">
        <v>20</v>
      </c>
      <c r="L1426" s="7" t="s">
        <v>14</v>
      </c>
      <c r="M1426" s="7" t="s">
        <v>15</v>
      </c>
      <c r="N1426" s="7">
        <f>COUNTIFS(A:A,A1426,D:D,D1426,E:E,I1426)</f>
        <v>0</v>
      </c>
    </row>
    <row r="1427" spans="1:14" x14ac:dyDescent="0.3">
      <c r="A1427" s="7" t="s">
        <v>28</v>
      </c>
      <c r="B1427" s="7" t="s">
        <v>29</v>
      </c>
      <c r="C1427" s="7" t="s">
        <v>64</v>
      </c>
      <c r="D1427" s="8">
        <v>45537</v>
      </c>
      <c r="E1427" s="8" t="str">
        <f t="shared" si="87"/>
        <v>September</v>
      </c>
      <c r="F1427">
        <f t="shared" si="88"/>
        <v>2024</v>
      </c>
      <c r="G1427">
        <f t="shared" si="89"/>
        <v>1</v>
      </c>
      <c r="H1427">
        <f t="shared" si="90"/>
        <v>1</v>
      </c>
      <c r="I1427" s="6">
        <v>0.45694444444444443</v>
      </c>
      <c r="J1427" s="6">
        <v>0.8520833333333333</v>
      </c>
      <c r="K1427" s="7" t="s">
        <v>26</v>
      </c>
      <c r="L1427" s="7" t="s">
        <v>14</v>
      </c>
      <c r="M1427" s="7" t="s">
        <v>15</v>
      </c>
      <c r="N1427" s="7">
        <f>COUNTIFS(A:A,A1427,D:D,D1427,E:E,I1427)</f>
        <v>0</v>
      </c>
    </row>
    <row r="1428" spans="1:14" x14ac:dyDescent="0.3">
      <c r="A1428" s="7" t="s">
        <v>90</v>
      </c>
      <c r="B1428" s="7" t="s">
        <v>91</v>
      </c>
      <c r="C1428" s="7" t="s">
        <v>42</v>
      </c>
      <c r="D1428" s="8">
        <v>45337</v>
      </c>
      <c r="E1428" s="8" t="str">
        <f t="shared" si="87"/>
        <v>February</v>
      </c>
      <c r="F1428">
        <f t="shared" si="88"/>
        <v>2024</v>
      </c>
      <c r="G1428">
        <f t="shared" si="89"/>
        <v>1</v>
      </c>
      <c r="H1428">
        <f t="shared" si="90"/>
        <v>0</v>
      </c>
      <c r="I1428" s="6">
        <v>0.3923611111111111</v>
      </c>
      <c r="J1428" s="6">
        <v>0.82152777777777775</v>
      </c>
      <c r="K1428" s="7" t="s">
        <v>13</v>
      </c>
      <c r="L1428" s="7" t="s">
        <v>14</v>
      </c>
      <c r="M1428" s="7" t="s">
        <v>21</v>
      </c>
      <c r="N1428" s="7">
        <f>COUNTIFS(A:A,A1428,D:D,D1428,E:E,I1428)</f>
        <v>0</v>
      </c>
    </row>
    <row r="1429" spans="1:14" x14ac:dyDescent="0.3">
      <c r="A1429" s="7" t="s">
        <v>171</v>
      </c>
      <c r="B1429" s="7" t="s">
        <v>172</v>
      </c>
      <c r="C1429" s="7" t="s">
        <v>60</v>
      </c>
      <c r="D1429" s="8">
        <v>45345</v>
      </c>
      <c r="E1429" s="8" t="str">
        <f t="shared" si="87"/>
        <v>February</v>
      </c>
      <c r="F1429">
        <f t="shared" si="88"/>
        <v>2024</v>
      </c>
      <c r="G1429">
        <f t="shared" si="89"/>
        <v>1</v>
      </c>
      <c r="H1429">
        <f t="shared" si="90"/>
        <v>1</v>
      </c>
      <c r="I1429" s="6">
        <v>0.49166666666666664</v>
      </c>
      <c r="J1429" s="6">
        <v>0.78055555555555556</v>
      </c>
      <c r="K1429" s="7" t="s">
        <v>26</v>
      </c>
      <c r="L1429" s="7" t="s">
        <v>27</v>
      </c>
      <c r="M1429" s="7" t="s">
        <v>15</v>
      </c>
      <c r="N1429" s="7">
        <f>COUNTIFS(A:A,A1429,D:D,D1429,E:E,I1429)</f>
        <v>0</v>
      </c>
    </row>
    <row r="1430" spans="1:14" x14ac:dyDescent="0.3">
      <c r="A1430" s="7" t="s">
        <v>291</v>
      </c>
      <c r="B1430" s="7" t="s">
        <v>292</v>
      </c>
      <c r="C1430" s="7" t="s">
        <v>60</v>
      </c>
      <c r="D1430" s="8">
        <v>45353</v>
      </c>
      <c r="E1430" s="8" t="str">
        <f t="shared" si="87"/>
        <v>March</v>
      </c>
      <c r="F1430">
        <f t="shared" si="88"/>
        <v>2024</v>
      </c>
      <c r="G1430">
        <f t="shared" si="89"/>
        <v>1</v>
      </c>
      <c r="H1430">
        <f t="shared" si="90"/>
        <v>0</v>
      </c>
      <c r="I1430" s="6">
        <v>0.39166666666666666</v>
      </c>
      <c r="J1430" s="6">
        <v>0.76736111111111116</v>
      </c>
      <c r="K1430" s="7" t="s">
        <v>13</v>
      </c>
      <c r="L1430" s="7" t="s">
        <v>27</v>
      </c>
      <c r="M1430" s="7" t="s">
        <v>15</v>
      </c>
      <c r="N1430" s="7">
        <f>COUNTIFS(A:A,A1430,D:D,D1430,E:E,I1430)</f>
        <v>0</v>
      </c>
    </row>
    <row r="1431" spans="1:14" x14ac:dyDescent="0.3">
      <c r="A1431" s="7" t="s">
        <v>122</v>
      </c>
      <c r="B1431" s="7" t="s">
        <v>123</v>
      </c>
      <c r="C1431" s="7" t="s">
        <v>64</v>
      </c>
      <c r="D1431" s="8">
        <v>45299</v>
      </c>
      <c r="E1431" s="8" t="str">
        <f t="shared" si="87"/>
        <v>January</v>
      </c>
      <c r="F1431">
        <f t="shared" si="88"/>
        <v>2024</v>
      </c>
      <c r="G1431">
        <f t="shared" si="89"/>
        <v>1</v>
      </c>
      <c r="H1431">
        <f t="shared" si="90"/>
        <v>0</v>
      </c>
      <c r="I1431" s="6">
        <v>0.34513888888888888</v>
      </c>
      <c r="J1431" s="6">
        <v>0.67152777777777772</v>
      </c>
      <c r="K1431" s="7" t="s">
        <v>13</v>
      </c>
      <c r="L1431" s="7" t="s">
        <v>14</v>
      </c>
      <c r="M1431" s="7" t="s">
        <v>21</v>
      </c>
      <c r="N1431" s="7">
        <f>COUNTIFS(A:A,A1431,D:D,D1431,E:E,I1431)</f>
        <v>0</v>
      </c>
    </row>
    <row r="1432" spans="1:14" x14ac:dyDescent="0.3">
      <c r="A1432" s="7" t="s">
        <v>119</v>
      </c>
      <c r="B1432" s="7" t="s">
        <v>120</v>
      </c>
      <c r="C1432" s="7" t="s">
        <v>64</v>
      </c>
      <c r="D1432" s="8">
        <v>45317</v>
      </c>
      <c r="E1432" s="8" t="str">
        <f t="shared" si="87"/>
        <v>January</v>
      </c>
      <c r="F1432">
        <f t="shared" si="88"/>
        <v>2024</v>
      </c>
      <c r="G1432">
        <f t="shared" si="89"/>
        <v>0</v>
      </c>
      <c r="H1432">
        <f t="shared" si="90"/>
        <v>0</v>
      </c>
      <c r="I1432" s="6"/>
      <c r="J1432" s="6"/>
      <c r="K1432" s="7" t="s">
        <v>44</v>
      </c>
      <c r="L1432" s="7" t="s">
        <v>14</v>
      </c>
      <c r="M1432" s="7" t="s">
        <v>15</v>
      </c>
      <c r="N1432" s="7">
        <f>COUNTIFS(A:A,A1432,D:D,D1432,E:E,I1432)</f>
        <v>0</v>
      </c>
    </row>
    <row r="1433" spans="1:14" x14ac:dyDescent="0.3">
      <c r="A1433" s="7" t="s">
        <v>246</v>
      </c>
      <c r="B1433" s="7" t="s">
        <v>247</v>
      </c>
      <c r="C1433" s="7" t="s">
        <v>42</v>
      </c>
      <c r="D1433" s="8">
        <v>45342</v>
      </c>
      <c r="E1433" s="8" t="str">
        <f t="shared" si="87"/>
        <v>February</v>
      </c>
      <c r="F1433">
        <f t="shared" si="88"/>
        <v>2024</v>
      </c>
      <c r="G1433">
        <f t="shared" si="89"/>
        <v>0</v>
      </c>
      <c r="H1433">
        <f t="shared" si="90"/>
        <v>0</v>
      </c>
      <c r="I1433" s="6"/>
      <c r="J1433" s="6"/>
      <c r="K1433" s="7" t="s">
        <v>44</v>
      </c>
      <c r="L1433" s="7" t="s">
        <v>14</v>
      </c>
      <c r="M1433" s="7" t="s">
        <v>15</v>
      </c>
      <c r="N1433" s="7">
        <f>COUNTIFS(A:A,A1433,D:D,D1433,E:E,I1433)</f>
        <v>0</v>
      </c>
    </row>
    <row r="1434" spans="1:14" x14ac:dyDescent="0.3">
      <c r="A1434" s="7" t="s">
        <v>250</v>
      </c>
      <c r="B1434" s="7" t="s">
        <v>251</v>
      </c>
      <c r="C1434" s="7" t="s">
        <v>64</v>
      </c>
      <c r="D1434" s="8">
        <v>45474</v>
      </c>
      <c r="E1434" s="8" t="str">
        <f t="shared" si="87"/>
        <v>July</v>
      </c>
      <c r="F1434">
        <f t="shared" si="88"/>
        <v>2024</v>
      </c>
      <c r="G1434">
        <f t="shared" si="89"/>
        <v>1</v>
      </c>
      <c r="H1434">
        <f t="shared" si="90"/>
        <v>0</v>
      </c>
      <c r="I1434" s="6">
        <v>0.47013888888888888</v>
      </c>
      <c r="J1434" s="6">
        <v>0.75416666666666665</v>
      </c>
      <c r="K1434" s="7" t="s">
        <v>13</v>
      </c>
      <c r="L1434" s="7" t="s">
        <v>14</v>
      </c>
      <c r="M1434" s="7" t="s">
        <v>15</v>
      </c>
      <c r="N1434" s="7">
        <f>COUNTIFS(A:A,A1434,D:D,D1434,E:E,I1434)</f>
        <v>0</v>
      </c>
    </row>
    <row r="1435" spans="1:14" x14ac:dyDescent="0.3">
      <c r="A1435" s="7" t="s">
        <v>96</v>
      </c>
      <c r="B1435" s="7" t="s">
        <v>97</v>
      </c>
      <c r="C1435" s="7" t="s">
        <v>426</v>
      </c>
      <c r="D1435" s="8">
        <v>45306</v>
      </c>
      <c r="E1435" s="8" t="str">
        <f t="shared" si="87"/>
        <v>January</v>
      </c>
      <c r="F1435">
        <f t="shared" si="88"/>
        <v>2024</v>
      </c>
      <c r="G1435">
        <f t="shared" si="89"/>
        <v>1</v>
      </c>
      <c r="H1435">
        <f t="shared" si="90"/>
        <v>0</v>
      </c>
      <c r="I1435" s="6">
        <v>0.35347222222222224</v>
      </c>
      <c r="J1435" s="6">
        <v>0.69722222222222219</v>
      </c>
      <c r="K1435" s="7" t="s">
        <v>20</v>
      </c>
      <c r="L1435" s="7" t="s">
        <v>27</v>
      </c>
      <c r="M1435" s="7" t="s">
        <v>21</v>
      </c>
      <c r="N1435" s="7">
        <f>COUNTIFS(A:A,A1435,D:D,D1435,E:E,I1435)</f>
        <v>0</v>
      </c>
    </row>
    <row r="1436" spans="1:14" x14ac:dyDescent="0.3">
      <c r="A1436" s="7" t="s">
        <v>165</v>
      </c>
      <c r="B1436" s="7" t="s">
        <v>166</v>
      </c>
      <c r="C1436" s="7" t="s">
        <v>60</v>
      </c>
      <c r="D1436" s="8">
        <v>45308</v>
      </c>
      <c r="E1436" s="8" t="str">
        <f t="shared" si="87"/>
        <v>January</v>
      </c>
      <c r="F1436">
        <f t="shared" si="88"/>
        <v>2024</v>
      </c>
      <c r="G1436">
        <f t="shared" si="89"/>
        <v>1</v>
      </c>
      <c r="H1436">
        <f t="shared" si="90"/>
        <v>1</v>
      </c>
      <c r="I1436" s="6">
        <v>0.4375</v>
      </c>
      <c r="J1436" s="6">
        <v>0.84583333333333333</v>
      </c>
      <c r="K1436" s="7" t="s">
        <v>26</v>
      </c>
      <c r="L1436" s="7" t="s">
        <v>14</v>
      </c>
      <c r="M1436" s="7" t="s">
        <v>15</v>
      </c>
      <c r="N1436" s="7">
        <f>COUNTIFS(A:A,A1436,D:D,D1436,E:E,I1436)</f>
        <v>0</v>
      </c>
    </row>
    <row r="1437" spans="1:14" x14ac:dyDescent="0.3">
      <c r="A1437" s="7" t="s">
        <v>102</v>
      </c>
      <c r="B1437" s="7" t="s">
        <v>103</v>
      </c>
      <c r="C1437" s="7" t="s">
        <v>60</v>
      </c>
      <c r="D1437" s="8">
        <v>45307</v>
      </c>
      <c r="E1437" s="8" t="str">
        <f t="shared" si="87"/>
        <v>January</v>
      </c>
      <c r="F1437">
        <f t="shared" si="88"/>
        <v>2024</v>
      </c>
      <c r="G1437">
        <f t="shared" si="89"/>
        <v>0</v>
      </c>
      <c r="H1437">
        <f t="shared" si="90"/>
        <v>0</v>
      </c>
      <c r="I1437" s="6"/>
      <c r="J1437" s="6"/>
      <c r="K1437" s="7" t="s">
        <v>44</v>
      </c>
      <c r="L1437" s="7" t="s">
        <v>27</v>
      </c>
      <c r="M1437" s="7" t="s">
        <v>21</v>
      </c>
      <c r="N1437" s="7">
        <f>COUNTIFS(A:A,A1437,D:D,D1437,E:E,I1437)</f>
        <v>0</v>
      </c>
    </row>
    <row r="1438" spans="1:14" x14ac:dyDescent="0.3">
      <c r="A1438" s="7" t="s">
        <v>96</v>
      </c>
      <c r="B1438" s="7" t="s">
        <v>97</v>
      </c>
      <c r="C1438" s="7" t="s">
        <v>64</v>
      </c>
      <c r="D1438" s="8">
        <v>45362</v>
      </c>
      <c r="E1438" s="8" t="str">
        <f t="shared" si="87"/>
        <v>March</v>
      </c>
      <c r="F1438">
        <f t="shared" si="88"/>
        <v>2024</v>
      </c>
      <c r="G1438">
        <f t="shared" si="89"/>
        <v>1</v>
      </c>
      <c r="H1438">
        <f t="shared" si="90"/>
        <v>1</v>
      </c>
      <c r="I1438" s="6">
        <v>0.40833333333333333</v>
      </c>
      <c r="J1438" s="6">
        <v>0.78541666666666665</v>
      </c>
      <c r="K1438" s="7" t="s">
        <v>26</v>
      </c>
      <c r="L1438" s="7" t="s">
        <v>14</v>
      </c>
      <c r="M1438" s="7" t="s">
        <v>15</v>
      </c>
      <c r="N1438" s="7">
        <f>COUNTIFS(A:A,A1438,D:D,D1438,E:E,I1438)</f>
        <v>0</v>
      </c>
    </row>
    <row r="1439" spans="1:14" x14ac:dyDescent="0.3">
      <c r="A1439" s="7" t="s">
        <v>40</v>
      </c>
      <c r="B1439" s="7" t="s">
        <v>41</v>
      </c>
      <c r="C1439" s="7" t="s">
        <v>426</v>
      </c>
      <c r="D1439" s="8">
        <v>45372</v>
      </c>
      <c r="E1439" s="8" t="str">
        <f t="shared" si="87"/>
        <v>March</v>
      </c>
      <c r="F1439">
        <f t="shared" si="88"/>
        <v>2024</v>
      </c>
      <c r="G1439">
        <f t="shared" si="89"/>
        <v>1</v>
      </c>
      <c r="H1439">
        <f t="shared" si="90"/>
        <v>1</v>
      </c>
      <c r="I1439" s="6">
        <v>0.35833333333333334</v>
      </c>
      <c r="J1439" s="6">
        <v>0.8041666666666667</v>
      </c>
      <c r="K1439" s="7" t="s">
        <v>26</v>
      </c>
      <c r="L1439" s="7" t="s">
        <v>14</v>
      </c>
      <c r="M1439" s="7" t="s">
        <v>21</v>
      </c>
      <c r="N1439" s="7">
        <f>COUNTIFS(A:A,A1439,D:D,D1439,E:E,I1439)</f>
        <v>0</v>
      </c>
    </row>
    <row r="1440" spans="1:14" x14ac:dyDescent="0.3">
      <c r="A1440" s="7" t="s">
        <v>75</v>
      </c>
      <c r="B1440" s="7" t="s">
        <v>76</v>
      </c>
      <c r="C1440" s="7" t="s">
        <v>60</v>
      </c>
      <c r="D1440" s="8">
        <v>45317</v>
      </c>
      <c r="E1440" s="8" t="str">
        <f t="shared" si="87"/>
        <v>January</v>
      </c>
      <c r="F1440">
        <f t="shared" si="88"/>
        <v>2024</v>
      </c>
      <c r="G1440">
        <f t="shared" si="89"/>
        <v>0</v>
      </c>
      <c r="H1440">
        <f t="shared" si="90"/>
        <v>0</v>
      </c>
      <c r="I1440" s="6"/>
      <c r="J1440" s="6"/>
      <c r="K1440" s="7" t="s">
        <v>44</v>
      </c>
      <c r="L1440" s="7" t="s">
        <v>14</v>
      </c>
      <c r="M1440" s="7" t="s">
        <v>15</v>
      </c>
      <c r="N1440" s="7">
        <f>COUNTIFS(A:A,A1440,D:D,D1440,E:E,I1440)</f>
        <v>0</v>
      </c>
    </row>
    <row r="1441" spans="1:14" x14ac:dyDescent="0.3">
      <c r="A1441" s="7" t="s">
        <v>58</v>
      </c>
      <c r="B1441" s="7" t="s">
        <v>59</v>
      </c>
      <c r="C1441" s="7" t="s">
        <v>42</v>
      </c>
      <c r="D1441" s="8">
        <v>45305</v>
      </c>
      <c r="E1441" s="8" t="str">
        <f t="shared" si="87"/>
        <v>January</v>
      </c>
      <c r="F1441">
        <f t="shared" si="88"/>
        <v>2024</v>
      </c>
      <c r="G1441">
        <f t="shared" si="89"/>
        <v>1</v>
      </c>
      <c r="H1441">
        <f t="shared" si="90"/>
        <v>0</v>
      </c>
      <c r="I1441" s="6">
        <v>0.38124999999999998</v>
      </c>
      <c r="J1441" s="6">
        <v>0.68541666666666667</v>
      </c>
      <c r="K1441" s="7" t="s">
        <v>20</v>
      </c>
      <c r="L1441" s="7" t="s">
        <v>27</v>
      </c>
      <c r="M1441" s="7" t="s">
        <v>15</v>
      </c>
      <c r="N1441" s="7">
        <f>COUNTIFS(A:A,A1441,D:D,D1441,E:E,I1441)</f>
        <v>0</v>
      </c>
    </row>
    <row r="1442" spans="1:14" x14ac:dyDescent="0.3">
      <c r="A1442" s="7" t="s">
        <v>191</v>
      </c>
      <c r="B1442" s="7" t="s">
        <v>192</v>
      </c>
      <c r="C1442" s="7" t="s">
        <v>60</v>
      </c>
      <c r="D1442" s="8">
        <v>45298</v>
      </c>
      <c r="E1442" s="8" t="str">
        <f t="shared" si="87"/>
        <v>January</v>
      </c>
      <c r="F1442">
        <f t="shared" si="88"/>
        <v>2024</v>
      </c>
      <c r="G1442">
        <f t="shared" si="89"/>
        <v>1</v>
      </c>
      <c r="H1442">
        <f t="shared" si="90"/>
        <v>0</v>
      </c>
      <c r="I1442" s="6">
        <v>0.43194444444444446</v>
      </c>
      <c r="J1442" s="6">
        <v>0.70694444444444449</v>
      </c>
      <c r="K1442" s="7" t="s">
        <v>20</v>
      </c>
      <c r="L1442" s="7" t="s">
        <v>14</v>
      </c>
      <c r="M1442" s="7" t="s">
        <v>15</v>
      </c>
      <c r="N1442" s="7">
        <f>COUNTIFS(A:A,A1442,D:D,D1442,E:E,I1442)</f>
        <v>0</v>
      </c>
    </row>
    <row r="1443" spans="1:14" x14ac:dyDescent="0.3">
      <c r="A1443" s="7" t="s">
        <v>269</v>
      </c>
      <c r="B1443" s="7" t="s">
        <v>270</v>
      </c>
      <c r="C1443" s="7" t="s">
        <v>60</v>
      </c>
      <c r="D1443" s="8">
        <v>45360</v>
      </c>
      <c r="E1443" s="8" t="str">
        <f t="shared" si="87"/>
        <v>March</v>
      </c>
      <c r="F1443">
        <f t="shared" si="88"/>
        <v>2024</v>
      </c>
      <c r="G1443">
        <f t="shared" si="89"/>
        <v>1</v>
      </c>
      <c r="H1443">
        <f t="shared" si="90"/>
        <v>0</v>
      </c>
      <c r="I1443" s="6">
        <v>0.41041666666666665</v>
      </c>
      <c r="J1443" s="6">
        <v>0.67708333333333337</v>
      </c>
      <c r="K1443" s="7" t="s">
        <v>20</v>
      </c>
      <c r="L1443" s="7" t="s">
        <v>14</v>
      </c>
      <c r="M1443" s="7" t="s">
        <v>21</v>
      </c>
      <c r="N1443" s="7">
        <f>COUNTIFS(A:A,A1443,D:D,D1443,E:E,I1443)</f>
        <v>0</v>
      </c>
    </row>
    <row r="1444" spans="1:14" x14ac:dyDescent="0.3">
      <c r="A1444" s="7" t="s">
        <v>291</v>
      </c>
      <c r="B1444" s="7" t="s">
        <v>292</v>
      </c>
      <c r="C1444" s="7" t="s">
        <v>42</v>
      </c>
      <c r="D1444" s="8">
        <v>45629</v>
      </c>
      <c r="E1444" s="8" t="str">
        <f t="shared" si="87"/>
        <v>December</v>
      </c>
      <c r="F1444">
        <f t="shared" si="88"/>
        <v>2024</v>
      </c>
      <c r="G1444">
        <f t="shared" si="89"/>
        <v>1</v>
      </c>
      <c r="H1444">
        <f t="shared" si="90"/>
        <v>0</v>
      </c>
      <c r="I1444" s="6">
        <v>0.34791666666666665</v>
      </c>
      <c r="J1444" s="6">
        <v>0.7416666666666667</v>
      </c>
      <c r="K1444" s="7" t="s">
        <v>20</v>
      </c>
      <c r="L1444" s="7" t="s">
        <v>14</v>
      </c>
      <c r="M1444" s="7" t="s">
        <v>21</v>
      </c>
      <c r="N1444" s="7">
        <f>COUNTIFS(A:A,A1444,D:D,D1444,E:E,I1444)</f>
        <v>0</v>
      </c>
    </row>
    <row r="1445" spans="1:14" x14ac:dyDescent="0.3">
      <c r="A1445" s="7" t="s">
        <v>134</v>
      </c>
      <c r="B1445" s="7" t="s">
        <v>135</v>
      </c>
      <c r="C1445" s="7" t="s">
        <v>64</v>
      </c>
      <c r="D1445" s="8">
        <v>45353</v>
      </c>
      <c r="E1445" s="8" t="str">
        <f t="shared" si="87"/>
        <v>March</v>
      </c>
      <c r="F1445">
        <f t="shared" si="88"/>
        <v>2024</v>
      </c>
      <c r="G1445">
        <f t="shared" si="89"/>
        <v>1</v>
      </c>
      <c r="H1445">
        <f t="shared" si="90"/>
        <v>0</v>
      </c>
      <c r="I1445" s="6">
        <v>0.40277777777777779</v>
      </c>
      <c r="J1445" s="6">
        <v>0.71736111111111112</v>
      </c>
      <c r="K1445" s="7" t="s">
        <v>13</v>
      </c>
      <c r="L1445" s="7" t="s">
        <v>14</v>
      </c>
      <c r="M1445" s="7" t="s">
        <v>15</v>
      </c>
      <c r="N1445" s="7">
        <f>COUNTIFS(A:A,A1445,D:D,D1445,E:E,I1445)</f>
        <v>0</v>
      </c>
    </row>
    <row r="1446" spans="1:14" x14ac:dyDescent="0.3">
      <c r="A1446" s="7" t="s">
        <v>165</v>
      </c>
      <c r="B1446" s="7" t="s">
        <v>166</v>
      </c>
      <c r="C1446" s="7" t="s">
        <v>42</v>
      </c>
      <c r="D1446" s="8">
        <v>45348</v>
      </c>
      <c r="E1446" s="8" t="str">
        <f t="shared" si="87"/>
        <v>February</v>
      </c>
      <c r="F1446">
        <f t="shared" si="88"/>
        <v>2024</v>
      </c>
      <c r="G1446">
        <f t="shared" si="89"/>
        <v>1</v>
      </c>
      <c r="H1446">
        <f t="shared" si="90"/>
        <v>1</v>
      </c>
      <c r="I1446" s="6">
        <v>0.35208333333333336</v>
      </c>
      <c r="J1446" s="6">
        <v>0.6694444444444444</v>
      </c>
      <c r="K1446" s="7" t="s">
        <v>26</v>
      </c>
      <c r="L1446" s="7" t="s">
        <v>27</v>
      </c>
      <c r="M1446" s="7" t="s">
        <v>15</v>
      </c>
      <c r="N1446" s="7">
        <f>COUNTIFS(A:A,A1446,D:D,D1446,E:E,I1446)</f>
        <v>0</v>
      </c>
    </row>
    <row r="1447" spans="1:14" x14ac:dyDescent="0.3">
      <c r="A1447" s="7" t="s">
        <v>69</v>
      </c>
      <c r="B1447" s="7" t="s">
        <v>70</v>
      </c>
      <c r="C1447" s="7" t="s">
        <v>426</v>
      </c>
      <c r="D1447" s="8">
        <v>45446</v>
      </c>
      <c r="E1447" s="8" t="str">
        <f t="shared" si="87"/>
        <v>June</v>
      </c>
      <c r="F1447">
        <f t="shared" si="88"/>
        <v>2024</v>
      </c>
      <c r="G1447">
        <f t="shared" si="89"/>
        <v>0</v>
      </c>
      <c r="H1447">
        <f t="shared" si="90"/>
        <v>0</v>
      </c>
      <c r="I1447" s="6"/>
      <c r="J1447" s="6"/>
      <c r="K1447" s="7" t="s">
        <v>44</v>
      </c>
      <c r="L1447" s="7" t="s">
        <v>27</v>
      </c>
      <c r="M1447" s="7" t="s">
        <v>15</v>
      </c>
      <c r="N1447" s="7">
        <f>COUNTIFS(A:A,A1447,D:D,D1447,E:E,I1447)</f>
        <v>0</v>
      </c>
    </row>
    <row r="1448" spans="1:14" x14ac:dyDescent="0.3">
      <c r="A1448" s="7" t="s">
        <v>62</v>
      </c>
      <c r="B1448" s="7" t="s">
        <v>63</v>
      </c>
      <c r="C1448" s="7" t="s">
        <v>60</v>
      </c>
      <c r="D1448" s="8">
        <v>45308</v>
      </c>
      <c r="E1448" s="8" t="str">
        <f t="shared" si="87"/>
        <v>January</v>
      </c>
      <c r="F1448">
        <f t="shared" si="88"/>
        <v>2024</v>
      </c>
      <c r="G1448">
        <f t="shared" si="89"/>
        <v>0</v>
      </c>
      <c r="H1448">
        <f t="shared" si="90"/>
        <v>0</v>
      </c>
      <c r="I1448" s="6"/>
      <c r="J1448" s="6"/>
      <c r="K1448" s="7" t="s">
        <v>44</v>
      </c>
      <c r="L1448" s="7" t="s">
        <v>14</v>
      </c>
      <c r="M1448" s="7" t="s">
        <v>15</v>
      </c>
      <c r="N1448" s="7">
        <f>COUNTIFS(A:A,A1448,D:D,D1448,E:E,I1448)</f>
        <v>0</v>
      </c>
    </row>
    <row r="1449" spans="1:14" x14ac:dyDescent="0.3">
      <c r="A1449" s="7" t="s">
        <v>200</v>
      </c>
      <c r="B1449" s="7" t="s">
        <v>201</v>
      </c>
      <c r="C1449" s="7" t="s">
        <v>426</v>
      </c>
      <c r="D1449" s="8">
        <v>45311</v>
      </c>
      <c r="E1449" s="8" t="str">
        <f t="shared" si="87"/>
        <v>January</v>
      </c>
      <c r="F1449">
        <f t="shared" si="88"/>
        <v>2024</v>
      </c>
      <c r="G1449">
        <f t="shared" si="89"/>
        <v>1</v>
      </c>
      <c r="H1449">
        <f t="shared" si="90"/>
        <v>0</v>
      </c>
      <c r="I1449" s="6">
        <v>0.3527777777777778</v>
      </c>
      <c r="J1449" s="6">
        <v>0.82430555555555551</v>
      </c>
      <c r="K1449" s="7" t="s">
        <v>13</v>
      </c>
      <c r="L1449" s="7" t="s">
        <v>27</v>
      </c>
      <c r="M1449" s="7" t="s">
        <v>15</v>
      </c>
      <c r="N1449" s="7">
        <f>COUNTIFS(A:A,A1449,D:D,D1449,E:E,I1449)</f>
        <v>0</v>
      </c>
    </row>
    <row r="1450" spans="1:14" x14ac:dyDescent="0.3">
      <c r="A1450" s="7" t="s">
        <v>269</v>
      </c>
      <c r="B1450" s="7" t="s">
        <v>270</v>
      </c>
      <c r="C1450" s="7" t="s">
        <v>60</v>
      </c>
      <c r="D1450" s="8">
        <v>45304</v>
      </c>
      <c r="E1450" s="8" t="str">
        <f t="shared" si="87"/>
        <v>January</v>
      </c>
      <c r="F1450">
        <f t="shared" si="88"/>
        <v>2024</v>
      </c>
      <c r="G1450">
        <f t="shared" si="89"/>
        <v>1</v>
      </c>
      <c r="H1450">
        <f t="shared" si="90"/>
        <v>1</v>
      </c>
      <c r="I1450" s="6">
        <v>0.4465277777777778</v>
      </c>
      <c r="J1450" s="6">
        <v>0.77430555555555558</v>
      </c>
      <c r="K1450" s="7" t="s">
        <v>26</v>
      </c>
      <c r="L1450" s="7" t="s">
        <v>27</v>
      </c>
      <c r="M1450" s="7" t="s">
        <v>15</v>
      </c>
      <c r="N1450" s="7">
        <f>COUNTIFS(A:A,A1450,D:D,D1450,E:E,I1450)</f>
        <v>0</v>
      </c>
    </row>
    <row r="1451" spans="1:14" x14ac:dyDescent="0.3">
      <c r="A1451" s="7" t="s">
        <v>72</v>
      </c>
      <c r="B1451" s="7" t="s">
        <v>73</v>
      </c>
      <c r="C1451" s="7" t="s">
        <v>60</v>
      </c>
      <c r="D1451" s="8">
        <v>45566</v>
      </c>
      <c r="E1451" s="8" t="str">
        <f t="shared" si="87"/>
        <v>October</v>
      </c>
      <c r="F1451">
        <f t="shared" si="88"/>
        <v>2024</v>
      </c>
      <c r="G1451">
        <f t="shared" si="89"/>
        <v>0</v>
      </c>
      <c r="H1451">
        <f t="shared" si="90"/>
        <v>0</v>
      </c>
      <c r="I1451" s="6"/>
      <c r="J1451" s="6"/>
      <c r="K1451" s="7" t="s">
        <v>44</v>
      </c>
      <c r="L1451" s="7" t="s">
        <v>27</v>
      </c>
      <c r="M1451" s="7" t="s">
        <v>21</v>
      </c>
      <c r="N1451" s="7">
        <f>COUNTIFS(A:A,A1451,D:D,D1451,E:E,I1451)</f>
        <v>0</v>
      </c>
    </row>
    <row r="1452" spans="1:14" x14ac:dyDescent="0.3">
      <c r="A1452" s="7" t="s">
        <v>197</v>
      </c>
      <c r="B1452" s="7" t="s">
        <v>198</v>
      </c>
      <c r="C1452" s="7" t="s">
        <v>64</v>
      </c>
      <c r="D1452" s="8">
        <v>45306</v>
      </c>
      <c r="E1452" s="8" t="str">
        <f t="shared" si="87"/>
        <v>January</v>
      </c>
      <c r="F1452">
        <f t="shared" si="88"/>
        <v>2024</v>
      </c>
      <c r="G1452">
        <f t="shared" si="89"/>
        <v>1</v>
      </c>
      <c r="H1452">
        <f t="shared" si="90"/>
        <v>0</v>
      </c>
      <c r="I1452" s="6">
        <v>0.41666666666666669</v>
      </c>
      <c r="J1452" s="6">
        <v>0.69097222222222221</v>
      </c>
      <c r="K1452" s="7" t="s">
        <v>13</v>
      </c>
      <c r="L1452" s="7" t="s">
        <v>14</v>
      </c>
      <c r="M1452" s="7" t="s">
        <v>21</v>
      </c>
      <c r="N1452" s="7">
        <f>COUNTIFS(A:A,A1452,D:D,D1452,E:E,I1452)</f>
        <v>0</v>
      </c>
    </row>
    <row r="1453" spans="1:14" x14ac:dyDescent="0.3">
      <c r="A1453" s="7" t="s">
        <v>200</v>
      </c>
      <c r="B1453" s="7" t="s">
        <v>201</v>
      </c>
      <c r="C1453" s="7" t="s">
        <v>60</v>
      </c>
      <c r="D1453" s="8">
        <v>45371</v>
      </c>
      <c r="E1453" s="8" t="str">
        <f t="shared" si="87"/>
        <v>March</v>
      </c>
      <c r="F1453">
        <f t="shared" si="88"/>
        <v>2024</v>
      </c>
      <c r="G1453">
        <f t="shared" si="89"/>
        <v>1</v>
      </c>
      <c r="H1453">
        <f t="shared" si="90"/>
        <v>0</v>
      </c>
      <c r="I1453" s="6">
        <v>0.49513888888888891</v>
      </c>
      <c r="J1453" s="6">
        <v>0.67847222222222225</v>
      </c>
      <c r="K1453" s="7" t="s">
        <v>20</v>
      </c>
      <c r="L1453" s="7" t="s">
        <v>27</v>
      </c>
      <c r="M1453" s="7" t="s">
        <v>15</v>
      </c>
      <c r="N1453" s="7">
        <f>COUNTIFS(A:A,A1453,D:D,D1453,E:E,I1453)</f>
        <v>0</v>
      </c>
    </row>
    <row r="1454" spans="1:14" x14ac:dyDescent="0.3">
      <c r="A1454" s="7" t="s">
        <v>315</v>
      </c>
      <c r="B1454" s="7" t="s">
        <v>316</v>
      </c>
      <c r="C1454" s="7" t="s">
        <v>42</v>
      </c>
      <c r="D1454" s="8">
        <v>45295</v>
      </c>
      <c r="E1454" s="8" t="str">
        <f t="shared" si="87"/>
        <v>January</v>
      </c>
      <c r="F1454">
        <f t="shared" si="88"/>
        <v>2024</v>
      </c>
      <c r="G1454">
        <f t="shared" si="89"/>
        <v>1</v>
      </c>
      <c r="H1454">
        <f t="shared" si="90"/>
        <v>0</v>
      </c>
      <c r="I1454" s="6">
        <v>0.3611111111111111</v>
      </c>
      <c r="J1454" s="6">
        <v>0.73819444444444449</v>
      </c>
      <c r="K1454" s="7" t="s">
        <v>13</v>
      </c>
      <c r="L1454" s="7" t="s">
        <v>14</v>
      </c>
      <c r="M1454" s="7" t="s">
        <v>21</v>
      </c>
      <c r="N1454" s="7">
        <f>COUNTIFS(A:A,A1454,D:D,D1454,E:E,I1454)</f>
        <v>0</v>
      </c>
    </row>
    <row r="1455" spans="1:14" x14ac:dyDescent="0.3">
      <c r="A1455" s="7" t="s">
        <v>175</v>
      </c>
      <c r="B1455" s="7" t="s">
        <v>176</v>
      </c>
      <c r="C1455" s="7" t="s">
        <v>42</v>
      </c>
      <c r="D1455" s="8">
        <v>45306</v>
      </c>
      <c r="E1455" s="8" t="str">
        <f t="shared" si="87"/>
        <v>January</v>
      </c>
      <c r="F1455">
        <f t="shared" si="88"/>
        <v>2024</v>
      </c>
      <c r="G1455">
        <f t="shared" si="89"/>
        <v>1</v>
      </c>
      <c r="H1455">
        <f t="shared" si="90"/>
        <v>0</v>
      </c>
      <c r="I1455" s="6">
        <v>0.43055555555555558</v>
      </c>
      <c r="J1455" s="6">
        <v>0.82430555555555551</v>
      </c>
      <c r="K1455" s="7" t="s">
        <v>20</v>
      </c>
      <c r="L1455" s="7" t="s">
        <v>14</v>
      </c>
      <c r="M1455" s="7" t="s">
        <v>15</v>
      </c>
      <c r="N1455" s="7">
        <f>COUNTIFS(A:A,A1455,D:D,D1455,E:E,I1455)</f>
        <v>0</v>
      </c>
    </row>
    <row r="1456" spans="1:14" x14ac:dyDescent="0.3">
      <c r="A1456" s="7" t="s">
        <v>122</v>
      </c>
      <c r="B1456" s="7" t="s">
        <v>123</v>
      </c>
      <c r="C1456" s="7" t="s">
        <v>64</v>
      </c>
      <c r="D1456" s="8">
        <v>45342</v>
      </c>
      <c r="E1456" s="8" t="str">
        <f t="shared" si="87"/>
        <v>February</v>
      </c>
      <c r="F1456">
        <f t="shared" si="88"/>
        <v>2024</v>
      </c>
      <c r="G1456">
        <f t="shared" si="89"/>
        <v>1</v>
      </c>
      <c r="H1456">
        <f t="shared" si="90"/>
        <v>1</v>
      </c>
      <c r="I1456" s="6">
        <v>0.41041666666666665</v>
      </c>
      <c r="J1456" s="6">
        <v>0.70972222222222225</v>
      </c>
      <c r="K1456" s="7" t="s">
        <v>26</v>
      </c>
      <c r="L1456" s="7" t="s">
        <v>27</v>
      </c>
      <c r="M1456" s="7" t="s">
        <v>21</v>
      </c>
      <c r="N1456" s="7">
        <f>COUNTIFS(A:A,A1456,D:D,D1456,E:E,I1456)</f>
        <v>0</v>
      </c>
    </row>
    <row r="1457" spans="1:14" x14ac:dyDescent="0.3">
      <c r="A1457" s="7" t="s">
        <v>78</v>
      </c>
      <c r="B1457" s="7" t="s">
        <v>79</v>
      </c>
      <c r="C1457" s="7" t="s">
        <v>64</v>
      </c>
      <c r="D1457" s="8">
        <v>45341</v>
      </c>
      <c r="E1457" s="8" t="str">
        <f t="shared" si="87"/>
        <v>February</v>
      </c>
      <c r="F1457">
        <f t="shared" si="88"/>
        <v>2024</v>
      </c>
      <c r="G1457">
        <f t="shared" si="89"/>
        <v>1</v>
      </c>
      <c r="H1457">
        <f t="shared" si="90"/>
        <v>1</v>
      </c>
      <c r="I1457" s="6">
        <v>0.38472222222222224</v>
      </c>
      <c r="J1457" s="6">
        <v>0.8125</v>
      </c>
      <c r="K1457" s="7" t="s">
        <v>26</v>
      </c>
      <c r="L1457" s="7" t="s">
        <v>14</v>
      </c>
      <c r="M1457" s="7" t="s">
        <v>15</v>
      </c>
      <c r="N1457" s="7">
        <f>COUNTIFS(A:A,A1457,D:D,D1457,E:E,I1457)</f>
        <v>0</v>
      </c>
    </row>
    <row r="1458" spans="1:14" x14ac:dyDescent="0.3">
      <c r="A1458" s="7" t="s">
        <v>291</v>
      </c>
      <c r="B1458" s="7" t="s">
        <v>292</v>
      </c>
      <c r="C1458" s="7" t="s">
        <v>425</v>
      </c>
      <c r="D1458" s="8">
        <v>45383</v>
      </c>
      <c r="E1458" s="8" t="str">
        <f t="shared" si="87"/>
        <v>April</v>
      </c>
      <c r="F1458">
        <f t="shared" si="88"/>
        <v>2024</v>
      </c>
      <c r="G1458">
        <f t="shared" si="89"/>
        <v>0</v>
      </c>
      <c r="H1458">
        <f t="shared" si="90"/>
        <v>0</v>
      </c>
      <c r="I1458" s="6"/>
      <c r="J1458" s="6"/>
      <c r="K1458" s="7" t="s">
        <v>44</v>
      </c>
      <c r="L1458" s="7" t="s">
        <v>14</v>
      </c>
      <c r="M1458" s="7" t="s">
        <v>15</v>
      </c>
      <c r="N1458" s="7">
        <f>COUNTIFS(A:A,A1458,D:D,D1458,E:E,I1458)</f>
        <v>0</v>
      </c>
    </row>
    <row r="1459" spans="1:14" x14ac:dyDescent="0.3">
      <c r="A1459" s="7" t="s">
        <v>197</v>
      </c>
      <c r="B1459" s="7" t="s">
        <v>198</v>
      </c>
      <c r="C1459" s="7" t="s">
        <v>425</v>
      </c>
      <c r="D1459" s="8">
        <v>45628</v>
      </c>
      <c r="E1459" s="8" t="str">
        <f t="shared" si="87"/>
        <v>December</v>
      </c>
      <c r="F1459">
        <f t="shared" si="88"/>
        <v>2024</v>
      </c>
      <c r="G1459">
        <f t="shared" si="89"/>
        <v>1</v>
      </c>
      <c r="H1459">
        <f t="shared" si="90"/>
        <v>1</v>
      </c>
      <c r="I1459" s="6">
        <v>0.39791666666666664</v>
      </c>
      <c r="J1459" s="6">
        <v>0.75902777777777775</v>
      </c>
      <c r="K1459" s="7" t="s">
        <v>26</v>
      </c>
      <c r="L1459" s="7" t="s">
        <v>27</v>
      </c>
      <c r="M1459" s="7" t="s">
        <v>21</v>
      </c>
      <c r="N1459" s="7">
        <f>COUNTIFS(A:A,A1459,D:D,D1459,E:E,I1459)</f>
        <v>0</v>
      </c>
    </row>
    <row r="1460" spans="1:14" x14ac:dyDescent="0.3">
      <c r="A1460" s="7" t="s">
        <v>165</v>
      </c>
      <c r="B1460" s="7" t="s">
        <v>166</v>
      </c>
      <c r="C1460" s="7" t="s">
        <v>42</v>
      </c>
      <c r="D1460" s="8">
        <v>45309</v>
      </c>
      <c r="E1460" s="8" t="str">
        <f t="shared" si="87"/>
        <v>January</v>
      </c>
      <c r="F1460">
        <f t="shared" si="88"/>
        <v>2024</v>
      </c>
      <c r="G1460">
        <f t="shared" si="89"/>
        <v>1</v>
      </c>
      <c r="H1460">
        <f t="shared" si="90"/>
        <v>0</v>
      </c>
      <c r="I1460" s="6">
        <v>0.44305555555555554</v>
      </c>
      <c r="J1460" s="6">
        <v>0.71527777777777779</v>
      </c>
      <c r="K1460" s="7" t="s">
        <v>20</v>
      </c>
      <c r="L1460" s="7" t="s">
        <v>27</v>
      </c>
      <c r="M1460" s="7" t="s">
        <v>21</v>
      </c>
      <c r="N1460" s="7">
        <f>COUNTIFS(A:A,A1460,D:D,D1460,E:E,I1460)</f>
        <v>0</v>
      </c>
    </row>
    <row r="1461" spans="1:14" x14ac:dyDescent="0.3">
      <c r="A1461" s="7" t="s">
        <v>197</v>
      </c>
      <c r="B1461" s="7" t="s">
        <v>198</v>
      </c>
      <c r="C1461" s="7" t="s">
        <v>426</v>
      </c>
      <c r="D1461" s="8">
        <v>45315</v>
      </c>
      <c r="E1461" s="8" t="str">
        <f t="shared" si="87"/>
        <v>January</v>
      </c>
      <c r="F1461">
        <f t="shared" si="88"/>
        <v>2024</v>
      </c>
      <c r="G1461">
        <f t="shared" si="89"/>
        <v>0</v>
      </c>
      <c r="H1461">
        <f t="shared" si="90"/>
        <v>0</v>
      </c>
      <c r="I1461" s="6"/>
      <c r="J1461" s="6"/>
      <c r="K1461" s="7" t="s">
        <v>44</v>
      </c>
      <c r="L1461" s="7" t="s">
        <v>27</v>
      </c>
      <c r="M1461" s="7" t="s">
        <v>15</v>
      </c>
      <c r="N1461" s="7">
        <f>COUNTIFS(A:A,A1461,D:D,D1461,E:E,I1461)</f>
        <v>0</v>
      </c>
    </row>
    <row r="1462" spans="1:14" x14ac:dyDescent="0.3">
      <c r="A1462" s="7" t="s">
        <v>154</v>
      </c>
      <c r="B1462" s="7" t="s">
        <v>155</v>
      </c>
      <c r="C1462" s="7" t="s">
        <v>64</v>
      </c>
      <c r="D1462" s="8">
        <v>45309</v>
      </c>
      <c r="E1462" s="8" t="str">
        <f t="shared" si="87"/>
        <v>January</v>
      </c>
      <c r="F1462">
        <f t="shared" si="88"/>
        <v>2024</v>
      </c>
      <c r="G1462">
        <f t="shared" si="89"/>
        <v>1</v>
      </c>
      <c r="H1462">
        <f t="shared" si="90"/>
        <v>0</v>
      </c>
      <c r="I1462" s="6">
        <v>0.35416666666666669</v>
      </c>
      <c r="J1462" s="6">
        <v>0.75208333333333333</v>
      </c>
      <c r="K1462" s="7" t="s">
        <v>13</v>
      </c>
      <c r="L1462" s="7" t="s">
        <v>14</v>
      </c>
      <c r="M1462" s="7" t="s">
        <v>21</v>
      </c>
      <c r="N1462" s="7">
        <f>COUNTIFS(A:A,A1462,D:D,D1462,E:E,I1462)</f>
        <v>0</v>
      </c>
    </row>
    <row r="1463" spans="1:14" x14ac:dyDescent="0.3">
      <c r="A1463" s="7" t="s">
        <v>55</v>
      </c>
      <c r="B1463" s="7" t="s">
        <v>56</v>
      </c>
      <c r="C1463" s="7" t="s">
        <v>60</v>
      </c>
      <c r="D1463" s="8">
        <v>45374</v>
      </c>
      <c r="E1463" s="8" t="str">
        <f t="shared" si="87"/>
        <v>March</v>
      </c>
      <c r="F1463">
        <f t="shared" si="88"/>
        <v>2024</v>
      </c>
      <c r="G1463">
        <f t="shared" si="89"/>
        <v>1</v>
      </c>
      <c r="H1463">
        <f t="shared" si="90"/>
        <v>0</v>
      </c>
      <c r="I1463" s="6">
        <v>0.3611111111111111</v>
      </c>
      <c r="J1463" s="6">
        <v>0.67569444444444449</v>
      </c>
      <c r="K1463" s="7" t="s">
        <v>13</v>
      </c>
      <c r="L1463" s="7" t="s">
        <v>27</v>
      </c>
      <c r="M1463" s="7" t="s">
        <v>21</v>
      </c>
      <c r="N1463" s="7">
        <f>COUNTIFS(A:A,A1463,D:D,D1463,E:E,I1463)</f>
        <v>0</v>
      </c>
    </row>
    <row r="1464" spans="1:14" x14ac:dyDescent="0.3">
      <c r="A1464" s="7" t="s">
        <v>157</v>
      </c>
      <c r="B1464" s="7" t="s">
        <v>158</v>
      </c>
      <c r="C1464" s="7" t="s">
        <v>426</v>
      </c>
      <c r="D1464" s="8">
        <v>45446</v>
      </c>
      <c r="E1464" s="8" t="str">
        <f t="shared" si="87"/>
        <v>June</v>
      </c>
      <c r="F1464">
        <f t="shared" si="88"/>
        <v>2024</v>
      </c>
      <c r="G1464">
        <f t="shared" si="89"/>
        <v>1</v>
      </c>
      <c r="H1464">
        <f t="shared" si="90"/>
        <v>1</v>
      </c>
      <c r="I1464" s="6">
        <v>0.47569444444444442</v>
      </c>
      <c r="J1464" s="6">
        <v>0.67152777777777772</v>
      </c>
      <c r="K1464" s="7" t="s">
        <v>26</v>
      </c>
      <c r="L1464" s="7" t="s">
        <v>27</v>
      </c>
      <c r="M1464" s="7" t="s">
        <v>15</v>
      </c>
      <c r="N1464" s="7">
        <f>COUNTIFS(A:A,A1464,D:D,D1464,E:E,I1464)</f>
        <v>0</v>
      </c>
    </row>
    <row r="1465" spans="1:14" x14ac:dyDescent="0.3">
      <c r="A1465" s="7" t="s">
        <v>246</v>
      </c>
      <c r="B1465" s="7" t="s">
        <v>247</v>
      </c>
      <c r="C1465" s="7" t="s">
        <v>64</v>
      </c>
      <c r="D1465" s="8">
        <v>45310</v>
      </c>
      <c r="E1465" s="8" t="str">
        <f t="shared" si="87"/>
        <v>January</v>
      </c>
      <c r="F1465">
        <f t="shared" si="88"/>
        <v>2024</v>
      </c>
      <c r="G1465">
        <f t="shared" si="89"/>
        <v>1</v>
      </c>
      <c r="H1465">
        <f t="shared" si="90"/>
        <v>0</v>
      </c>
      <c r="I1465" s="6">
        <v>0.34861111111111109</v>
      </c>
      <c r="J1465" s="6">
        <v>0.75347222222222221</v>
      </c>
      <c r="K1465" s="7" t="s">
        <v>13</v>
      </c>
      <c r="L1465" s="7" t="s">
        <v>14</v>
      </c>
      <c r="M1465" s="7" t="s">
        <v>15</v>
      </c>
      <c r="N1465" s="7">
        <f>COUNTIFS(A:A,A1465,D:D,D1465,E:E,I1465)</f>
        <v>0</v>
      </c>
    </row>
    <row r="1466" spans="1:14" x14ac:dyDescent="0.3">
      <c r="A1466" s="7" t="s">
        <v>75</v>
      </c>
      <c r="B1466" s="7" t="s">
        <v>76</v>
      </c>
      <c r="C1466" s="7" t="s">
        <v>42</v>
      </c>
      <c r="D1466" s="8">
        <v>45628</v>
      </c>
      <c r="E1466" s="8" t="str">
        <f t="shared" si="87"/>
        <v>December</v>
      </c>
      <c r="F1466">
        <f t="shared" si="88"/>
        <v>2024</v>
      </c>
      <c r="G1466">
        <f t="shared" si="89"/>
        <v>1</v>
      </c>
      <c r="H1466">
        <f t="shared" si="90"/>
        <v>0</v>
      </c>
      <c r="I1466" s="6">
        <v>0.38541666666666669</v>
      </c>
      <c r="J1466" s="6">
        <v>0.68680555555555556</v>
      </c>
      <c r="K1466" s="7" t="s">
        <v>13</v>
      </c>
      <c r="L1466" s="7" t="s">
        <v>27</v>
      </c>
      <c r="M1466" s="7" t="s">
        <v>15</v>
      </c>
      <c r="N1466" s="7">
        <f>COUNTIFS(A:A,A1466,D:D,D1466,E:E,I1466)</f>
        <v>0</v>
      </c>
    </row>
    <row r="1467" spans="1:14" x14ac:dyDescent="0.3">
      <c r="A1467" s="7" t="s">
        <v>48</v>
      </c>
      <c r="B1467" s="7" t="s">
        <v>49</v>
      </c>
      <c r="C1467" s="7" t="s">
        <v>426</v>
      </c>
      <c r="D1467" s="8">
        <v>45300</v>
      </c>
      <c r="E1467" s="8" t="str">
        <f t="shared" si="87"/>
        <v>January</v>
      </c>
      <c r="F1467">
        <f t="shared" si="88"/>
        <v>2024</v>
      </c>
      <c r="G1467">
        <f t="shared" si="89"/>
        <v>1</v>
      </c>
      <c r="H1467">
        <f t="shared" si="90"/>
        <v>1</v>
      </c>
      <c r="I1467" s="6">
        <v>0.37638888888888888</v>
      </c>
      <c r="J1467" s="6">
        <v>0.76111111111111107</v>
      </c>
      <c r="K1467" s="7" t="s">
        <v>26</v>
      </c>
      <c r="L1467" s="7" t="s">
        <v>27</v>
      </c>
      <c r="M1467" s="7" t="s">
        <v>21</v>
      </c>
      <c r="N1467" s="7">
        <f>COUNTIFS(A:A,A1467,D:D,D1467,E:E,I1467)</f>
        <v>0</v>
      </c>
    </row>
    <row r="1468" spans="1:14" x14ac:dyDescent="0.3">
      <c r="A1468" s="7" t="s">
        <v>134</v>
      </c>
      <c r="B1468" s="7" t="s">
        <v>135</v>
      </c>
      <c r="C1468" s="7" t="s">
        <v>60</v>
      </c>
      <c r="D1468" s="8">
        <v>45339</v>
      </c>
      <c r="E1468" s="8" t="str">
        <f t="shared" si="87"/>
        <v>February</v>
      </c>
      <c r="F1468">
        <f t="shared" si="88"/>
        <v>2024</v>
      </c>
      <c r="G1468">
        <f t="shared" si="89"/>
        <v>1</v>
      </c>
      <c r="H1468">
        <f t="shared" si="90"/>
        <v>0</v>
      </c>
      <c r="I1468" s="6">
        <v>0.37013888888888891</v>
      </c>
      <c r="J1468" s="6">
        <v>0.81180555555555556</v>
      </c>
      <c r="K1468" s="7" t="s">
        <v>13</v>
      </c>
      <c r="L1468" s="7" t="s">
        <v>27</v>
      </c>
      <c r="M1468" s="7" t="s">
        <v>21</v>
      </c>
      <c r="N1468" s="7">
        <f>COUNTIFS(A:A,A1468,D:D,D1468,E:E,I1468)</f>
        <v>0</v>
      </c>
    </row>
    <row r="1469" spans="1:14" x14ac:dyDescent="0.3">
      <c r="A1469" s="7" t="s">
        <v>291</v>
      </c>
      <c r="B1469" s="7" t="s">
        <v>292</v>
      </c>
      <c r="C1469" s="7" t="s">
        <v>64</v>
      </c>
      <c r="D1469" s="8">
        <v>45304</v>
      </c>
      <c r="E1469" s="8" t="str">
        <f t="shared" si="87"/>
        <v>January</v>
      </c>
      <c r="F1469">
        <f t="shared" si="88"/>
        <v>2024</v>
      </c>
      <c r="G1469">
        <f t="shared" si="89"/>
        <v>1</v>
      </c>
      <c r="H1469">
        <f t="shared" si="90"/>
        <v>0</v>
      </c>
      <c r="I1469" s="6">
        <v>0.4</v>
      </c>
      <c r="J1469" s="6">
        <v>0.80069444444444449</v>
      </c>
      <c r="K1469" s="7" t="s">
        <v>13</v>
      </c>
      <c r="L1469" s="7" t="s">
        <v>14</v>
      </c>
      <c r="M1469" s="7" t="s">
        <v>15</v>
      </c>
      <c r="N1469" s="7">
        <f>COUNTIFS(A:A,A1469,D:D,D1469,E:E,I1469)</f>
        <v>0</v>
      </c>
    </row>
    <row r="1470" spans="1:14" x14ac:dyDescent="0.3">
      <c r="A1470" s="7" t="s">
        <v>84</v>
      </c>
      <c r="B1470" s="7" t="s">
        <v>85</v>
      </c>
      <c r="C1470" s="7" t="s">
        <v>64</v>
      </c>
      <c r="D1470" s="8">
        <v>45374</v>
      </c>
      <c r="E1470" s="8" t="str">
        <f t="shared" si="87"/>
        <v>March</v>
      </c>
      <c r="F1470">
        <f t="shared" si="88"/>
        <v>2024</v>
      </c>
      <c r="G1470">
        <f t="shared" si="89"/>
        <v>1</v>
      </c>
      <c r="H1470">
        <f t="shared" si="90"/>
        <v>1</v>
      </c>
      <c r="I1470" s="6">
        <v>0.45208333333333334</v>
      </c>
      <c r="J1470" s="6">
        <v>0.70416666666666672</v>
      </c>
      <c r="K1470" s="7" t="s">
        <v>26</v>
      </c>
      <c r="L1470" s="7" t="s">
        <v>27</v>
      </c>
      <c r="M1470" s="7" t="s">
        <v>15</v>
      </c>
      <c r="N1470" s="7">
        <f>COUNTIFS(A:A,A1470,D:D,D1470,E:E,I1470)</f>
        <v>0</v>
      </c>
    </row>
    <row r="1471" spans="1:14" x14ac:dyDescent="0.3">
      <c r="A1471" s="7" t="s">
        <v>197</v>
      </c>
      <c r="B1471" s="7" t="s">
        <v>198</v>
      </c>
      <c r="C1471" s="7" t="s">
        <v>42</v>
      </c>
      <c r="D1471" s="8">
        <v>45474</v>
      </c>
      <c r="E1471" s="8" t="str">
        <f t="shared" si="87"/>
        <v>July</v>
      </c>
      <c r="F1471">
        <f t="shared" si="88"/>
        <v>2024</v>
      </c>
      <c r="G1471">
        <f t="shared" si="89"/>
        <v>1</v>
      </c>
      <c r="H1471">
        <f t="shared" si="90"/>
        <v>0</v>
      </c>
      <c r="I1471" s="6">
        <v>0.37222222222222223</v>
      </c>
      <c r="J1471" s="6">
        <v>0.73055555555555551</v>
      </c>
      <c r="K1471" s="7" t="s">
        <v>13</v>
      </c>
      <c r="L1471" s="7" t="s">
        <v>14</v>
      </c>
      <c r="M1471" s="7" t="s">
        <v>21</v>
      </c>
      <c r="N1471" s="7">
        <f>COUNTIFS(A:A,A1471,D:D,D1471,E:E,I1471)</f>
        <v>0</v>
      </c>
    </row>
    <row r="1472" spans="1:14" x14ac:dyDescent="0.3">
      <c r="A1472" s="7" t="s">
        <v>216</v>
      </c>
      <c r="B1472" s="7" t="s">
        <v>217</v>
      </c>
      <c r="C1472" s="7" t="s">
        <v>42</v>
      </c>
      <c r="D1472" s="8">
        <v>45320</v>
      </c>
      <c r="E1472" s="8" t="str">
        <f t="shared" si="87"/>
        <v>January</v>
      </c>
      <c r="F1472">
        <f t="shared" si="88"/>
        <v>2024</v>
      </c>
      <c r="G1472">
        <f t="shared" si="89"/>
        <v>1</v>
      </c>
      <c r="H1472">
        <f t="shared" si="90"/>
        <v>1</v>
      </c>
      <c r="I1472" s="6">
        <v>0.37708333333333333</v>
      </c>
      <c r="J1472" s="6">
        <v>0.77152777777777781</v>
      </c>
      <c r="K1472" s="7" t="s">
        <v>26</v>
      </c>
      <c r="L1472" s="7" t="s">
        <v>27</v>
      </c>
      <c r="M1472" s="7" t="s">
        <v>21</v>
      </c>
      <c r="N1472" s="7">
        <f>COUNTIFS(A:A,A1472,D:D,D1472,E:E,I1472)</f>
        <v>0</v>
      </c>
    </row>
    <row r="1473" spans="1:14" x14ac:dyDescent="0.3">
      <c r="A1473" s="7" t="s">
        <v>315</v>
      </c>
      <c r="B1473" s="7" t="s">
        <v>316</v>
      </c>
      <c r="C1473" s="7" t="s">
        <v>425</v>
      </c>
      <c r="D1473" s="8">
        <v>45506</v>
      </c>
      <c r="E1473" s="8" t="str">
        <f t="shared" si="87"/>
        <v>August</v>
      </c>
      <c r="F1473">
        <f t="shared" si="88"/>
        <v>2024</v>
      </c>
      <c r="G1473">
        <f t="shared" si="89"/>
        <v>1</v>
      </c>
      <c r="H1473">
        <f t="shared" si="90"/>
        <v>0</v>
      </c>
      <c r="I1473" s="6">
        <v>0.4513888888888889</v>
      </c>
      <c r="J1473" s="6">
        <v>0.74444444444444446</v>
      </c>
      <c r="K1473" s="7" t="s">
        <v>13</v>
      </c>
      <c r="L1473" s="7" t="s">
        <v>14</v>
      </c>
      <c r="M1473" s="7" t="s">
        <v>21</v>
      </c>
      <c r="N1473" s="7">
        <f>COUNTIFS(A:A,A1473,D:D,D1473,E:E,I1473)</f>
        <v>0</v>
      </c>
    </row>
    <row r="1474" spans="1:14" x14ac:dyDescent="0.3">
      <c r="A1474" s="7" t="s">
        <v>84</v>
      </c>
      <c r="B1474" s="7" t="s">
        <v>85</v>
      </c>
      <c r="C1474" s="7" t="s">
        <v>425</v>
      </c>
      <c r="D1474" s="8">
        <v>45324</v>
      </c>
      <c r="E1474" s="8" t="str">
        <f t="shared" ref="E1474:E1537" si="91">TEXT(D1474,"mmmm")</f>
        <v>February</v>
      </c>
      <c r="F1474">
        <f t="shared" ref="F1474:F1537" si="92">YEAR(D1474)</f>
        <v>2024</v>
      </c>
      <c r="G1474">
        <f t="shared" ref="G1474:G1537" si="93">IF(LOWER(K1474)="absent",0,1)</f>
        <v>1</v>
      </c>
      <c r="H1474">
        <f t="shared" ref="H1474:H1537" si="94">IF(K1474="Late",1,0)</f>
        <v>0</v>
      </c>
      <c r="I1474" s="6">
        <v>0.39791666666666664</v>
      </c>
      <c r="J1474" s="6">
        <v>0.67777777777777781</v>
      </c>
      <c r="K1474" s="7" t="s">
        <v>13</v>
      </c>
      <c r="L1474" s="7" t="s">
        <v>27</v>
      </c>
      <c r="M1474" s="7" t="s">
        <v>21</v>
      </c>
      <c r="N1474" s="7">
        <f>COUNTIFS(A:A,A1474,D:D,D1474,E:E,I1474)</f>
        <v>0</v>
      </c>
    </row>
    <row r="1475" spans="1:14" x14ac:dyDescent="0.3">
      <c r="A1475" s="7" t="s">
        <v>75</v>
      </c>
      <c r="B1475" s="7" t="s">
        <v>76</v>
      </c>
      <c r="C1475" s="7" t="s">
        <v>425</v>
      </c>
      <c r="D1475" s="8">
        <v>45371</v>
      </c>
      <c r="E1475" s="8" t="str">
        <f t="shared" si="91"/>
        <v>March</v>
      </c>
      <c r="F1475">
        <f t="shared" si="92"/>
        <v>2024</v>
      </c>
      <c r="G1475">
        <f t="shared" si="93"/>
        <v>0</v>
      </c>
      <c r="H1475">
        <f t="shared" si="94"/>
        <v>0</v>
      </c>
      <c r="I1475" s="6"/>
      <c r="J1475" s="6"/>
      <c r="K1475" s="7" t="s">
        <v>44</v>
      </c>
      <c r="L1475" s="7" t="s">
        <v>14</v>
      </c>
      <c r="M1475" s="7" t="s">
        <v>15</v>
      </c>
      <c r="N1475" s="7">
        <f>COUNTIFS(A:A,A1475,D:D,D1475,E:E,I1475)</f>
        <v>0</v>
      </c>
    </row>
    <row r="1476" spans="1:14" x14ac:dyDescent="0.3">
      <c r="A1476" s="7" t="s">
        <v>112</v>
      </c>
      <c r="B1476" s="7" t="s">
        <v>113</v>
      </c>
      <c r="C1476" s="7" t="s">
        <v>426</v>
      </c>
      <c r="D1476" s="8">
        <v>45337</v>
      </c>
      <c r="E1476" s="8" t="str">
        <f t="shared" si="91"/>
        <v>February</v>
      </c>
      <c r="F1476">
        <f t="shared" si="92"/>
        <v>2024</v>
      </c>
      <c r="G1476">
        <f t="shared" si="93"/>
        <v>1</v>
      </c>
      <c r="H1476">
        <f t="shared" si="94"/>
        <v>0</v>
      </c>
      <c r="I1476" s="6">
        <v>0.46388888888888891</v>
      </c>
      <c r="J1476" s="6">
        <v>0.85555555555555551</v>
      </c>
      <c r="K1476" s="7" t="s">
        <v>20</v>
      </c>
      <c r="L1476" s="7" t="s">
        <v>27</v>
      </c>
      <c r="M1476" s="7" t="s">
        <v>15</v>
      </c>
      <c r="N1476" s="7">
        <f>COUNTIFS(A:A,A1476,D:D,D1476,E:E,I1476)</f>
        <v>0</v>
      </c>
    </row>
    <row r="1477" spans="1:14" x14ac:dyDescent="0.3">
      <c r="A1477" s="7" t="s">
        <v>99</v>
      </c>
      <c r="B1477" s="7" t="s">
        <v>100</v>
      </c>
      <c r="C1477" s="7" t="s">
        <v>426</v>
      </c>
      <c r="D1477" s="8">
        <v>45324</v>
      </c>
      <c r="E1477" s="8" t="str">
        <f t="shared" si="91"/>
        <v>February</v>
      </c>
      <c r="F1477">
        <f t="shared" si="92"/>
        <v>2024</v>
      </c>
      <c r="G1477">
        <f t="shared" si="93"/>
        <v>1</v>
      </c>
      <c r="H1477">
        <f t="shared" si="94"/>
        <v>1</v>
      </c>
      <c r="I1477" s="6">
        <v>0.45208333333333334</v>
      </c>
      <c r="J1477" s="6">
        <v>0.75</v>
      </c>
      <c r="K1477" s="7" t="s">
        <v>26</v>
      </c>
      <c r="L1477" s="7" t="s">
        <v>14</v>
      </c>
      <c r="M1477" s="7" t="s">
        <v>15</v>
      </c>
      <c r="N1477" s="7">
        <f>COUNTIFS(A:A,A1477,D:D,D1477,E:E,I1477)</f>
        <v>0</v>
      </c>
    </row>
    <row r="1478" spans="1:14" x14ac:dyDescent="0.3">
      <c r="A1478" s="7" t="s">
        <v>55</v>
      </c>
      <c r="B1478" s="7" t="s">
        <v>56</v>
      </c>
      <c r="C1478" s="7" t="s">
        <v>425</v>
      </c>
      <c r="D1478" s="8">
        <v>45339</v>
      </c>
      <c r="E1478" s="8" t="str">
        <f t="shared" si="91"/>
        <v>February</v>
      </c>
      <c r="F1478">
        <f t="shared" si="92"/>
        <v>2024</v>
      </c>
      <c r="G1478">
        <f t="shared" si="93"/>
        <v>1</v>
      </c>
      <c r="H1478">
        <f t="shared" si="94"/>
        <v>1</v>
      </c>
      <c r="I1478" s="6">
        <v>0.46250000000000002</v>
      </c>
      <c r="J1478" s="6">
        <v>0.70972222222222225</v>
      </c>
      <c r="K1478" s="7" t="s">
        <v>26</v>
      </c>
      <c r="L1478" s="7" t="s">
        <v>14</v>
      </c>
      <c r="M1478" s="7" t="s">
        <v>21</v>
      </c>
      <c r="N1478" s="7">
        <f>COUNTIFS(A:A,A1478,D:D,D1478,E:E,I1478)</f>
        <v>0</v>
      </c>
    </row>
    <row r="1479" spans="1:14" x14ac:dyDescent="0.3">
      <c r="A1479" s="7" t="s">
        <v>130</v>
      </c>
      <c r="B1479" s="7" t="s">
        <v>131</v>
      </c>
      <c r="C1479" s="7" t="s">
        <v>425</v>
      </c>
      <c r="D1479" s="8">
        <v>45505</v>
      </c>
      <c r="E1479" s="8" t="str">
        <f t="shared" si="91"/>
        <v>August</v>
      </c>
      <c r="F1479">
        <f t="shared" si="92"/>
        <v>2024</v>
      </c>
      <c r="G1479">
        <f t="shared" si="93"/>
        <v>0</v>
      </c>
      <c r="H1479">
        <f t="shared" si="94"/>
        <v>0</v>
      </c>
      <c r="I1479" s="6"/>
      <c r="J1479" s="6"/>
      <c r="K1479" s="7" t="s">
        <v>44</v>
      </c>
      <c r="L1479" s="7" t="s">
        <v>14</v>
      </c>
      <c r="M1479" s="7" t="s">
        <v>21</v>
      </c>
      <c r="N1479" s="7">
        <f>COUNTIFS(A:A,A1479,D:D,D1479,E:E,I1479)</f>
        <v>0</v>
      </c>
    </row>
    <row r="1480" spans="1:14" x14ac:dyDescent="0.3">
      <c r="A1480" s="7" t="s">
        <v>87</v>
      </c>
      <c r="B1480" s="7" t="s">
        <v>88</v>
      </c>
      <c r="C1480" s="7" t="s">
        <v>425</v>
      </c>
      <c r="D1480" s="8">
        <v>45296</v>
      </c>
      <c r="E1480" s="8" t="str">
        <f t="shared" si="91"/>
        <v>January</v>
      </c>
      <c r="F1480">
        <f t="shared" si="92"/>
        <v>2024</v>
      </c>
      <c r="G1480">
        <f t="shared" si="93"/>
        <v>1</v>
      </c>
      <c r="H1480">
        <f t="shared" si="94"/>
        <v>0</v>
      </c>
      <c r="I1480" s="6">
        <v>0.40694444444444444</v>
      </c>
      <c r="J1480" s="6">
        <v>0.71944444444444444</v>
      </c>
      <c r="K1480" s="7" t="s">
        <v>20</v>
      </c>
      <c r="L1480" s="7" t="s">
        <v>27</v>
      </c>
      <c r="M1480" s="7" t="s">
        <v>15</v>
      </c>
      <c r="N1480" s="7">
        <f>COUNTIFS(A:A,A1480,D:D,D1480,E:E,I1480)</f>
        <v>0</v>
      </c>
    </row>
    <row r="1481" spans="1:14" x14ac:dyDescent="0.3">
      <c r="A1481" s="7" t="s">
        <v>338</v>
      </c>
      <c r="B1481" s="7" t="s">
        <v>339</v>
      </c>
      <c r="C1481" s="7" t="s">
        <v>60</v>
      </c>
      <c r="D1481" s="8">
        <v>45292</v>
      </c>
      <c r="E1481" s="8" t="str">
        <f t="shared" si="91"/>
        <v>January</v>
      </c>
      <c r="F1481">
        <f t="shared" si="92"/>
        <v>2024</v>
      </c>
      <c r="G1481">
        <f t="shared" si="93"/>
        <v>1</v>
      </c>
      <c r="H1481">
        <f t="shared" si="94"/>
        <v>1</v>
      </c>
      <c r="I1481" s="6">
        <v>0.46805555555555556</v>
      </c>
      <c r="J1481" s="6">
        <v>0.80694444444444446</v>
      </c>
      <c r="K1481" s="7" t="s">
        <v>26</v>
      </c>
      <c r="L1481" s="7" t="s">
        <v>14</v>
      </c>
      <c r="M1481" s="7" t="s">
        <v>15</v>
      </c>
      <c r="N1481" s="7">
        <f>COUNTIFS(A:A,A1481,D:D,D1481,E:E,I1481)</f>
        <v>0</v>
      </c>
    </row>
    <row r="1482" spans="1:14" x14ac:dyDescent="0.3">
      <c r="A1482" s="7" t="s">
        <v>81</v>
      </c>
      <c r="B1482" s="7" t="s">
        <v>82</v>
      </c>
      <c r="C1482" s="7" t="s">
        <v>64</v>
      </c>
      <c r="D1482" s="8">
        <v>45346</v>
      </c>
      <c r="E1482" s="8" t="str">
        <f t="shared" si="91"/>
        <v>February</v>
      </c>
      <c r="F1482">
        <f t="shared" si="92"/>
        <v>2024</v>
      </c>
      <c r="G1482">
        <f t="shared" si="93"/>
        <v>1</v>
      </c>
      <c r="H1482">
        <f t="shared" si="94"/>
        <v>0</v>
      </c>
      <c r="I1482" s="6">
        <v>0.43194444444444446</v>
      </c>
      <c r="J1482" s="6">
        <v>0.79027777777777775</v>
      </c>
      <c r="K1482" s="7" t="s">
        <v>20</v>
      </c>
      <c r="L1482" s="7" t="s">
        <v>14</v>
      </c>
      <c r="M1482" s="7" t="s">
        <v>21</v>
      </c>
      <c r="N1482" s="7">
        <f>COUNTIFS(A:A,A1482,D:D,D1482,E:E,I1482)</f>
        <v>0</v>
      </c>
    </row>
    <row r="1483" spans="1:14" x14ac:dyDescent="0.3">
      <c r="A1483" s="7" t="s">
        <v>224</v>
      </c>
      <c r="B1483" s="7" t="s">
        <v>225</v>
      </c>
      <c r="C1483" s="7" t="s">
        <v>64</v>
      </c>
      <c r="D1483" s="8">
        <v>45294</v>
      </c>
      <c r="E1483" s="8" t="str">
        <f t="shared" si="91"/>
        <v>January</v>
      </c>
      <c r="F1483">
        <f t="shared" si="92"/>
        <v>2024</v>
      </c>
      <c r="G1483">
        <f t="shared" si="93"/>
        <v>0</v>
      </c>
      <c r="H1483">
        <f t="shared" si="94"/>
        <v>0</v>
      </c>
      <c r="I1483" s="6"/>
      <c r="J1483" s="6"/>
      <c r="K1483" s="7" t="s">
        <v>44</v>
      </c>
      <c r="L1483" s="7" t="s">
        <v>14</v>
      </c>
      <c r="M1483" s="7" t="s">
        <v>21</v>
      </c>
      <c r="N1483" s="7">
        <f>COUNTIFS(A:A,A1483,D:D,D1483,E:E,I1483)</f>
        <v>0</v>
      </c>
    </row>
    <row r="1484" spans="1:14" x14ac:dyDescent="0.3">
      <c r="A1484" s="7" t="s">
        <v>269</v>
      </c>
      <c r="B1484" s="7" t="s">
        <v>270</v>
      </c>
      <c r="C1484" s="7" t="s">
        <v>64</v>
      </c>
      <c r="D1484" s="8">
        <v>45298</v>
      </c>
      <c r="E1484" s="8" t="str">
        <f t="shared" si="91"/>
        <v>January</v>
      </c>
      <c r="F1484">
        <f t="shared" si="92"/>
        <v>2024</v>
      </c>
      <c r="G1484">
        <f t="shared" si="93"/>
        <v>0</v>
      </c>
      <c r="H1484">
        <f t="shared" si="94"/>
        <v>0</v>
      </c>
      <c r="I1484" s="6"/>
      <c r="J1484" s="6"/>
      <c r="K1484" s="7" t="s">
        <v>44</v>
      </c>
      <c r="L1484" s="7" t="s">
        <v>27</v>
      </c>
      <c r="M1484" s="7" t="s">
        <v>21</v>
      </c>
      <c r="N1484" s="7">
        <f>COUNTIFS(A:A,A1484,D:D,D1484,E:E,I1484)</f>
        <v>0</v>
      </c>
    </row>
    <row r="1485" spans="1:14" x14ac:dyDescent="0.3">
      <c r="A1485" s="7" t="s">
        <v>48</v>
      </c>
      <c r="B1485" s="7" t="s">
        <v>49</v>
      </c>
      <c r="C1485" s="7" t="s">
        <v>60</v>
      </c>
      <c r="D1485" s="8">
        <v>45348</v>
      </c>
      <c r="E1485" s="8" t="str">
        <f t="shared" si="91"/>
        <v>February</v>
      </c>
      <c r="F1485">
        <f t="shared" si="92"/>
        <v>2024</v>
      </c>
      <c r="G1485">
        <f t="shared" si="93"/>
        <v>1</v>
      </c>
      <c r="H1485">
        <f t="shared" si="94"/>
        <v>0</v>
      </c>
      <c r="I1485" s="6">
        <v>0.47916666666666669</v>
      </c>
      <c r="J1485" s="6">
        <v>0.79166666666666663</v>
      </c>
      <c r="K1485" s="7" t="s">
        <v>20</v>
      </c>
      <c r="L1485" s="7" t="s">
        <v>14</v>
      </c>
      <c r="M1485" s="7" t="s">
        <v>21</v>
      </c>
      <c r="N1485" s="7">
        <f>COUNTIFS(A:A,A1485,D:D,D1485,E:E,I1485)</f>
        <v>0</v>
      </c>
    </row>
    <row r="1486" spans="1:14" x14ac:dyDescent="0.3">
      <c r="A1486" s="7" t="s">
        <v>99</v>
      </c>
      <c r="B1486" s="7" t="s">
        <v>100</v>
      </c>
      <c r="C1486" s="7" t="s">
        <v>64</v>
      </c>
      <c r="D1486" s="8">
        <v>45342</v>
      </c>
      <c r="E1486" s="8" t="str">
        <f t="shared" si="91"/>
        <v>February</v>
      </c>
      <c r="F1486">
        <f t="shared" si="92"/>
        <v>2024</v>
      </c>
      <c r="G1486">
        <f t="shared" si="93"/>
        <v>1</v>
      </c>
      <c r="H1486">
        <f t="shared" si="94"/>
        <v>1</v>
      </c>
      <c r="I1486" s="6">
        <v>0.43888888888888888</v>
      </c>
      <c r="J1486" s="6">
        <v>0.80069444444444449</v>
      </c>
      <c r="K1486" s="7" t="s">
        <v>26</v>
      </c>
      <c r="L1486" s="7" t="s">
        <v>14</v>
      </c>
      <c r="M1486" s="7" t="s">
        <v>21</v>
      </c>
      <c r="N1486" s="7">
        <f>COUNTIFS(A:A,A1486,D:D,D1486,E:E,I1486)</f>
        <v>0</v>
      </c>
    </row>
    <row r="1487" spans="1:14" x14ac:dyDescent="0.3">
      <c r="A1487" s="7" t="s">
        <v>362</v>
      </c>
      <c r="B1487" s="7" t="s">
        <v>363</v>
      </c>
      <c r="C1487" s="7" t="s">
        <v>42</v>
      </c>
      <c r="D1487" s="8">
        <v>45343</v>
      </c>
      <c r="E1487" s="8" t="str">
        <f t="shared" si="91"/>
        <v>February</v>
      </c>
      <c r="F1487">
        <f t="shared" si="92"/>
        <v>2024</v>
      </c>
      <c r="G1487">
        <f t="shared" si="93"/>
        <v>1</v>
      </c>
      <c r="H1487">
        <f t="shared" si="94"/>
        <v>0</v>
      </c>
      <c r="I1487" s="6">
        <v>0.43055555555555558</v>
      </c>
      <c r="J1487" s="6">
        <v>0.85624999999999996</v>
      </c>
      <c r="K1487" s="7" t="s">
        <v>20</v>
      </c>
      <c r="L1487" s="7" t="s">
        <v>14</v>
      </c>
      <c r="M1487" s="7" t="s">
        <v>15</v>
      </c>
      <c r="N1487" s="7">
        <f>COUNTIFS(A:A,A1487,D:D,D1487,E:E,I1487)</f>
        <v>0</v>
      </c>
    </row>
    <row r="1488" spans="1:14" x14ac:dyDescent="0.3">
      <c r="A1488" s="7" t="s">
        <v>115</v>
      </c>
      <c r="B1488" s="7" t="s">
        <v>116</v>
      </c>
      <c r="C1488" s="7" t="s">
        <v>426</v>
      </c>
      <c r="D1488" s="8">
        <v>45342</v>
      </c>
      <c r="E1488" s="8" t="str">
        <f t="shared" si="91"/>
        <v>February</v>
      </c>
      <c r="F1488">
        <f t="shared" si="92"/>
        <v>2024</v>
      </c>
      <c r="G1488">
        <f t="shared" si="93"/>
        <v>1</v>
      </c>
      <c r="H1488">
        <f t="shared" si="94"/>
        <v>0</v>
      </c>
      <c r="I1488" s="6">
        <v>0.44166666666666665</v>
      </c>
      <c r="J1488" s="6">
        <v>0.82291666666666663</v>
      </c>
      <c r="K1488" s="7" t="s">
        <v>13</v>
      </c>
      <c r="L1488" s="7" t="s">
        <v>14</v>
      </c>
      <c r="M1488" s="7" t="s">
        <v>15</v>
      </c>
      <c r="N1488" s="7">
        <f>COUNTIFS(A:A,A1488,D:D,D1488,E:E,I1488)</f>
        <v>0</v>
      </c>
    </row>
    <row r="1489" spans="1:14" x14ac:dyDescent="0.3">
      <c r="A1489" s="7" t="s">
        <v>72</v>
      </c>
      <c r="B1489" s="7" t="s">
        <v>73</v>
      </c>
      <c r="C1489" s="7" t="s">
        <v>60</v>
      </c>
      <c r="D1489" s="8">
        <v>45294</v>
      </c>
      <c r="E1489" s="8" t="str">
        <f t="shared" si="91"/>
        <v>January</v>
      </c>
      <c r="F1489">
        <f t="shared" si="92"/>
        <v>2024</v>
      </c>
      <c r="G1489">
        <f t="shared" si="93"/>
        <v>1</v>
      </c>
      <c r="H1489">
        <f t="shared" si="94"/>
        <v>0</v>
      </c>
      <c r="I1489" s="6">
        <v>0.49375000000000002</v>
      </c>
      <c r="J1489" s="6">
        <v>0.7006944444444444</v>
      </c>
      <c r="K1489" s="7" t="s">
        <v>13</v>
      </c>
      <c r="L1489" s="7" t="s">
        <v>27</v>
      </c>
      <c r="M1489" s="7" t="s">
        <v>21</v>
      </c>
      <c r="N1489" s="7">
        <f>COUNTIFS(A:A,A1489,D:D,D1489,E:E,I1489)</f>
        <v>0</v>
      </c>
    </row>
    <row r="1490" spans="1:14" x14ac:dyDescent="0.3">
      <c r="A1490" s="7" t="s">
        <v>52</v>
      </c>
      <c r="B1490" s="7" t="s">
        <v>53</v>
      </c>
      <c r="C1490" s="7" t="s">
        <v>42</v>
      </c>
      <c r="D1490" s="8">
        <v>45345</v>
      </c>
      <c r="E1490" s="8" t="str">
        <f t="shared" si="91"/>
        <v>February</v>
      </c>
      <c r="F1490">
        <f t="shared" si="92"/>
        <v>2024</v>
      </c>
      <c r="G1490">
        <f t="shared" si="93"/>
        <v>1</v>
      </c>
      <c r="H1490">
        <f t="shared" si="94"/>
        <v>0</v>
      </c>
      <c r="I1490" s="6">
        <v>0.36805555555555558</v>
      </c>
      <c r="J1490" s="6">
        <v>0.67500000000000004</v>
      </c>
      <c r="K1490" s="7" t="s">
        <v>13</v>
      </c>
      <c r="L1490" s="7" t="s">
        <v>27</v>
      </c>
      <c r="M1490" s="7" t="s">
        <v>15</v>
      </c>
      <c r="N1490" s="7">
        <f>COUNTIFS(A:A,A1490,D:D,D1490,E:E,I1490)</f>
        <v>0</v>
      </c>
    </row>
    <row r="1491" spans="1:14" x14ac:dyDescent="0.3">
      <c r="A1491" s="7" t="s">
        <v>28</v>
      </c>
      <c r="B1491" s="7" t="s">
        <v>29</v>
      </c>
      <c r="C1491" s="7" t="s">
        <v>42</v>
      </c>
      <c r="D1491" s="8">
        <v>45311</v>
      </c>
      <c r="E1491" s="8" t="str">
        <f t="shared" si="91"/>
        <v>January</v>
      </c>
      <c r="F1491">
        <f t="shared" si="92"/>
        <v>2024</v>
      </c>
      <c r="G1491">
        <f t="shared" si="93"/>
        <v>0</v>
      </c>
      <c r="H1491">
        <f t="shared" si="94"/>
        <v>0</v>
      </c>
      <c r="I1491" s="6"/>
      <c r="J1491" s="6"/>
      <c r="K1491" s="7" t="s">
        <v>44</v>
      </c>
      <c r="L1491" s="7" t="s">
        <v>14</v>
      </c>
      <c r="M1491" s="7" t="s">
        <v>15</v>
      </c>
      <c r="N1491" s="7">
        <f>COUNTIFS(A:A,A1491,D:D,D1491,E:E,I1491)</f>
        <v>0</v>
      </c>
    </row>
    <row r="1492" spans="1:14" x14ac:dyDescent="0.3">
      <c r="A1492" s="7" t="s">
        <v>62</v>
      </c>
      <c r="B1492" s="7" t="s">
        <v>63</v>
      </c>
      <c r="C1492" s="7" t="s">
        <v>425</v>
      </c>
      <c r="D1492" s="8">
        <v>45474</v>
      </c>
      <c r="E1492" s="8" t="str">
        <f t="shared" si="91"/>
        <v>July</v>
      </c>
      <c r="F1492">
        <f t="shared" si="92"/>
        <v>2024</v>
      </c>
      <c r="G1492">
        <f t="shared" si="93"/>
        <v>1</v>
      </c>
      <c r="H1492">
        <f t="shared" si="94"/>
        <v>0</v>
      </c>
      <c r="I1492" s="6">
        <v>0.49652777777777779</v>
      </c>
      <c r="J1492" s="6">
        <v>0.84583333333333333</v>
      </c>
      <c r="K1492" s="7" t="s">
        <v>20</v>
      </c>
      <c r="L1492" s="7" t="s">
        <v>14</v>
      </c>
      <c r="M1492" s="7" t="s">
        <v>15</v>
      </c>
      <c r="N1492" s="7">
        <f>COUNTIFS(A:A,A1492,D:D,D1492,E:E,I1492)</f>
        <v>0</v>
      </c>
    </row>
    <row r="1493" spans="1:14" x14ac:dyDescent="0.3">
      <c r="A1493" s="7" t="s">
        <v>246</v>
      </c>
      <c r="B1493" s="7" t="s">
        <v>247</v>
      </c>
      <c r="C1493" s="7" t="s">
        <v>42</v>
      </c>
      <c r="D1493" s="8">
        <v>45629</v>
      </c>
      <c r="E1493" s="8" t="str">
        <f t="shared" si="91"/>
        <v>December</v>
      </c>
      <c r="F1493">
        <f t="shared" si="92"/>
        <v>2024</v>
      </c>
      <c r="G1493">
        <f t="shared" si="93"/>
        <v>1</v>
      </c>
      <c r="H1493">
        <f t="shared" si="94"/>
        <v>0</v>
      </c>
      <c r="I1493" s="6">
        <v>0.34236111111111112</v>
      </c>
      <c r="J1493" s="6">
        <v>0.68541666666666667</v>
      </c>
      <c r="K1493" s="7" t="s">
        <v>13</v>
      </c>
      <c r="L1493" s="7" t="s">
        <v>14</v>
      </c>
      <c r="M1493" s="7" t="s">
        <v>21</v>
      </c>
      <c r="N1493" s="7">
        <f>COUNTIFS(A:A,A1493,D:D,D1493,E:E,I1493)</f>
        <v>0</v>
      </c>
    </row>
    <row r="1494" spans="1:14" x14ac:dyDescent="0.3">
      <c r="A1494" s="7" t="s">
        <v>69</v>
      </c>
      <c r="B1494" s="7" t="s">
        <v>70</v>
      </c>
      <c r="C1494" s="7" t="s">
        <v>42</v>
      </c>
      <c r="D1494" s="8">
        <v>45628</v>
      </c>
      <c r="E1494" s="8" t="str">
        <f t="shared" si="91"/>
        <v>December</v>
      </c>
      <c r="F1494">
        <f t="shared" si="92"/>
        <v>2024</v>
      </c>
      <c r="G1494">
        <f t="shared" si="93"/>
        <v>1</v>
      </c>
      <c r="H1494">
        <f t="shared" si="94"/>
        <v>0</v>
      </c>
      <c r="I1494" s="6">
        <v>0.3576388888888889</v>
      </c>
      <c r="J1494" s="6">
        <v>0.70347222222222228</v>
      </c>
      <c r="K1494" s="7" t="s">
        <v>20</v>
      </c>
      <c r="L1494" s="7" t="s">
        <v>14</v>
      </c>
      <c r="M1494" s="7" t="s">
        <v>21</v>
      </c>
      <c r="N1494" s="7">
        <f>COUNTIFS(A:A,A1494,D:D,D1494,E:E,I1494)</f>
        <v>0</v>
      </c>
    </row>
    <row r="1495" spans="1:14" x14ac:dyDescent="0.3">
      <c r="A1495" s="7" t="s">
        <v>204</v>
      </c>
      <c r="B1495" s="7" t="s">
        <v>205</v>
      </c>
      <c r="C1495" s="7" t="s">
        <v>426</v>
      </c>
      <c r="D1495" s="8">
        <v>45507</v>
      </c>
      <c r="E1495" s="8" t="str">
        <f t="shared" si="91"/>
        <v>August</v>
      </c>
      <c r="F1495">
        <f t="shared" si="92"/>
        <v>2024</v>
      </c>
      <c r="G1495">
        <f t="shared" si="93"/>
        <v>1</v>
      </c>
      <c r="H1495">
        <f t="shared" si="94"/>
        <v>0</v>
      </c>
      <c r="I1495" s="6">
        <v>0.48125000000000001</v>
      </c>
      <c r="J1495" s="6">
        <v>0.77083333333333337</v>
      </c>
      <c r="K1495" s="7" t="s">
        <v>20</v>
      </c>
      <c r="L1495" s="7" t="s">
        <v>14</v>
      </c>
      <c r="M1495" s="7" t="s">
        <v>15</v>
      </c>
      <c r="N1495" s="7">
        <f>COUNTIFS(A:A,A1495,D:D,D1495,E:E,I1495)</f>
        <v>0</v>
      </c>
    </row>
    <row r="1496" spans="1:14" x14ac:dyDescent="0.3">
      <c r="A1496" s="7" t="s">
        <v>187</v>
      </c>
      <c r="B1496" s="7" t="s">
        <v>188</v>
      </c>
      <c r="C1496" s="7" t="s">
        <v>42</v>
      </c>
      <c r="D1496" s="8">
        <v>45325</v>
      </c>
      <c r="E1496" s="8" t="str">
        <f t="shared" si="91"/>
        <v>February</v>
      </c>
      <c r="F1496">
        <f t="shared" si="92"/>
        <v>2024</v>
      </c>
      <c r="G1496">
        <f t="shared" si="93"/>
        <v>0</v>
      </c>
      <c r="H1496">
        <f t="shared" si="94"/>
        <v>0</v>
      </c>
      <c r="I1496" s="6"/>
      <c r="J1496" s="6"/>
      <c r="K1496" s="7" t="s">
        <v>44</v>
      </c>
      <c r="L1496" s="7" t="s">
        <v>14</v>
      </c>
      <c r="M1496" s="7" t="s">
        <v>21</v>
      </c>
      <c r="N1496" s="7">
        <f>COUNTIFS(A:A,A1496,D:D,D1496,E:E,I1496)</f>
        <v>0</v>
      </c>
    </row>
    <row r="1497" spans="1:14" x14ac:dyDescent="0.3">
      <c r="A1497" s="7" t="s">
        <v>84</v>
      </c>
      <c r="B1497" s="7" t="s">
        <v>85</v>
      </c>
      <c r="C1497" s="7" t="s">
        <v>64</v>
      </c>
      <c r="D1497" s="8">
        <v>45350</v>
      </c>
      <c r="E1497" s="8" t="str">
        <f t="shared" si="91"/>
        <v>February</v>
      </c>
      <c r="F1497">
        <f t="shared" si="92"/>
        <v>2024</v>
      </c>
      <c r="G1497">
        <f t="shared" si="93"/>
        <v>1</v>
      </c>
      <c r="H1497">
        <f t="shared" si="94"/>
        <v>0</v>
      </c>
      <c r="I1497" s="6">
        <v>0.35069444444444442</v>
      </c>
      <c r="J1497" s="6">
        <v>0.6791666666666667</v>
      </c>
      <c r="K1497" s="7" t="s">
        <v>13</v>
      </c>
      <c r="L1497" s="7" t="s">
        <v>27</v>
      </c>
      <c r="M1497" s="7" t="s">
        <v>21</v>
      </c>
      <c r="N1497" s="7">
        <f>COUNTIFS(A:A,A1497,D:D,D1497,E:E,I1497)</f>
        <v>0</v>
      </c>
    </row>
    <row r="1498" spans="1:14" x14ac:dyDescent="0.3">
      <c r="A1498" s="7" t="s">
        <v>165</v>
      </c>
      <c r="B1498" s="7" t="s">
        <v>166</v>
      </c>
      <c r="C1498" s="7" t="s">
        <v>60</v>
      </c>
      <c r="D1498" s="8">
        <v>45316</v>
      </c>
      <c r="E1498" s="8" t="str">
        <f t="shared" si="91"/>
        <v>January</v>
      </c>
      <c r="F1498">
        <f t="shared" si="92"/>
        <v>2024</v>
      </c>
      <c r="G1498">
        <f t="shared" si="93"/>
        <v>1</v>
      </c>
      <c r="H1498">
        <f t="shared" si="94"/>
        <v>0</v>
      </c>
      <c r="I1498" s="6">
        <v>0.37986111111111109</v>
      </c>
      <c r="J1498" s="6">
        <v>0.8666666666666667</v>
      </c>
      <c r="K1498" s="7" t="s">
        <v>20</v>
      </c>
      <c r="L1498" s="7" t="s">
        <v>27</v>
      </c>
      <c r="M1498" s="7" t="s">
        <v>21</v>
      </c>
      <c r="N1498" s="7">
        <f>COUNTIFS(A:A,A1498,D:D,D1498,E:E,I1498)</f>
        <v>0</v>
      </c>
    </row>
    <row r="1499" spans="1:14" x14ac:dyDescent="0.3">
      <c r="A1499" s="7" t="s">
        <v>138</v>
      </c>
      <c r="B1499" s="7" t="s">
        <v>139</v>
      </c>
      <c r="C1499" s="7" t="s">
        <v>60</v>
      </c>
      <c r="D1499" s="8">
        <v>45629</v>
      </c>
      <c r="E1499" s="8" t="str">
        <f t="shared" si="91"/>
        <v>December</v>
      </c>
      <c r="F1499">
        <f t="shared" si="92"/>
        <v>2024</v>
      </c>
      <c r="G1499">
        <f t="shared" si="93"/>
        <v>0</v>
      </c>
      <c r="H1499">
        <f t="shared" si="94"/>
        <v>0</v>
      </c>
      <c r="I1499" s="6"/>
      <c r="J1499" s="6"/>
      <c r="K1499" s="7" t="s">
        <v>44</v>
      </c>
      <c r="L1499" s="7" t="s">
        <v>27</v>
      </c>
      <c r="M1499" s="7" t="s">
        <v>15</v>
      </c>
      <c r="N1499" s="7">
        <f>COUNTIFS(A:A,A1499,D:D,D1499,E:E,I1499)</f>
        <v>0</v>
      </c>
    </row>
    <row r="1500" spans="1:14" x14ac:dyDescent="0.3">
      <c r="A1500" s="7" t="s">
        <v>37</v>
      </c>
      <c r="B1500" s="7" t="s">
        <v>38</v>
      </c>
      <c r="C1500" s="7" t="s">
        <v>60</v>
      </c>
      <c r="D1500" s="8">
        <v>45629</v>
      </c>
      <c r="E1500" s="8" t="str">
        <f t="shared" si="91"/>
        <v>December</v>
      </c>
      <c r="F1500">
        <f t="shared" si="92"/>
        <v>2024</v>
      </c>
      <c r="G1500">
        <f t="shared" si="93"/>
        <v>1</v>
      </c>
      <c r="H1500">
        <f t="shared" si="94"/>
        <v>1</v>
      </c>
      <c r="I1500" s="6">
        <v>0.45277777777777778</v>
      </c>
      <c r="J1500" s="6">
        <v>0.77430555555555558</v>
      </c>
      <c r="K1500" s="7" t="s">
        <v>26</v>
      </c>
      <c r="L1500" s="7" t="s">
        <v>14</v>
      </c>
      <c r="M1500" s="7" t="s">
        <v>21</v>
      </c>
      <c r="N1500" s="7">
        <f>COUNTIFS(A:A,A1500,D:D,D1500,E:E,I1500)</f>
        <v>0</v>
      </c>
    </row>
    <row r="1501" spans="1:14" x14ac:dyDescent="0.3">
      <c r="A1501" s="7" t="s">
        <v>236</v>
      </c>
      <c r="B1501" s="7" t="s">
        <v>237</v>
      </c>
      <c r="C1501" s="7" t="s">
        <v>42</v>
      </c>
      <c r="D1501" s="8">
        <v>45505</v>
      </c>
      <c r="E1501" s="8" t="str">
        <f t="shared" si="91"/>
        <v>August</v>
      </c>
      <c r="F1501">
        <f t="shared" si="92"/>
        <v>2024</v>
      </c>
      <c r="G1501">
        <f t="shared" si="93"/>
        <v>1</v>
      </c>
      <c r="H1501">
        <f t="shared" si="94"/>
        <v>0</v>
      </c>
      <c r="I1501" s="6">
        <v>0.39097222222222222</v>
      </c>
      <c r="J1501" s="6">
        <v>0.85555555555555551</v>
      </c>
      <c r="K1501" s="7" t="s">
        <v>20</v>
      </c>
      <c r="L1501" s="7" t="s">
        <v>14</v>
      </c>
      <c r="M1501" s="7" t="s">
        <v>21</v>
      </c>
      <c r="N1501" s="7">
        <f>COUNTIFS(A:A,A1501,D:D,D1501,E:E,I1501)</f>
        <v>0</v>
      </c>
    </row>
    <row r="1502" spans="1:14" x14ac:dyDescent="0.3">
      <c r="A1502" s="7" t="s">
        <v>37</v>
      </c>
      <c r="B1502" s="7" t="s">
        <v>38</v>
      </c>
      <c r="C1502" s="7" t="s">
        <v>426</v>
      </c>
      <c r="D1502" s="8">
        <v>45342</v>
      </c>
      <c r="E1502" s="8" t="str">
        <f t="shared" si="91"/>
        <v>February</v>
      </c>
      <c r="F1502">
        <f t="shared" si="92"/>
        <v>2024</v>
      </c>
      <c r="G1502">
        <f t="shared" si="93"/>
        <v>1</v>
      </c>
      <c r="H1502">
        <f t="shared" si="94"/>
        <v>0</v>
      </c>
      <c r="I1502" s="6">
        <v>0.40069444444444446</v>
      </c>
      <c r="J1502" s="6">
        <v>0.75347222222222221</v>
      </c>
      <c r="K1502" s="7" t="s">
        <v>13</v>
      </c>
      <c r="L1502" s="7" t="s">
        <v>14</v>
      </c>
      <c r="M1502" s="7" t="s">
        <v>21</v>
      </c>
      <c r="N1502" s="7">
        <f>COUNTIFS(A:A,A1502,D:D,D1502,E:E,I1502)</f>
        <v>0</v>
      </c>
    </row>
    <row r="1503" spans="1:14" x14ac:dyDescent="0.3">
      <c r="A1503" s="7" t="s">
        <v>119</v>
      </c>
      <c r="B1503" s="7" t="s">
        <v>120</v>
      </c>
      <c r="C1503" s="7" t="s">
        <v>425</v>
      </c>
      <c r="D1503" s="8">
        <v>45370</v>
      </c>
      <c r="E1503" s="8" t="str">
        <f t="shared" si="91"/>
        <v>March</v>
      </c>
      <c r="F1503">
        <f t="shared" si="92"/>
        <v>2024</v>
      </c>
      <c r="G1503">
        <f t="shared" si="93"/>
        <v>1</v>
      </c>
      <c r="H1503">
        <f t="shared" si="94"/>
        <v>1</v>
      </c>
      <c r="I1503" s="6">
        <v>0.36388888888888887</v>
      </c>
      <c r="J1503" s="6">
        <v>0.73333333333333328</v>
      </c>
      <c r="K1503" s="7" t="s">
        <v>26</v>
      </c>
      <c r="L1503" s="7" t="s">
        <v>27</v>
      </c>
      <c r="M1503" s="7" t="s">
        <v>21</v>
      </c>
      <c r="N1503" s="7">
        <f>COUNTIFS(A:A,A1503,D:D,D1503,E:E,I1503)</f>
        <v>0</v>
      </c>
    </row>
    <row r="1504" spans="1:14" x14ac:dyDescent="0.3">
      <c r="A1504" s="7" t="s">
        <v>165</v>
      </c>
      <c r="B1504" s="7" t="s">
        <v>166</v>
      </c>
      <c r="C1504" s="7" t="s">
        <v>426</v>
      </c>
      <c r="D1504" s="8">
        <v>45318</v>
      </c>
      <c r="E1504" s="8" t="str">
        <f t="shared" si="91"/>
        <v>January</v>
      </c>
      <c r="F1504">
        <f t="shared" si="92"/>
        <v>2024</v>
      </c>
      <c r="G1504">
        <f t="shared" si="93"/>
        <v>0</v>
      </c>
      <c r="H1504">
        <f t="shared" si="94"/>
        <v>0</v>
      </c>
      <c r="I1504" s="6"/>
      <c r="J1504" s="6"/>
      <c r="K1504" s="7" t="s">
        <v>44</v>
      </c>
      <c r="L1504" s="7" t="s">
        <v>14</v>
      </c>
      <c r="M1504" s="7" t="s">
        <v>15</v>
      </c>
      <c r="N1504" s="7">
        <f>COUNTIFS(A:A,A1504,D:D,D1504,E:E,I1504)</f>
        <v>0</v>
      </c>
    </row>
    <row r="1505" spans="1:14" x14ac:dyDescent="0.3">
      <c r="A1505" s="7" t="s">
        <v>191</v>
      </c>
      <c r="B1505" s="7" t="s">
        <v>192</v>
      </c>
      <c r="C1505" s="7" t="s">
        <v>64</v>
      </c>
      <c r="D1505" s="8">
        <v>45536</v>
      </c>
      <c r="E1505" s="8" t="str">
        <f t="shared" si="91"/>
        <v>September</v>
      </c>
      <c r="F1505">
        <f t="shared" si="92"/>
        <v>2024</v>
      </c>
      <c r="G1505">
        <f t="shared" si="93"/>
        <v>1</v>
      </c>
      <c r="H1505">
        <f t="shared" si="94"/>
        <v>0</v>
      </c>
      <c r="I1505" s="6">
        <v>0.4777777777777778</v>
      </c>
      <c r="J1505" s="6">
        <v>0.77222222222222225</v>
      </c>
      <c r="K1505" s="7" t="s">
        <v>20</v>
      </c>
      <c r="L1505" s="7" t="s">
        <v>14</v>
      </c>
      <c r="M1505" s="7" t="s">
        <v>15</v>
      </c>
      <c r="N1505" s="7">
        <f>COUNTIFS(A:A,A1505,D:D,D1505,E:E,I1505)</f>
        <v>0</v>
      </c>
    </row>
    <row r="1506" spans="1:14" x14ac:dyDescent="0.3">
      <c r="A1506" s="7" t="s">
        <v>134</v>
      </c>
      <c r="B1506" s="7" t="s">
        <v>135</v>
      </c>
      <c r="C1506" s="7" t="s">
        <v>60</v>
      </c>
      <c r="D1506" s="8">
        <v>45475</v>
      </c>
      <c r="E1506" s="8" t="str">
        <f t="shared" si="91"/>
        <v>July</v>
      </c>
      <c r="F1506">
        <f t="shared" si="92"/>
        <v>2024</v>
      </c>
      <c r="G1506">
        <f t="shared" si="93"/>
        <v>1</v>
      </c>
      <c r="H1506">
        <f t="shared" si="94"/>
        <v>0</v>
      </c>
      <c r="I1506" s="6">
        <v>0.44513888888888886</v>
      </c>
      <c r="J1506" s="6">
        <v>0.7006944444444444</v>
      </c>
      <c r="K1506" s="7" t="s">
        <v>20</v>
      </c>
      <c r="L1506" s="7" t="s">
        <v>14</v>
      </c>
      <c r="M1506" s="7" t="s">
        <v>15</v>
      </c>
      <c r="N1506" s="7">
        <f>COUNTIFS(A:A,A1506,D:D,D1506,E:E,I1506)</f>
        <v>0</v>
      </c>
    </row>
    <row r="1507" spans="1:14" x14ac:dyDescent="0.3">
      <c r="A1507" s="7" t="s">
        <v>315</v>
      </c>
      <c r="B1507" s="7" t="s">
        <v>316</v>
      </c>
      <c r="C1507" s="7" t="s">
        <v>42</v>
      </c>
      <c r="D1507" s="8">
        <v>45368</v>
      </c>
      <c r="E1507" s="8" t="str">
        <f t="shared" si="91"/>
        <v>March</v>
      </c>
      <c r="F1507">
        <f t="shared" si="92"/>
        <v>2024</v>
      </c>
      <c r="G1507">
        <f t="shared" si="93"/>
        <v>1</v>
      </c>
      <c r="H1507">
        <f t="shared" si="94"/>
        <v>1</v>
      </c>
      <c r="I1507" s="6">
        <v>0.38055555555555554</v>
      </c>
      <c r="J1507" s="6">
        <v>0.80555555555555558</v>
      </c>
      <c r="K1507" s="7" t="s">
        <v>26</v>
      </c>
      <c r="L1507" s="7" t="s">
        <v>27</v>
      </c>
      <c r="M1507" s="7" t="s">
        <v>21</v>
      </c>
      <c r="N1507" s="7">
        <f>COUNTIFS(A:A,A1507,D:D,D1507,E:E,I1507)</f>
        <v>0</v>
      </c>
    </row>
    <row r="1508" spans="1:14" x14ac:dyDescent="0.3">
      <c r="A1508" s="7" t="s">
        <v>96</v>
      </c>
      <c r="B1508" s="7" t="s">
        <v>97</v>
      </c>
      <c r="C1508" s="7" t="s">
        <v>64</v>
      </c>
      <c r="D1508" s="8">
        <v>45304</v>
      </c>
      <c r="E1508" s="8" t="str">
        <f t="shared" si="91"/>
        <v>January</v>
      </c>
      <c r="F1508">
        <f t="shared" si="92"/>
        <v>2024</v>
      </c>
      <c r="G1508">
        <f t="shared" si="93"/>
        <v>0</v>
      </c>
      <c r="H1508">
        <f t="shared" si="94"/>
        <v>0</v>
      </c>
      <c r="I1508" s="6"/>
      <c r="J1508" s="6"/>
      <c r="K1508" s="7" t="s">
        <v>44</v>
      </c>
      <c r="L1508" s="7" t="s">
        <v>27</v>
      </c>
      <c r="M1508" s="7" t="s">
        <v>21</v>
      </c>
      <c r="N1508" s="7">
        <f>COUNTIFS(A:A,A1508,D:D,D1508,E:E,I1508)</f>
        <v>0</v>
      </c>
    </row>
    <row r="1509" spans="1:14" x14ac:dyDescent="0.3">
      <c r="A1509" s="7" t="s">
        <v>213</v>
      </c>
      <c r="B1509" s="7" t="s">
        <v>214</v>
      </c>
      <c r="C1509" s="7" t="s">
        <v>42</v>
      </c>
      <c r="D1509" s="8">
        <v>45366</v>
      </c>
      <c r="E1509" s="8" t="str">
        <f t="shared" si="91"/>
        <v>March</v>
      </c>
      <c r="F1509">
        <f t="shared" si="92"/>
        <v>2024</v>
      </c>
      <c r="G1509">
        <f t="shared" si="93"/>
        <v>1</v>
      </c>
      <c r="H1509">
        <f t="shared" si="94"/>
        <v>1</v>
      </c>
      <c r="I1509" s="6">
        <v>0.46805555555555556</v>
      </c>
      <c r="J1509" s="6">
        <v>0.75902777777777775</v>
      </c>
      <c r="K1509" s="7" t="s">
        <v>26</v>
      </c>
      <c r="L1509" s="7" t="s">
        <v>27</v>
      </c>
      <c r="M1509" s="7" t="s">
        <v>15</v>
      </c>
      <c r="N1509" s="7">
        <f>COUNTIFS(A:A,A1509,D:D,D1509,E:E,I1509)</f>
        <v>0</v>
      </c>
    </row>
    <row r="1510" spans="1:14" x14ac:dyDescent="0.3">
      <c r="A1510" s="7" t="s">
        <v>213</v>
      </c>
      <c r="B1510" s="7" t="s">
        <v>214</v>
      </c>
      <c r="C1510" s="7" t="s">
        <v>426</v>
      </c>
      <c r="D1510" s="8">
        <v>45315</v>
      </c>
      <c r="E1510" s="8" t="str">
        <f t="shared" si="91"/>
        <v>January</v>
      </c>
      <c r="F1510">
        <f t="shared" si="92"/>
        <v>2024</v>
      </c>
      <c r="G1510">
        <f t="shared" si="93"/>
        <v>1</v>
      </c>
      <c r="H1510">
        <f t="shared" si="94"/>
        <v>0</v>
      </c>
      <c r="I1510" s="6">
        <v>0.48680555555555555</v>
      </c>
      <c r="J1510" s="6">
        <v>0.77500000000000002</v>
      </c>
      <c r="K1510" s="7" t="s">
        <v>20</v>
      </c>
      <c r="L1510" s="7" t="s">
        <v>27</v>
      </c>
      <c r="M1510" s="7" t="s">
        <v>15</v>
      </c>
      <c r="N1510" s="7">
        <f>COUNTIFS(A:A,A1510,D:D,D1510,E:E,I1510)</f>
        <v>0</v>
      </c>
    </row>
    <row r="1511" spans="1:14" x14ac:dyDescent="0.3">
      <c r="A1511" s="7" t="s">
        <v>141</v>
      </c>
      <c r="B1511" s="7" t="s">
        <v>142</v>
      </c>
      <c r="C1511" s="7" t="s">
        <v>42</v>
      </c>
      <c r="D1511" s="8">
        <v>45628</v>
      </c>
      <c r="E1511" s="8" t="str">
        <f t="shared" si="91"/>
        <v>December</v>
      </c>
      <c r="F1511">
        <f t="shared" si="92"/>
        <v>2024</v>
      </c>
      <c r="G1511">
        <f t="shared" si="93"/>
        <v>1</v>
      </c>
      <c r="H1511">
        <f t="shared" si="94"/>
        <v>0</v>
      </c>
      <c r="I1511" s="6">
        <v>0.35138888888888886</v>
      </c>
      <c r="J1511" s="6">
        <v>0.7583333333333333</v>
      </c>
      <c r="K1511" s="7" t="s">
        <v>20</v>
      </c>
      <c r="L1511" s="7" t="s">
        <v>27</v>
      </c>
      <c r="M1511" s="7" t="s">
        <v>21</v>
      </c>
      <c r="N1511" s="7">
        <f>COUNTIFS(A:A,A1511,D:D,D1511,E:E,I1511)</f>
        <v>0</v>
      </c>
    </row>
    <row r="1512" spans="1:14" x14ac:dyDescent="0.3">
      <c r="A1512" s="7" t="s">
        <v>291</v>
      </c>
      <c r="B1512" s="7" t="s">
        <v>292</v>
      </c>
      <c r="C1512" s="7" t="s">
        <v>60</v>
      </c>
      <c r="D1512" s="8">
        <v>45346</v>
      </c>
      <c r="E1512" s="8" t="str">
        <f t="shared" si="91"/>
        <v>February</v>
      </c>
      <c r="F1512">
        <f t="shared" si="92"/>
        <v>2024</v>
      </c>
      <c r="G1512">
        <f t="shared" si="93"/>
        <v>1</v>
      </c>
      <c r="H1512">
        <f t="shared" si="94"/>
        <v>0</v>
      </c>
      <c r="I1512" s="6">
        <v>0.48055555555555557</v>
      </c>
      <c r="J1512" s="6">
        <v>0.86597222222222225</v>
      </c>
      <c r="K1512" s="7" t="s">
        <v>20</v>
      </c>
      <c r="L1512" s="7" t="s">
        <v>14</v>
      </c>
      <c r="M1512" s="7" t="s">
        <v>21</v>
      </c>
      <c r="N1512" s="7">
        <f>COUNTIFS(A:A,A1512,D:D,D1512,E:E,I1512)</f>
        <v>0</v>
      </c>
    </row>
    <row r="1513" spans="1:14" x14ac:dyDescent="0.3">
      <c r="A1513" s="7" t="s">
        <v>40</v>
      </c>
      <c r="B1513" s="7" t="s">
        <v>41</v>
      </c>
      <c r="C1513" s="7" t="s">
        <v>60</v>
      </c>
      <c r="D1513" s="8">
        <v>45371</v>
      </c>
      <c r="E1513" s="8" t="str">
        <f t="shared" si="91"/>
        <v>March</v>
      </c>
      <c r="F1513">
        <f t="shared" si="92"/>
        <v>2024</v>
      </c>
      <c r="G1513">
        <f t="shared" si="93"/>
        <v>1</v>
      </c>
      <c r="H1513">
        <f t="shared" si="94"/>
        <v>0</v>
      </c>
      <c r="I1513" s="6">
        <v>0.375</v>
      </c>
      <c r="J1513" s="6">
        <v>0.82499999999999996</v>
      </c>
      <c r="K1513" s="7" t="s">
        <v>13</v>
      </c>
      <c r="L1513" s="7" t="s">
        <v>27</v>
      </c>
      <c r="M1513" s="7" t="s">
        <v>15</v>
      </c>
      <c r="N1513" s="7">
        <f>COUNTIFS(A:A,A1513,D:D,D1513,E:E,I1513)</f>
        <v>0</v>
      </c>
    </row>
    <row r="1514" spans="1:14" x14ac:dyDescent="0.3">
      <c r="A1514" s="7" t="s">
        <v>216</v>
      </c>
      <c r="B1514" s="7" t="s">
        <v>217</v>
      </c>
      <c r="C1514" s="7" t="s">
        <v>60</v>
      </c>
      <c r="D1514" s="8">
        <v>45324</v>
      </c>
      <c r="E1514" s="8" t="str">
        <f t="shared" si="91"/>
        <v>February</v>
      </c>
      <c r="F1514">
        <f t="shared" si="92"/>
        <v>2024</v>
      </c>
      <c r="G1514">
        <f t="shared" si="93"/>
        <v>1</v>
      </c>
      <c r="H1514">
        <f t="shared" si="94"/>
        <v>0</v>
      </c>
      <c r="I1514" s="6">
        <v>0.48402777777777778</v>
      </c>
      <c r="J1514" s="6">
        <v>0.71805555555555556</v>
      </c>
      <c r="K1514" s="7" t="s">
        <v>20</v>
      </c>
      <c r="L1514" s="7" t="s">
        <v>27</v>
      </c>
      <c r="M1514" s="7" t="s">
        <v>21</v>
      </c>
      <c r="N1514" s="7">
        <f>COUNTIFS(A:A,A1514,D:D,D1514,E:E,I1514)</f>
        <v>0</v>
      </c>
    </row>
    <row r="1515" spans="1:14" x14ac:dyDescent="0.3">
      <c r="A1515" s="7" t="s">
        <v>34</v>
      </c>
      <c r="B1515" s="7" t="s">
        <v>35</v>
      </c>
      <c r="C1515" s="7" t="s">
        <v>60</v>
      </c>
      <c r="D1515" s="8">
        <v>45324</v>
      </c>
      <c r="E1515" s="8" t="str">
        <f t="shared" si="91"/>
        <v>February</v>
      </c>
      <c r="F1515">
        <f t="shared" si="92"/>
        <v>2024</v>
      </c>
      <c r="G1515">
        <f t="shared" si="93"/>
        <v>1</v>
      </c>
      <c r="H1515">
        <f t="shared" si="94"/>
        <v>0</v>
      </c>
      <c r="I1515" s="6">
        <v>0.37430555555555556</v>
      </c>
      <c r="J1515" s="6">
        <v>0.85972222222222228</v>
      </c>
      <c r="K1515" s="7" t="s">
        <v>13</v>
      </c>
      <c r="L1515" s="7" t="s">
        <v>27</v>
      </c>
      <c r="M1515" s="7" t="s">
        <v>21</v>
      </c>
      <c r="N1515" s="7">
        <f>COUNTIFS(A:A,A1515,D:D,D1515,E:E,I1515)</f>
        <v>0</v>
      </c>
    </row>
    <row r="1516" spans="1:14" x14ac:dyDescent="0.3">
      <c r="A1516" s="7" t="s">
        <v>362</v>
      </c>
      <c r="B1516" s="7" t="s">
        <v>363</v>
      </c>
      <c r="C1516" s="7" t="s">
        <v>425</v>
      </c>
      <c r="D1516" s="8">
        <v>45321</v>
      </c>
      <c r="E1516" s="8" t="str">
        <f t="shared" si="91"/>
        <v>January</v>
      </c>
      <c r="F1516">
        <f t="shared" si="92"/>
        <v>2024</v>
      </c>
      <c r="G1516">
        <f t="shared" si="93"/>
        <v>1</v>
      </c>
      <c r="H1516">
        <f t="shared" si="94"/>
        <v>0</v>
      </c>
      <c r="I1516" s="6">
        <v>0.47291666666666665</v>
      </c>
      <c r="J1516" s="6">
        <v>0.87013888888888891</v>
      </c>
      <c r="K1516" s="7" t="s">
        <v>13</v>
      </c>
      <c r="L1516" s="7" t="s">
        <v>14</v>
      </c>
      <c r="M1516" s="7" t="s">
        <v>15</v>
      </c>
      <c r="N1516" s="7">
        <f>COUNTIFS(A:A,A1516,D:D,D1516,E:E,I1516)</f>
        <v>0</v>
      </c>
    </row>
    <row r="1517" spans="1:14" x14ac:dyDescent="0.3">
      <c r="A1517" s="7" t="s">
        <v>236</v>
      </c>
      <c r="B1517" s="7" t="s">
        <v>237</v>
      </c>
      <c r="C1517" s="7" t="s">
        <v>64</v>
      </c>
      <c r="D1517" s="8">
        <v>45598</v>
      </c>
      <c r="E1517" s="8" t="str">
        <f t="shared" si="91"/>
        <v>November</v>
      </c>
      <c r="F1517">
        <f t="shared" si="92"/>
        <v>2024</v>
      </c>
      <c r="G1517">
        <f t="shared" si="93"/>
        <v>0</v>
      </c>
      <c r="H1517">
        <f t="shared" si="94"/>
        <v>0</v>
      </c>
      <c r="I1517" s="6"/>
      <c r="J1517" s="6"/>
      <c r="K1517" s="7" t="s">
        <v>44</v>
      </c>
      <c r="L1517" s="7" t="s">
        <v>27</v>
      </c>
      <c r="M1517" s="7" t="s">
        <v>15</v>
      </c>
      <c r="N1517" s="7">
        <f>COUNTIFS(A:A,A1517,D:D,D1517,E:E,I1517)</f>
        <v>0</v>
      </c>
    </row>
    <row r="1518" spans="1:14" x14ac:dyDescent="0.3">
      <c r="A1518" s="7" t="s">
        <v>58</v>
      </c>
      <c r="B1518" s="7" t="s">
        <v>59</v>
      </c>
      <c r="C1518" s="7" t="s">
        <v>60</v>
      </c>
      <c r="D1518" s="8">
        <v>45326</v>
      </c>
      <c r="E1518" s="8" t="str">
        <f t="shared" si="91"/>
        <v>February</v>
      </c>
      <c r="F1518">
        <f t="shared" si="92"/>
        <v>2024</v>
      </c>
      <c r="G1518">
        <f t="shared" si="93"/>
        <v>1</v>
      </c>
      <c r="H1518">
        <f t="shared" si="94"/>
        <v>1</v>
      </c>
      <c r="I1518" s="6">
        <v>0.4513888888888889</v>
      </c>
      <c r="J1518" s="6">
        <v>0.7583333333333333</v>
      </c>
      <c r="K1518" s="7" t="s">
        <v>26</v>
      </c>
      <c r="L1518" s="7" t="s">
        <v>14</v>
      </c>
      <c r="M1518" s="7" t="s">
        <v>15</v>
      </c>
      <c r="N1518" s="7">
        <f>COUNTIFS(A:A,A1518,D:D,D1518,E:E,I1518)</f>
        <v>0</v>
      </c>
    </row>
    <row r="1519" spans="1:14" x14ac:dyDescent="0.3">
      <c r="A1519" s="7" t="s">
        <v>175</v>
      </c>
      <c r="B1519" s="7" t="s">
        <v>176</v>
      </c>
      <c r="C1519" s="7" t="s">
        <v>64</v>
      </c>
      <c r="D1519" s="8">
        <v>45317</v>
      </c>
      <c r="E1519" s="8" t="str">
        <f t="shared" si="91"/>
        <v>January</v>
      </c>
      <c r="F1519">
        <f t="shared" si="92"/>
        <v>2024</v>
      </c>
      <c r="G1519">
        <f t="shared" si="93"/>
        <v>0</v>
      </c>
      <c r="H1519">
        <f t="shared" si="94"/>
        <v>0</v>
      </c>
      <c r="I1519" s="6"/>
      <c r="J1519" s="6"/>
      <c r="K1519" s="7" t="s">
        <v>44</v>
      </c>
      <c r="L1519" s="7" t="s">
        <v>14</v>
      </c>
      <c r="M1519" s="7" t="s">
        <v>21</v>
      </c>
      <c r="N1519" s="7">
        <f>COUNTIFS(A:A,A1519,D:D,D1519,E:E,I1519)</f>
        <v>0</v>
      </c>
    </row>
    <row r="1520" spans="1:14" x14ac:dyDescent="0.3">
      <c r="A1520" s="7" t="s">
        <v>84</v>
      </c>
      <c r="B1520" s="7" t="s">
        <v>85</v>
      </c>
      <c r="C1520" s="7" t="s">
        <v>60</v>
      </c>
      <c r="D1520" s="8">
        <v>45367</v>
      </c>
      <c r="E1520" s="8" t="str">
        <f t="shared" si="91"/>
        <v>March</v>
      </c>
      <c r="F1520">
        <f t="shared" si="92"/>
        <v>2024</v>
      </c>
      <c r="G1520">
        <f t="shared" si="93"/>
        <v>1</v>
      </c>
      <c r="H1520">
        <f t="shared" si="94"/>
        <v>1</v>
      </c>
      <c r="I1520" s="6">
        <v>0.34027777777777779</v>
      </c>
      <c r="J1520" s="6">
        <v>0.82708333333333328</v>
      </c>
      <c r="K1520" s="7" t="s">
        <v>26</v>
      </c>
      <c r="L1520" s="7" t="s">
        <v>27</v>
      </c>
      <c r="M1520" s="7" t="s">
        <v>15</v>
      </c>
      <c r="N1520" s="7">
        <f>COUNTIFS(A:A,A1520,D:D,D1520,E:E,I1520)</f>
        <v>0</v>
      </c>
    </row>
    <row r="1521" spans="1:14" x14ac:dyDescent="0.3">
      <c r="A1521" s="7" t="s">
        <v>119</v>
      </c>
      <c r="B1521" s="7" t="s">
        <v>120</v>
      </c>
      <c r="C1521" s="7" t="s">
        <v>64</v>
      </c>
      <c r="D1521" s="8">
        <v>45476</v>
      </c>
      <c r="E1521" s="8" t="str">
        <f t="shared" si="91"/>
        <v>July</v>
      </c>
      <c r="F1521">
        <f t="shared" si="92"/>
        <v>2024</v>
      </c>
      <c r="G1521">
        <f t="shared" si="93"/>
        <v>1</v>
      </c>
      <c r="H1521">
        <f t="shared" si="94"/>
        <v>1</v>
      </c>
      <c r="I1521" s="6">
        <v>0.39444444444444443</v>
      </c>
      <c r="J1521" s="6">
        <v>0.77361111111111114</v>
      </c>
      <c r="K1521" s="7" t="s">
        <v>26</v>
      </c>
      <c r="L1521" s="7" t="s">
        <v>14</v>
      </c>
      <c r="M1521" s="7" t="s">
        <v>21</v>
      </c>
      <c r="N1521" s="7">
        <f>COUNTIFS(A:A,A1521,D:D,D1521,E:E,I1521)</f>
        <v>0</v>
      </c>
    </row>
    <row r="1522" spans="1:14" x14ac:dyDescent="0.3">
      <c r="A1522" s="7" t="s">
        <v>112</v>
      </c>
      <c r="B1522" s="7" t="s">
        <v>113</v>
      </c>
      <c r="C1522" s="7" t="s">
        <v>426</v>
      </c>
      <c r="D1522" s="8">
        <v>45339</v>
      </c>
      <c r="E1522" s="8" t="str">
        <f t="shared" si="91"/>
        <v>February</v>
      </c>
      <c r="F1522">
        <f t="shared" si="92"/>
        <v>2024</v>
      </c>
      <c r="G1522">
        <f t="shared" si="93"/>
        <v>1</v>
      </c>
      <c r="H1522">
        <f t="shared" si="94"/>
        <v>1</v>
      </c>
      <c r="I1522" s="6">
        <v>0.49166666666666664</v>
      </c>
      <c r="J1522" s="6">
        <v>0.69236111111111109</v>
      </c>
      <c r="K1522" s="7" t="s">
        <v>26</v>
      </c>
      <c r="L1522" s="7" t="s">
        <v>14</v>
      </c>
      <c r="M1522" s="7" t="s">
        <v>15</v>
      </c>
      <c r="N1522" s="7">
        <f>COUNTIFS(A:A,A1522,D:D,D1522,E:E,I1522)</f>
        <v>0</v>
      </c>
    </row>
    <row r="1523" spans="1:14" x14ac:dyDescent="0.3">
      <c r="A1523" s="7" t="s">
        <v>52</v>
      </c>
      <c r="B1523" s="7" t="s">
        <v>53</v>
      </c>
      <c r="C1523" s="7" t="s">
        <v>60</v>
      </c>
      <c r="D1523" s="8">
        <v>45383</v>
      </c>
      <c r="E1523" s="8" t="str">
        <f t="shared" si="91"/>
        <v>April</v>
      </c>
      <c r="F1523">
        <f t="shared" si="92"/>
        <v>2024</v>
      </c>
      <c r="G1523">
        <f t="shared" si="93"/>
        <v>0</v>
      </c>
      <c r="H1523">
        <f t="shared" si="94"/>
        <v>0</v>
      </c>
      <c r="I1523" s="6"/>
      <c r="J1523" s="6"/>
      <c r="K1523" s="7" t="s">
        <v>44</v>
      </c>
      <c r="L1523" s="7" t="s">
        <v>14</v>
      </c>
      <c r="M1523" s="7" t="s">
        <v>15</v>
      </c>
      <c r="N1523" s="7">
        <f>COUNTIFS(A:A,A1523,D:D,D1523,E:E,I1523)</f>
        <v>0</v>
      </c>
    </row>
    <row r="1524" spans="1:14" x14ac:dyDescent="0.3">
      <c r="A1524" s="7" t="s">
        <v>134</v>
      </c>
      <c r="B1524" s="7" t="s">
        <v>135</v>
      </c>
      <c r="C1524" s="7" t="s">
        <v>60</v>
      </c>
      <c r="D1524" s="8">
        <v>45359</v>
      </c>
      <c r="E1524" s="8" t="str">
        <f t="shared" si="91"/>
        <v>March</v>
      </c>
      <c r="F1524">
        <f t="shared" si="92"/>
        <v>2024</v>
      </c>
      <c r="G1524">
        <f t="shared" si="93"/>
        <v>0</v>
      </c>
      <c r="H1524">
        <f t="shared" si="94"/>
        <v>0</v>
      </c>
      <c r="I1524" s="6"/>
      <c r="J1524" s="6"/>
      <c r="K1524" s="7" t="s">
        <v>44</v>
      </c>
      <c r="L1524" s="7" t="s">
        <v>14</v>
      </c>
      <c r="M1524" s="7" t="s">
        <v>21</v>
      </c>
      <c r="N1524" s="7">
        <f>COUNTIFS(A:A,A1524,D:D,D1524,E:E,I1524)</f>
        <v>0</v>
      </c>
    </row>
    <row r="1525" spans="1:14" x14ac:dyDescent="0.3">
      <c r="A1525" s="7" t="s">
        <v>204</v>
      </c>
      <c r="B1525" s="7" t="s">
        <v>205</v>
      </c>
      <c r="C1525" s="7" t="s">
        <v>60</v>
      </c>
      <c r="D1525" s="8">
        <v>45320</v>
      </c>
      <c r="E1525" s="8" t="str">
        <f t="shared" si="91"/>
        <v>January</v>
      </c>
      <c r="F1525">
        <f t="shared" si="92"/>
        <v>2024</v>
      </c>
      <c r="G1525">
        <f t="shared" si="93"/>
        <v>0</v>
      </c>
      <c r="H1525">
        <f t="shared" si="94"/>
        <v>0</v>
      </c>
      <c r="I1525" s="6"/>
      <c r="J1525" s="6"/>
      <c r="K1525" s="7" t="s">
        <v>44</v>
      </c>
      <c r="L1525" s="7" t="s">
        <v>27</v>
      </c>
      <c r="M1525" s="7" t="s">
        <v>15</v>
      </c>
      <c r="N1525" s="7">
        <f>COUNTIFS(A:A,A1525,D:D,D1525,E:E,I1525)</f>
        <v>0</v>
      </c>
    </row>
    <row r="1526" spans="1:14" x14ac:dyDescent="0.3">
      <c r="A1526" s="7" t="s">
        <v>122</v>
      </c>
      <c r="B1526" s="7" t="s">
        <v>123</v>
      </c>
      <c r="C1526" s="7" t="s">
        <v>426</v>
      </c>
      <c r="D1526" s="8">
        <v>45360</v>
      </c>
      <c r="E1526" s="8" t="str">
        <f t="shared" si="91"/>
        <v>March</v>
      </c>
      <c r="F1526">
        <f t="shared" si="92"/>
        <v>2024</v>
      </c>
      <c r="G1526">
        <f t="shared" si="93"/>
        <v>1</v>
      </c>
      <c r="H1526">
        <f t="shared" si="94"/>
        <v>0</v>
      </c>
      <c r="I1526" s="6">
        <v>0.46250000000000002</v>
      </c>
      <c r="J1526" s="6">
        <v>0.84305555555555556</v>
      </c>
      <c r="K1526" s="7" t="s">
        <v>13</v>
      </c>
      <c r="L1526" s="7" t="s">
        <v>14</v>
      </c>
      <c r="M1526" s="7" t="s">
        <v>21</v>
      </c>
      <c r="N1526" s="7">
        <f>COUNTIFS(A:A,A1526,D:D,D1526,E:E,I1526)</f>
        <v>0</v>
      </c>
    </row>
    <row r="1527" spans="1:14" x14ac:dyDescent="0.3">
      <c r="A1527" s="7" t="s">
        <v>22</v>
      </c>
      <c r="B1527" s="7" t="s">
        <v>23</v>
      </c>
      <c r="C1527" s="7" t="s">
        <v>64</v>
      </c>
      <c r="D1527" s="8">
        <v>45326</v>
      </c>
      <c r="E1527" s="8" t="str">
        <f t="shared" si="91"/>
        <v>February</v>
      </c>
      <c r="F1527">
        <f t="shared" si="92"/>
        <v>2024</v>
      </c>
      <c r="G1527">
        <f t="shared" si="93"/>
        <v>1</v>
      </c>
      <c r="H1527">
        <f t="shared" si="94"/>
        <v>0</v>
      </c>
      <c r="I1527" s="6">
        <v>0.38055555555555554</v>
      </c>
      <c r="J1527" s="6">
        <v>0.85277777777777775</v>
      </c>
      <c r="K1527" s="7" t="s">
        <v>13</v>
      </c>
      <c r="L1527" s="7" t="s">
        <v>27</v>
      </c>
      <c r="M1527" s="7" t="s">
        <v>15</v>
      </c>
      <c r="N1527" s="7">
        <f>COUNTIFS(A:A,A1527,D:D,D1527,E:E,I1527)</f>
        <v>0</v>
      </c>
    </row>
    <row r="1528" spans="1:14" x14ac:dyDescent="0.3">
      <c r="A1528" s="7" t="s">
        <v>216</v>
      </c>
      <c r="B1528" s="7" t="s">
        <v>217</v>
      </c>
      <c r="C1528" s="7" t="s">
        <v>60</v>
      </c>
      <c r="D1528" s="8">
        <v>45314</v>
      </c>
      <c r="E1528" s="8" t="str">
        <f t="shared" si="91"/>
        <v>January</v>
      </c>
      <c r="F1528">
        <f t="shared" si="92"/>
        <v>2024</v>
      </c>
      <c r="G1528">
        <f t="shared" si="93"/>
        <v>1</v>
      </c>
      <c r="H1528">
        <f t="shared" si="94"/>
        <v>1</v>
      </c>
      <c r="I1528" s="6">
        <v>0.47638888888888886</v>
      </c>
      <c r="J1528" s="6">
        <v>0.7006944444444444</v>
      </c>
      <c r="K1528" s="7" t="s">
        <v>26</v>
      </c>
      <c r="L1528" s="7" t="s">
        <v>27</v>
      </c>
      <c r="M1528" s="7" t="s">
        <v>15</v>
      </c>
      <c r="N1528" s="7">
        <f>COUNTIFS(A:A,A1528,D:D,D1528,E:E,I1528)</f>
        <v>0</v>
      </c>
    </row>
    <row r="1529" spans="1:14" x14ac:dyDescent="0.3">
      <c r="A1529" s="7" t="s">
        <v>119</v>
      </c>
      <c r="B1529" s="7" t="s">
        <v>120</v>
      </c>
      <c r="C1529" s="7" t="s">
        <v>42</v>
      </c>
      <c r="D1529" s="8">
        <v>45568</v>
      </c>
      <c r="E1529" s="8" t="str">
        <f t="shared" si="91"/>
        <v>October</v>
      </c>
      <c r="F1529">
        <f t="shared" si="92"/>
        <v>2024</v>
      </c>
      <c r="G1529">
        <f t="shared" si="93"/>
        <v>0</v>
      </c>
      <c r="H1529">
        <f t="shared" si="94"/>
        <v>0</v>
      </c>
      <c r="I1529" s="6"/>
      <c r="J1529" s="6"/>
      <c r="K1529" s="7" t="s">
        <v>44</v>
      </c>
      <c r="L1529" s="7" t="s">
        <v>14</v>
      </c>
      <c r="M1529" s="7" t="s">
        <v>21</v>
      </c>
      <c r="N1529" s="7">
        <f>COUNTIFS(A:A,A1529,D:D,D1529,E:E,I1529)</f>
        <v>0</v>
      </c>
    </row>
    <row r="1530" spans="1:14" x14ac:dyDescent="0.3">
      <c r="A1530" s="7" t="s">
        <v>69</v>
      </c>
      <c r="B1530" s="7" t="s">
        <v>70</v>
      </c>
      <c r="C1530" s="7" t="s">
        <v>426</v>
      </c>
      <c r="D1530" s="8">
        <v>45351</v>
      </c>
      <c r="E1530" s="8" t="str">
        <f t="shared" si="91"/>
        <v>February</v>
      </c>
      <c r="F1530">
        <f t="shared" si="92"/>
        <v>2024</v>
      </c>
      <c r="G1530">
        <f t="shared" si="93"/>
        <v>1</v>
      </c>
      <c r="H1530">
        <f t="shared" si="94"/>
        <v>1</v>
      </c>
      <c r="I1530" s="6">
        <v>0.46458333333333335</v>
      </c>
      <c r="J1530" s="6">
        <v>0.75763888888888886</v>
      </c>
      <c r="K1530" s="7" t="s">
        <v>26</v>
      </c>
      <c r="L1530" s="7" t="s">
        <v>14</v>
      </c>
      <c r="M1530" s="7" t="s">
        <v>21</v>
      </c>
      <c r="N1530" s="7">
        <f>COUNTIFS(A:A,A1530,D:D,D1530,E:E,I1530)</f>
        <v>0</v>
      </c>
    </row>
    <row r="1531" spans="1:14" x14ac:dyDescent="0.3">
      <c r="A1531" s="7" t="s">
        <v>58</v>
      </c>
      <c r="B1531" s="7" t="s">
        <v>59</v>
      </c>
      <c r="C1531" s="7" t="s">
        <v>426</v>
      </c>
      <c r="D1531" s="8">
        <v>45299</v>
      </c>
      <c r="E1531" s="8" t="str">
        <f t="shared" si="91"/>
        <v>January</v>
      </c>
      <c r="F1531">
        <f t="shared" si="92"/>
        <v>2024</v>
      </c>
      <c r="G1531">
        <f t="shared" si="93"/>
        <v>1</v>
      </c>
      <c r="H1531">
        <f t="shared" si="94"/>
        <v>0</v>
      </c>
      <c r="I1531" s="6">
        <v>0.40277777777777779</v>
      </c>
      <c r="J1531" s="6">
        <v>0.87361111111111112</v>
      </c>
      <c r="K1531" s="7" t="s">
        <v>20</v>
      </c>
      <c r="L1531" s="7" t="s">
        <v>14</v>
      </c>
      <c r="M1531" s="7" t="s">
        <v>15</v>
      </c>
      <c r="N1531" s="7">
        <f>COUNTIFS(A:A,A1531,D:D,D1531,E:E,I1531)</f>
        <v>0</v>
      </c>
    </row>
    <row r="1532" spans="1:14" x14ac:dyDescent="0.3">
      <c r="A1532" s="7" t="s">
        <v>269</v>
      </c>
      <c r="B1532" s="7" t="s">
        <v>270</v>
      </c>
      <c r="C1532" s="7" t="s">
        <v>426</v>
      </c>
      <c r="D1532" s="8">
        <v>45316</v>
      </c>
      <c r="E1532" s="8" t="str">
        <f t="shared" si="91"/>
        <v>January</v>
      </c>
      <c r="F1532">
        <f t="shared" si="92"/>
        <v>2024</v>
      </c>
      <c r="G1532">
        <f t="shared" si="93"/>
        <v>1</v>
      </c>
      <c r="H1532">
        <f t="shared" si="94"/>
        <v>1</v>
      </c>
      <c r="I1532" s="6">
        <v>0.41597222222222224</v>
      </c>
      <c r="J1532" s="6">
        <v>0.85833333333333328</v>
      </c>
      <c r="K1532" s="7" t="s">
        <v>26</v>
      </c>
      <c r="L1532" s="7" t="s">
        <v>27</v>
      </c>
      <c r="M1532" s="7" t="s">
        <v>15</v>
      </c>
      <c r="N1532" s="7">
        <f>COUNTIFS(A:A,A1532,D:D,D1532,E:E,I1532)</f>
        <v>0</v>
      </c>
    </row>
    <row r="1533" spans="1:14" x14ac:dyDescent="0.3">
      <c r="A1533" s="7" t="s">
        <v>291</v>
      </c>
      <c r="B1533" s="7" t="s">
        <v>292</v>
      </c>
      <c r="C1533" s="7" t="s">
        <v>64</v>
      </c>
      <c r="D1533" s="8">
        <v>45320</v>
      </c>
      <c r="E1533" s="8" t="str">
        <f t="shared" si="91"/>
        <v>January</v>
      </c>
      <c r="F1533">
        <f t="shared" si="92"/>
        <v>2024</v>
      </c>
      <c r="G1533">
        <f t="shared" si="93"/>
        <v>0</v>
      </c>
      <c r="H1533">
        <f t="shared" si="94"/>
        <v>0</v>
      </c>
      <c r="I1533" s="6"/>
      <c r="J1533" s="6"/>
      <c r="K1533" s="7" t="s">
        <v>44</v>
      </c>
      <c r="L1533" s="7" t="s">
        <v>14</v>
      </c>
      <c r="M1533" s="7" t="s">
        <v>15</v>
      </c>
      <c r="N1533" s="7">
        <f>COUNTIFS(A:A,A1533,D:D,D1533,E:E,I1533)</f>
        <v>0</v>
      </c>
    </row>
    <row r="1534" spans="1:14" x14ac:dyDescent="0.3">
      <c r="A1534" s="7" t="s">
        <v>31</v>
      </c>
      <c r="B1534" s="7" t="s">
        <v>32</v>
      </c>
      <c r="C1534" s="7" t="s">
        <v>64</v>
      </c>
      <c r="D1534" s="8">
        <v>45476</v>
      </c>
      <c r="E1534" s="8" t="str">
        <f t="shared" si="91"/>
        <v>July</v>
      </c>
      <c r="F1534">
        <f t="shared" si="92"/>
        <v>2024</v>
      </c>
      <c r="G1534">
        <f t="shared" si="93"/>
        <v>1</v>
      </c>
      <c r="H1534">
        <f t="shared" si="94"/>
        <v>1</v>
      </c>
      <c r="I1534" s="6">
        <v>0.45902777777777776</v>
      </c>
      <c r="J1534" s="6">
        <v>0.69444444444444442</v>
      </c>
      <c r="K1534" s="7" t="s">
        <v>26</v>
      </c>
      <c r="L1534" s="7" t="s">
        <v>14</v>
      </c>
      <c r="M1534" s="7" t="s">
        <v>15</v>
      </c>
      <c r="N1534" s="7">
        <f>COUNTIFS(A:A,A1534,D:D,D1534,E:E,I1534)</f>
        <v>0</v>
      </c>
    </row>
    <row r="1535" spans="1:14" x14ac:dyDescent="0.3">
      <c r="A1535" s="7" t="s">
        <v>134</v>
      </c>
      <c r="B1535" s="7" t="s">
        <v>135</v>
      </c>
      <c r="C1535" s="7" t="s">
        <v>60</v>
      </c>
      <c r="D1535" s="8">
        <v>45347</v>
      </c>
      <c r="E1535" s="8" t="str">
        <f t="shared" si="91"/>
        <v>February</v>
      </c>
      <c r="F1535">
        <f t="shared" si="92"/>
        <v>2024</v>
      </c>
      <c r="G1535">
        <f t="shared" si="93"/>
        <v>0</v>
      </c>
      <c r="H1535">
        <f t="shared" si="94"/>
        <v>0</v>
      </c>
      <c r="I1535" s="6"/>
      <c r="J1535" s="6"/>
      <c r="K1535" s="7" t="s">
        <v>44</v>
      </c>
      <c r="L1535" s="7" t="s">
        <v>14</v>
      </c>
      <c r="M1535" s="7" t="s">
        <v>15</v>
      </c>
      <c r="N1535" s="7">
        <f>COUNTIFS(A:A,A1535,D:D,D1535,E:E,I1535)</f>
        <v>0</v>
      </c>
    </row>
    <row r="1536" spans="1:14" x14ac:dyDescent="0.3">
      <c r="A1536" s="7" t="s">
        <v>122</v>
      </c>
      <c r="B1536" s="7" t="s">
        <v>123</v>
      </c>
      <c r="C1536" s="7" t="s">
        <v>42</v>
      </c>
      <c r="D1536" s="8">
        <v>45379</v>
      </c>
      <c r="E1536" s="8" t="str">
        <f t="shared" si="91"/>
        <v>March</v>
      </c>
      <c r="F1536">
        <f t="shared" si="92"/>
        <v>2024</v>
      </c>
      <c r="G1536">
        <f t="shared" si="93"/>
        <v>1</v>
      </c>
      <c r="H1536">
        <f t="shared" si="94"/>
        <v>1</v>
      </c>
      <c r="I1536" s="6">
        <v>0.375</v>
      </c>
      <c r="J1536" s="6">
        <v>0.71319444444444446</v>
      </c>
      <c r="K1536" s="7" t="s">
        <v>26</v>
      </c>
      <c r="L1536" s="7" t="s">
        <v>27</v>
      </c>
      <c r="M1536" s="7" t="s">
        <v>21</v>
      </c>
      <c r="N1536" s="7">
        <f>COUNTIFS(A:A,A1536,D:D,D1536,E:E,I1536)</f>
        <v>0</v>
      </c>
    </row>
    <row r="1537" spans="1:14" x14ac:dyDescent="0.3">
      <c r="A1537" s="7" t="s">
        <v>28</v>
      </c>
      <c r="B1537" s="7" t="s">
        <v>29</v>
      </c>
      <c r="C1537" s="7" t="s">
        <v>42</v>
      </c>
      <c r="D1537" s="8">
        <v>45292</v>
      </c>
      <c r="E1537" s="8" t="str">
        <f t="shared" si="91"/>
        <v>January</v>
      </c>
      <c r="F1537">
        <f t="shared" si="92"/>
        <v>2024</v>
      </c>
      <c r="G1537">
        <f t="shared" si="93"/>
        <v>1</v>
      </c>
      <c r="H1537">
        <f t="shared" si="94"/>
        <v>0</v>
      </c>
      <c r="I1537" s="6">
        <v>0.39027777777777778</v>
      </c>
      <c r="J1537" s="6">
        <v>0.6743055555555556</v>
      </c>
      <c r="K1537" s="7" t="s">
        <v>20</v>
      </c>
      <c r="L1537" s="7" t="s">
        <v>14</v>
      </c>
      <c r="M1537" s="7" t="s">
        <v>21</v>
      </c>
      <c r="N1537" s="7">
        <f>COUNTIFS(A:A,A1537,D:D,D1537,E:E,I1537)</f>
        <v>0</v>
      </c>
    </row>
    <row r="1538" spans="1:14" x14ac:dyDescent="0.3">
      <c r="A1538" s="7" t="s">
        <v>194</v>
      </c>
      <c r="B1538" s="7" t="s">
        <v>195</v>
      </c>
      <c r="C1538" s="7" t="s">
        <v>426</v>
      </c>
      <c r="D1538" s="8">
        <v>45345</v>
      </c>
      <c r="E1538" s="8" t="str">
        <f t="shared" ref="E1538:E1601" si="95">TEXT(D1538,"mmmm")</f>
        <v>February</v>
      </c>
      <c r="F1538">
        <f t="shared" ref="F1538:F1601" si="96">YEAR(D1538)</f>
        <v>2024</v>
      </c>
      <c r="G1538">
        <f t="shared" ref="G1538:G1601" si="97">IF(LOWER(K1538)="absent",0,1)</f>
        <v>1</v>
      </c>
      <c r="H1538">
        <f t="shared" ref="H1538:H1601" si="98">IF(K1538="Late",1,0)</f>
        <v>1</v>
      </c>
      <c r="I1538" s="6">
        <v>0.33402777777777776</v>
      </c>
      <c r="J1538" s="6">
        <v>0.82847222222222228</v>
      </c>
      <c r="K1538" s="7" t="s">
        <v>26</v>
      </c>
      <c r="L1538" s="7" t="s">
        <v>14</v>
      </c>
      <c r="M1538" s="7" t="s">
        <v>15</v>
      </c>
      <c r="N1538" s="7">
        <f>COUNTIFS(A:A,A1538,D:D,D1538,E:E,I1538)</f>
        <v>0</v>
      </c>
    </row>
    <row r="1539" spans="1:14" x14ac:dyDescent="0.3">
      <c r="A1539" s="7" t="s">
        <v>194</v>
      </c>
      <c r="B1539" s="7" t="s">
        <v>195</v>
      </c>
      <c r="C1539" s="7" t="s">
        <v>64</v>
      </c>
      <c r="D1539" s="8">
        <v>45360</v>
      </c>
      <c r="E1539" s="8" t="str">
        <f t="shared" si="95"/>
        <v>March</v>
      </c>
      <c r="F1539">
        <f t="shared" si="96"/>
        <v>2024</v>
      </c>
      <c r="G1539">
        <f t="shared" si="97"/>
        <v>1</v>
      </c>
      <c r="H1539">
        <f t="shared" si="98"/>
        <v>1</v>
      </c>
      <c r="I1539" s="6">
        <v>0.43402777777777779</v>
      </c>
      <c r="J1539" s="6">
        <v>0.68611111111111112</v>
      </c>
      <c r="K1539" s="7" t="s">
        <v>26</v>
      </c>
      <c r="L1539" s="7" t="s">
        <v>14</v>
      </c>
      <c r="M1539" s="7" t="s">
        <v>15</v>
      </c>
      <c r="N1539" s="7">
        <f>COUNTIFS(A:A,A1539,D:D,D1539,E:E,I1539)</f>
        <v>0</v>
      </c>
    </row>
    <row r="1540" spans="1:14" x14ac:dyDescent="0.3">
      <c r="A1540" s="7" t="s">
        <v>93</v>
      </c>
      <c r="B1540" s="7" t="s">
        <v>94</v>
      </c>
      <c r="C1540" s="7" t="s">
        <v>425</v>
      </c>
      <c r="D1540" s="8">
        <v>45336</v>
      </c>
      <c r="E1540" s="8" t="str">
        <f t="shared" si="95"/>
        <v>February</v>
      </c>
      <c r="F1540">
        <f t="shared" si="96"/>
        <v>2024</v>
      </c>
      <c r="G1540">
        <f t="shared" si="97"/>
        <v>1</v>
      </c>
      <c r="H1540">
        <f t="shared" si="98"/>
        <v>1</v>
      </c>
      <c r="I1540" s="6">
        <v>0.40138888888888891</v>
      </c>
      <c r="J1540" s="6">
        <v>0.79097222222222219</v>
      </c>
      <c r="K1540" s="7" t="s">
        <v>26</v>
      </c>
      <c r="L1540" s="7" t="s">
        <v>27</v>
      </c>
      <c r="M1540" s="7" t="s">
        <v>15</v>
      </c>
      <c r="N1540" s="7">
        <f>COUNTIFS(A:A,A1540,D:D,D1540,E:E,I1540)</f>
        <v>0</v>
      </c>
    </row>
    <row r="1541" spans="1:14" x14ac:dyDescent="0.3">
      <c r="A1541" s="7" t="s">
        <v>165</v>
      </c>
      <c r="B1541" s="7" t="s">
        <v>166</v>
      </c>
      <c r="C1541" s="7" t="s">
        <v>425</v>
      </c>
      <c r="D1541" s="8">
        <v>45307</v>
      </c>
      <c r="E1541" s="8" t="str">
        <f t="shared" si="95"/>
        <v>January</v>
      </c>
      <c r="F1541">
        <f t="shared" si="96"/>
        <v>2024</v>
      </c>
      <c r="G1541">
        <f t="shared" si="97"/>
        <v>0</v>
      </c>
      <c r="H1541">
        <f t="shared" si="98"/>
        <v>0</v>
      </c>
      <c r="I1541" s="6"/>
      <c r="J1541" s="6"/>
      <c r="K1541" s="7" t="s">
        <v>44</v>
      </c>
      <c r="L1541" s="7" t="s">
        <v>14</v>
      </c>
      <c r="M1541" s="7" t="s">
        <v>15</v>
      </c>
      <c r="N1541" s="7">
        <f>COUNTIFS(A:A,A1541,D:D,D1541,E:E,I1541)</f>
        <v>0</v>
      </c>
    </row>
    <row r="1542" spans="1:14" x14ac:dyDescent="0.3">
      <c r="A1542" s="7" t="s">
        <v>122</v>
      </c>
      <c r="B1542" s="7" t="s">
        <v>123</v>
      </c>
      <c r="C1542" s="7" t="s">
        <v>426</v>
      </c>
      <c r="D1542" s="8">
        <v>45312</v>
      </c>
      <c r="E1542" s="8" t="str">
        <f t="shared" si="95"/>
        <v>January</v>
      </c>
      <c r="F1542">
        <f t="shared" si="96"/>
        <v>2024</v>
      </c>
      <c r="G1542">
        <f t="shared" si="97"/>
        <v>1</v>
      </c>
      <c r="H1542">
        <f t="shared" si="98"/>
        <v>0</v>
      </c>
      <c r="I1542" s="6">
        <v>0.46805555555555556</v>
      </c>
      <c r="J1542" s="6">
        <v>0.72986111111111107</v>
      </c>
      <c r="K1542" s="7" t="s">
        <v>20</v>
      </c>
      <c r="L1542" s="7" t="s">
        <v>27</v>
      </c>
      <c r="M1542" s="7" t="s">
        <v>21</v>
      </c>
      <c r="N1542" s="7">
        <f>COUNTIFS(A:A,A1542,D:D,D1542,E:E,I1542)</f>
        <v>0</v>
      </c>
    </row>
    <row r="1543" spans="1:14" x14ac:dyDescent="0.3">
      <c r="A1543" s="7" t="s">
        <v>58</v>
      </c>
      <c r="B1543" s="7" t="s">
        <v>59</v>
      </c>
      <c r="C1543" s="7" t="s">
        <v>426</v>
      </c>
      <c r="D1543" s="8">
        <v>45304</v>
      </c>
      <c r="E1543" s="8" t="str">
        <f t="shared" si="95"/>
        <v>January</v>
      </c>
      <c r="F1543">
        <f t="shared" si="96"/>
        <v>2024</v>
      </c>
      <c r="G1543">
        <f t="shared" si="97"/>
        <v>0</v>
      </c>
      <c r="H1543">
        <f t="shared" si="98"/>
        <v>0</v>
      </c>
      <c r="I1543" s="6"/>
      <c r="J1543" s="6"/>
      <c r="K1543" s="7" t="s">
        <v>44</v>
      </c>
      <c r="L1543" s="7" t="s">
        <v>14</v>
      </c>
      <c r="M1543" s="7" t="s">
        <v>15</v>
      </c>
      <c r="N1543" s="7">
        <f>COUNTIFS(A:A,A1543,D:D,D1543,E:E,I1543)</f>
        <v>0</v>
      </c>
    </row>
    <row r="1544" spans="1:14" x14ac:dyDescent="0.3">
      <c r="A1544" s="7" t="s">
        <v>93</v>
      </c>
      <c r="B1544" s="7" t="s">
        <v>94</v>
      </c>
      <c r="C1544" s="7" t="s">
        <v>42</v>
      </c>
      <c r="D1544" s="8">
        <v>45339</v>
      </c>
      <c r="E1544" s="8" t="str">
        <f t="shared" si="95"/>
        <v>February</v>
      </c>
      <c r="F1544">
        <f t="shared" si="96"/>
        <v>2024</v>
      </c>
      <c r="G1544">
        <f t="shared" si="97"/>
        <v>1</v>
      </c>
      <c r="H1544">
        <f t="shared" si="98"/>
        <v>1</v>
      </c>
      <c r="I1544" s="6">
        <v>0.49305555555555558</v>
      </c>
      <c r="J1544" s="6">
        <v>0.81111111111111112</v>
      </c>
      <c r="K1544" s="7" t="s">
        <v>26</v>
      </c>
      <c r="L1544" s="7" t="s">
        <v>14</v>
      </c>
      <c r="M1544" s="7" t="s">
        <v>15</v>
      </c>
      <c r="N1544" s="7">
        <f>COUNTIFS(A:A,A1544,D:D,D1544,E:E,I1544)</f>
        <v>0</v>
      </c>
    </row>
    <row r="1545" spans="1:14" x14ac:dyDescent="0.3">
      <c r="A1545" s="7" t="s">
        <v>45</v>
      </c>
      <c r="B1545" s="7" t="s">
        <v>46</v>
      </c>
      <c r="C1545" s="7" t="s">
        <v>42</v>
      </c>
      <c r="D1545" s="8">
        <v>45506</v>
      </c>
      <c r="E1545" s="8" t="str">
        <f t="shared" si="95"/>
        <v>August</v>
      </c>
      <c r="F1545">
        <f t="shared" si="96"/>
        <v>2024</v>
      </c>
      <c r="G1545">
        <f t="shared" si="97"/>
        <v>1</v>
      </c>
      <c r="H1545">
        <f t="shared" si="98"/>
        <v>0</v>
      </c>
      <c r="I1545" s="6">
        <v>0.46944444444444444</v>
      </c>
      <c r="J1545" s="6">
        <v>0.72499999999999998</v>
      </c>
      <c r="K1545" s="7" t="s">
        <v>13</v>
      </c>
      <c r="L1545" s="7" t="s">
        <v>27</v>
      </c>
      <c r="M1545" s="7" t="s">
        <v>15</v>
      </c>
      <c r="N1545" s="7">
        <f>COUNTIFS(A:A,A1545,D:D,D1545,E:E,I1545)</f>
        <v>0</v>
      </c>
    </row>
    <row r="1546" spans="1:14" x14ac:dyDescent="0.3">
      <c r="A1546" s="7" t="s">
        <v>146</v>
      </c>
      <c r="B1546" s="7" t="s">
        <v>147</v>
      </c>
      <c r="C1546" s="7" t="s">
        <v>64</v>
      </c>
      <c r="D1546" s="8">
        <v>45323</v>
      </c>
      <c r="E1546" s="8" t="str">
        <f t="shared" si="95"/>
        <v>February</v>
      </c>
      <c r="F1546">
        <f t="shared" si="96"/>
        <v>2024</v>
      </c>
      <c r="G1546">
        <f t="shared" si="97"/>
        <v>1</v>
      </c>
      <c r="H1546">
        <f t="shared" si="98"/>
        <v>0</v>
      </c>
      <c r="I1546" s="6">
        <v>0.41319444444444442</v>
      </c>
      <c r="J1546" s="6">
        <v>0.85416666666666663</v>
      </c>
      <c r="K1546" s="7" t="s">
        <v>13</v>
      </c>
      <c r="L1546" s="7" t="s">
        <v>27</v>
      </c>
      <c r="M1546" s="7" t="s">
        <v>15</v>
      </c>
      <c r="N1546" s="7">
        <f>COUNTIFS(A:A,A1546,D:D,D1546,E:E,I1546)</f>
        <v>0</v>
      </c>
    </row>
    <row r="1547" spans="1:14" x14ac:dyDescent="0.3">
      <c r="A1547" s="7" t="s">
        <v>37</v>
      </c>
      <c r="B1547" s="7" t="s">
        <v>38</v>
      </c>
      <c r="C1547" s="7" t="s">
        <v>425</v>
      </c>
      <c r="D1547" s="8">
        <v>45353</v>
      </c>
      <c r="E1547" s="8" t="str">
        <f t="shared" si="95"/>
        <v>March</v>
      </c>
      <c r="F1547">
        <f t="shared" si="96"/>
        <v>2024</v>
      </c>
      <c r="G1547">
        <f t="shared" si="97"/>
        <v>0</v>
      </c>
      <c r="H1547">
        <f t="shared" si="98"/>
        <v>0</v>
      </c>
      <c r="I1547" s="6"/>
      <c r="J1547" s="6"/>
      <c r="K1547" s="7" t="s">
        <v>44</v>
      </c>
      <c r="L1547" s="7" t="s">
        <v>27</v>
      </c>
      <c r="M1547" s="7" t="s">
        <v>21</v>
      </c>
      <c r="N1547" s="7">
        <f>COUNTIFS(A:A,A1547,D:D,D1547,E:E,I1547)</f>
        <v>0</v>
      </c>
    </row>
    <row r="1548" spans="1:14" x14ac:dyDescent="0.3">
      <c r="A1548" s="7" t="s">
        <v>52</v>
      </c>
      <c r="B1548" s="7" t="s">
        <v>53</v>
      </c>
      <c r="C1548" s="7" t="s">
        <v>426</v>
      </c>
      <c r="D1548" s="8">
        <v>45340</v>
      </c>
      <c r="E1548" s="8" t="str">
        <f t="shared" si="95"/>
        <v>February</v>
      </c>
      <c r="F1548">
        <f t="shared" si="96"/>
        <v>2024</v>
      </c>
      <c r="G1548">
        <f t="shared" si="97"/>
        <v>1</v>
      </c>
      <c r="H1548">
        <f t="shared" si="98"/>
        <v>1</v>
      </c>
      <c r="I1548" s="6">
        <v>0.48125000000000001</v>
      </c>
      <c r="J1548" s="6">
        <v>0.73124999999999996</v>
      </c>
      <c r="K1548" s="7" t="s">
        <v>26</v>
      </c>
      <c r="L1548" s="7" t="s">
        <v>14</v>
      </c>
      <c r="M1548" s="7" t="s">
        <v>15</v>
      </c>
      <c r="N1548" s="7">
        <f>COUNTIFS(A:A,A1548,D:D,D1548,E:E,I1548)</f>
        <v>0</v>
      </c>
    </row>
    <row r="1549" spans="1:14" x14ac:dyDescent="0.3">
      <c r="A1549" s="7" t="s">
        <v>141</v>
      </c>
      <c r="B1549" s="7" t="s">
        <v>142</v>
      </c>
      <c r="C1549" s="7" t="s">
        <v>60</v>
      </c>
      <c r="D1549" s="8">
        <v>45344</v>
      </c>
      <c r="E1549" s="8" t="str">
        <f t="shared" si="95"/>
        <v>February</v>
      </c>
      <c r="F1549">
        <f t="shared" si="96"/>
        <v>2024</v>
      </c>
      <c r="G1549">
        <f t="shared" si="97"/>
        <v>1</v>
      </c>
      <c r="H1549">
        <f t="shared" si="98"/>
        <v>1</v>
      </c>
      <c r="I1549" s="6">
        <v>0.33680555555555558</v>
      </c>
      <c r="J1549" s="6">
        <v>0.70694444444444449</v>
      </c>
      <c r="K1549" s="7" t="s">
        <v>26</v>
      </c>
      <c r="L1549" s="7" t="s">
        <v>14</v>
      </c>
      <c r="M1549" s="7" t="s">
        <v>15</v>
      </c>
      <c r="N1549" s="7">
        <f>COUNTIFS(A:A,A1549,D:D,D1549,E:E,I1549)</f>
        <v>0</v>
      </c>
    </row>
    <row r="1550" spans="1:14" x14ac:dyDescent="0.3">
      <c r="A1550" s="7" t="s">
        <v>22</v>
      </c>
      <c r="B1550" s="7" t="s">
        <v>23</v>
      </c>
      <c r="C1550" s="7" t="s">
        <v>425</v>
      </c>
      <c r="D1550" s="8">
        <v>45310</v>
      </c>
      <c r="E1550" s="8" t="str">
        <f t="shared" si="95"/>
        <v>January</v>
      </c>
      <c r="F1550">
        <f t="shared" si="96"/>
        <v>2024</v>
      </c>
      <c r="G1550">
        <f t="shared" si="97"/>
        <v>1</v>
      </c>
      <c r="H1550">
        <f t="shared" si="98"/>
        <v>1</v>
      </c>
      <c r="I1550" s="6">
        <v>0.45277777777777778</v>
      </c>
      <c r="J1550" s="6">
        <v>0.72499999999999998</v>
      </c>
      <c r="K1550" s="7" t="s">
        <v>26</v>
      </c>
      <c r="L1550" s="7" t="s">
        <v>14</v>
      </c>
      <c r="M1550" s="7" t="s">
        <v>21</v>
      </c>
      <c r="N1550" s="7">
        <f>COUNTIFS(A:A,A1550,D:D,D1550,E:E,I1550)</f>
        <v>0</v>
      </c>
    </row>
    <row r="1551" spans="1:14" x14ac:dyDescent="0.3">
      <c r="A1551" s="7" t="s">
        <v>269</v>
      </c>
      <c r="B1551" s="7" t="s">
        <v>270</v>
      </c>
      <c r="C1551" s="7" t="s">
        <v>425</v>
      </c>
      <c r="D1551" s="8">
        <v>45351</v>
      </c>
      <c r="E1551" s="8" t="str">
        <f t="shared" si="95"/>
        <v>February</v>
      </c>
      <c r="F1551">
        <f t="shared" si="96"/>
        <v>2024</v>
      </c>
      <c r="G1551">
        <f t="shared" si="97"/>
        <v>1</v>
      </c>
      <c r="H1551">
        <f t="shared" si="98"/>
        <v>0</v>
      </c>
      <c r="I1551" s="6">
        <v>0.44305555555555554</v>
      </c>
      <c r="J1551" s="6">
        <v>0.77430555555555558</v>
      </c>
      <c r="K1551" s="7" t="s">
        <v>20</v>
      </c>
      <c r="L1551" s="7" t="s">
        <v>14</v>
      </c>
      <c r="M1551" s="7" t="s">
        <v>15</v>
      </c>
      <c r="N1551" s="7">
        <f>COUNTIFS(A:A,A1551,D:D,D1551,E:E,I1551)</f>
        <v>0</v>
      </c>
    </row>
    <row r="1552" spans="1:14" x14ac:dyDescent="0.3">
      <c r="A1552" s="7" t="s">
        <v>204</v>
      </c>
      <c r="B1552" s="7" t="s">
        <v>205</v>
      </c>
      <c r="C1552" s="7" t="s">
        <v>64</v>
      </c>
      <c r="D1552" s="8">
        <v>45319</v>
      </c>
      <c r="E1552" s="8" t="str">
        <f t="shared" si="95"/>
        <v>January</v>
      </c>
      <c r="F1552">
        <f t="shared" si="96"/>
        <v>2024</v>
      </c>
      <c r="G1552">
        <f t="shared" si="97"/>
        <v>1</v>
      </c>
      <c r="H1552">
        <f t="shared" si="98"/>
        <v>0</v>
      </c>
      <c r="I1552" s="6">
        <v>0.45208333333333334</v>
      </c>
      <c r="J1552" s="6">
        <v>0.71736111111111112</v>
      </c>
      <c r="K1552" s="7" t="s">
        <v>13</v>
      </c>
      <c r="L1552" s="7" t="s">
        <v>14</v>
      </c>
      <c r="M1552" s="7" t="s">
        <v>15</v>
      </c>
      <c r="N1552" s="7">
        <f>COUNTIFS(A:A,A1552,D:D,D1552,E:E,I1552)</f>
        <v>0</v>
      </c>
    </row>
    <row r="1553" spans="1:14" x14ac:dyDescent="0.3">
      <c r="A1553" s="7" t="s">
        <v>66</v>
      </c>
      <c r="B1553" s="7" t="s">
        <v>67</v>
      </c>
      <c r="C1553" s="7" t="s">
        <v>60</v>
      </c>
      <c r="D1553" s="8">
        <v>45307</v>
      </c>
      <c r="E1553" s="8" t="str">
        <f t="shared" si="95"/>
        <v>January</v>
      </c>
      <c r="F1553">
        <f t="shared" si="96"/>
        <v>2024</v>
      </c>
      <c r="G1553">
        <f t="shared" si="97"/>
        <v>1</v>
      </c>
      <c r="H1553">
        <f t="shared" si="98"/>
        <v>0</v>
      </c>
      <c r="I1553" s="6">
        <v>0.49513888888888891</v>
      </c>
      <c r="J1553" s="6">
        <v>0.67291666666666672</v>
      </c>
      <c r="K1553" s="7" t="s">
        <v>20</v>
      </c>
      <c r="L1553" s="7" t="s">
        <v>14</v>
      </c>
      <c r="M1553" s="7" t="s">
        <v>21</v>
      </c>
      <c r="N1553" s="7">
        <f>COUNTIFS(A:A,A1553,D:D,D1553,E:E,I1553)</f>
        <v>0</v>
      </c>
    </row>
    <row r="1554" spans="1:14" x14ac:dyDescent="0.3">
      <c r="A1554" s="7" t="s">
        <v>22</v>
      </c>
      <c r="B1554" s="7" t="s">
        <v>23</v>
      </c>
      <c r="C1554" s="7" t="s">
        <v>426</v>
      </c>
      <c r="D1554" s="8">
        <v>45307</v>
      </c>
      <c r="E1554" s="8" t="str">
        <f t="shared" si="95"/>
        <v>January</v>
      </c>
      <c r="F1554">
        <f t="shared" si="96"/>
        <v>2024</v>
      </c>
      <c r="G1554">
        <f t="shared" si="97"/>
        <v>0</v>
      </c>
      <c r="H1554">
        <f t="shared" si="98"/>
        <v>0</v>
      </c>
      <c r="I1554" s="6"/>
      <c r="J1554" s="6"/>
      <c r="K1554" s="7" t="s">
        <v>44</v>
      </c>
      <c r="L1554" s="7" t="s">
        <v>14</v>
      </c>
      <c r="M1554" s="7" t="s">
        <v>15</v>
      </c>
      <c r="N1554" s="7">
        <f>COUNTIFS(A:A,A1554,D:D,D1554,E:E,I1554)</f>
        <v>0</v>
      </c>
    </row>
    <row r="1555" spans="1:14" x14ac:dyDescent="0.3">
      <c r="A1555" s="7" t="s">
        <v>45</v>
      </c>
      <c r="B1555" s="7" t="s">
        <v>46</v>
      </c>
      <c r="C1555" s="7" t="s">
        <v>60</v>
      </c>
      <c r="D1555" s="8">
        <v>45567</v>
      </c>
      <c r="E1555" s="8" t="str">
        <f t="shared" si="95"/>
        <v>October</v>
      </c>
      <c r="F1555">
        <f t="shared" si="96"/>
        <v>2024</v>
      </c>
      <c r="G1555">
        <f t="shared" si="97"/>
        <v>1</v>
      </c>
      <c r="H1555">
        <f t="shared" si="98"/>
        <v>1</v>
      </c>
      <c r="I1555" s="6">
        <v>0.36805555555555558</v>
      </c>
      <c r="J1555" s="6">
        <v>0.81874999999999998</v>
      </c>
      <c r="K1555" s="7" t="s">
        <v>26</v>
      </c>
      <c r="L1555" s="7" t="s">
        <v>14</v>
      </c>
      <c r="M1555" s="7" t="s">
        <v>21</v>
      </c>
      <c r="N1555" s="7">
        <f>COUNTIFS(A:A,A1555,D:D,D1555,E:E,I1555)</f>
        <v>0</v>
      </c>
    </row>
    <row r="1556" spans="1:14" x14ac:dyDescent="0.3">
      <c r="A1556" s="7" t="s">
        <v>96</v>
      </c>
      <c r="B1556" s="7" t="s">
        <v>97</v>
      </c>
      <c r="C1556" s="7" t="s">
        <v>426</v>
      </c>
      <c r="D1556" s="8">
        <v>45339</v>
      </c>
      <c r="E1556" s="8" t="str">
        <f t="shared" si="95"/>
        <v>February</v>
      </c>
      <c r="F1556">
        <f t="shared" si="96"/>
        <v>2024</v>
      </c>
      <c r="G1556">
        <f t="shared" si="97"/>
        <v>1</v>
      </c>
      <c r="H1556">
        <f t="shared" si="98"/>
        <v>1</v>
      </c>
      <c r="I1556" s="6">
        <v>0.35902777777777778</v>
      </c>
      <c r="J1556" s="6">
        <v>0.84166666666666667</v>
      </c>
      <c r="K1556" s="7" t="s">
        <v>26</v>
      </c>
      <c r="L1556" s="7" t="s">
        <v>14</v>
      </c>
      <c r="M1556" s="7" t="s">
        <v>21</v>
      </c>
      <c r="N1556" s="7">
        <f>COUNTIFS(A:A,A1556,D:D,D1556,E:E,I1556)</f>
        <v>0</v>
      </c>
    </row>
    <row r="1557" spans="1:14" x14ac:dyDescent="0.3">
      <c r="A1557" s="7" t="s">
        <v>362</v>
      </c>
      <c r="B1557" s="7" t="s">
        <v>363</v>
      </c>
      <c r="C1557" s="7" t="s">
        <v>42</v>
      </c>
      <c r="D1557" s="8">
        <v>45415</v>
      </c>
      <c r="E1557" s="8" t="str">
        <f t="shared" si="95"/>
        <v>May</v>
      </c>
      <c r="F1557">
        <f t="shared" si="96"/>
        <v>2024</v>
      </c>
      <c r="G1557">
        <f t="shared" si="97"/>
        <v>1</v>
      </c>
      <c r="H1557">
        <f t="shared" si="98"/>
        <v>1</v>
      </c>
      <c r="I1557" s="6">
        <v>0.37430555555555556</v>
      </c>
      <c r="J1557" s="6">
        <v>0.84166666666666667</v>
      </c>
      <c r="K1557" s="7" t="s">
        <v>26</v>
      </c>
      <c r="L1557" s="7" t="s">
        <v>14</v>
      </c>
      <c r="M1557" s="7" t="s">
        <v>21</v>
      </c>
      <c r="N1557" s="7">
        <f>COUNTIFS(A:A,A1557,D:D,D1557,E:E,I1557)</f>
        <v>0</v>
      </c>
    </row>
    <row r="1558" spans="1:14" x14ac:dyDescent="0.3">
      <c r="A1558" s="7" t="s">
        <v>45</v>
      </c>
      <c r="B1558" s="7" t="s">
        <v>46</v>
      </c>
      <c r="C1558" s="7" t="s">
        <v>42</v>
      </c>
      <c r="D1558" s="8">
        <v>45316</v>
      </c>
      <c r="E1558" s="8" t="str">
        <f t="shared" si="95"/>
        <v>January</v>
      </c>
      <c r="F1558">
        <f t="shared" si="96"/>
        <v>2024</v>
      </c>
      <c r="G1558">
        <f t="shared" si="97"/>
        <v>1</v>
      </c>
      <c r="H1558">
        <f t="shared" si="98"/>
        <v>0</v>
      </c>
      <c r="I1558" s="6">
        <v>0.35486111111111113</v>
      </c>
      <c r="J1558" s="6">
        <v>0.85833333333333328</v>
      </c>
      <c r="K1558" s="7" t="s">
        <v>13</v>
      </c>
      <c r="L1558" s="7" t="s">
        <v>14</v>
      </c>
      <c r="M1558" s="7" t="s">
        <v>21</v>
      </c>
      <c r="N1558" s="7">
        <f>COUNTIFS(A:A,A1558,D:D,D1558,E:E,I1558)</f>
        <v>0</v>
      </c>
    </row>
    <row r="1559" spans="1:14" x14ac:dyDescent="0.3">
      <c r="A1559" s="7" t="s">
        <v>45</v>
      </c>
      <c r="B1559" s="7" t="s">
        <v>46</v>
      </c>
      <c r="C1559" s="7" t="s">
        <v>426</v>
      </c>
      <c r="D1559" s="8">
        <v>45299</v>
      </c>
      <c r="E1559" s="8" t="str">
        <f t="shared" si="95"/>
        <v>January</v>
      </c>
      <c r="F1559">
        <f t="shared" si="96"/>
        <v>2024</v>
      </c>
      <c r="G1559">
        <f t="shared" si="97"/>
        <v>0</v>
      </c>
      <c r="H1559">
        <f t="shared" si="98"/>
        <v>0</v>
      </c>
      <c r="I1559" s="6"/>
      <c r="J1559" s="6"/>
      <c r="K1559" s="7" t="s">
        <v>44</v>
      </c>
      <c r="L1559" s="7" t="s">
        <v>27</v>
      </c>
      <c r="M1559" s="7" t="s">
        <v>21</v>
      </c>
      <c r="N1559" s="7">
        <f>COUNTIFS(A:A,A1559,D:D,D1559,E:E,I1559)</f>
        <v>0</v>
      </c>
    </row>
    <row r="1560" spans="1:14" x14ac:dyDescent="0.3">
      <c r="A1560" s="7" t="s">
        <v>236</v>
      </c>
      <c r="B1560" s="7" t="s">
        <v>237</v>
      </c>
      <c r="C1560" s="7" t="s">
        <v>64</v>
      </c>
      <c r="D1560" s="8">
        <v>45315</v>
      </c>
      <c r="E1560" s="8" t="str">
        <f t="shared" si="95"/>
        <v>January</v>
      </c>
      <c r="F1560">
        <f t="shared" si="96"/>
        <v>2024</v>
      </c>
      <c r="G1560">
        <f t="shared" si="97"/>
        <v>1</v>
      </c>
      <c r="H1560">
        <f t="shared" si="98"/>
        <v>0</v>
      </c>
      <c r="I1560" s="6">
        <v>0.46736111111111112</v>
      </c>
      <c r="J1560" s="6">
        <v>0.73472222222222228</v>
      </c>
      <c r="K1560" s="7" t="s">
        <v>20</v>
      </c>
      <c r="L1560" s="7" t="s">
        <v>27</v>
      </c>
      <c r="M1560" s="7" t="s">
        <v>15</v>
      </c>
      <c r="N1560" s="7">
        <f>COUNTIFS(A:A,A1560,D:D,D1560,E:E,I1560)</f>
        <v>0</v>
      </c>
    </row>
    <row r="1561" spans="1:14" x14ac:dyDescent="0.3">
      <c r="A1561" s="7" t="s">
        <v>213</v>
      </c>
      <c r="B1561" s="7" t="s">
        <v>214</v>
      </c>
      <c r="C1561" s="7" t="s">
        <v>42</v>
      </c>
      <c r="D1561" s="8">
        <v>45599</v>
      </c>
      <c r="E1561" s="8" t="str">
        <f t="shared" si="95"/>
        <v>November</v>
      </c>
      <c r="F1561">
        <f t="shared" si="96"/>
        <v>2024</v>
      </c>
      <c r="G1561">
        <f t="shared" si="97"/>
        <v>1</v>
      </c>
      <c r="H1561">
        <f t="shared" si="98"/>
        <v>0</v>
      </c>
      <c r="I1561" s="6">
        <v>0.46736111111111112</v>
      </c>
      <c r="J1561" s="6">
        <v>0.75763888888888886</v>
      </c>
      <c r="K1561" s="7" t="s">
        <v>13</v>
      </c>
      <c r="L1561" s="7" t="s">
        <v>27</v>
      </c>
      <c r="M1561" s="7" t="s">
        <v>21</v>
      </c>
      <c r="N1561" s="7">
        <f>COUNTIFS(A:A,A1561,D:D,D1561,E:E,I1561)</f>
        <v>0</v>
      </c>
    </row>
    <row r="1562" spans="1:14" x14ac:dyDescent="0.3">
      <c r="A1562" s="7" t="s">
        <v>62</v>
      </c>
      <c r="B1562" s="7" t="s">
        <v>63</v>
      </c>
      <c r="C1562" s="7" t="s">
        <v>64</v>
      </c>
      <c r="D1562" s="8">
        <v>45444</v>
      </c>
      <c r="E1562" s="8" t="str">
        <f t="shared" si="95"/>
        <v>June</v>
      </c>
      <c r="F1562">
        <f t="shared" si="96"/>
        <v>2024</v>
      </c>
      <c r="G1562">
        <f t="shared" si="97"/>
        <v>0</v>
      </c>
      <c r="H1562">
        <f t="shared" si="98"/>
        <v>0</v>
      </c>
      <c r="I1562" s="6"/>
      <c r="J1562" s="6"/>
      <c r="K1562" s="7" t="s">
        <v>44</v>
      </c>
      <c r="L1562" s="7" t="s">
        <v>27</v>
      </c>
      <c r="M1562" s="7" t="s">
        <v>21</v>
      </c>
      <c r="N1562" s="7">
        <f>COUNTIFS(A:A,A1562,D:D,D1562,E:E,I1562)</f>
        <v>0</v>
      </c>
    </row>
    <row r="1563" spans="1:14" x14ac:dyDescent="0.3">
      <c r="A1563" s="7" t="s">
        <v>55</v>
      </c>
      <c r="B1563" s="7" t="s">
        <v>56</v>
      </c>
      <c r="C1563" s="7" t="s">
        <v>60</v>
      </c>
      <c r="D1563" s="8">
        <v>45318</v>
      </c>
      <c r="E1563" s="8" t="str">
        <f t="shared" si="95"/>
        <v>January</v>
      </c>
      <c r="F1563">
        <f t="shared" si="96"/>
        <v>2024</v>
      </c>
      <c r="G1563">
        <f t="shared" si="97"/>
        <v>1</v>
      </c>
      <c r="H1563">
        <f t="shared" si="98"/>
        <v>0</v>
      </c>
      <c r="I1563" s="6">
        <v>0.34027777777777779</v>
      </c>
      <c r="J1563" s="6">
        <v>0.67500000000000004</v>
      </c>
      <c r="K1563" s="7" t="s">
        <v>20</v>
      </c>
      <c r="L1563" s="7" t="s">
        <v>14</v>
      </c>
      <c r="M1563" s="7" t="s">
        <v>21</v>
      </c>
      <c r="N1563" s="7">
        <f>COUNTIFS(A:A,A1563,D:D,D1563,E:E,I1563)</f>
        <v>0</v>
      </c>
    </row>
    <row r="1564" spans="1:14" x14ac:dyDescent="0.3">
      <c r="A1564" s="7" t="s">
        <v>96</v>
      </c>
      <c r="B1564" s="7" t="s">
        <v>97</v>
      </c>
      <c r="C1564" s="7" t="s">
        <v>60</v>
      </c>
      <c r="D1564" s="8">
        <v>45314</v>
      </c>
      <c r="E1564" s="8" t="str">
        <f t="shared" si="95"/>
        <v>January</v>
      </c>
      <c r="F1564">
        <f t="shared" si="96"/>
        <v>2024</v>
      </c>
      <c r="G1564">
        <f t="shared" si="97"/>
        <v>1</v>
      </c>
      <c r="H1564">
        <f t="shared" si="98"/>
        <v>0</v>
      </c>
      <c r="I1564" s="6">
        <v>0.3527777777777778</v>
      </c>
      <c r="J1564" s="6">
        <v>0.83333333333333337</v>
      </c>
      <c r="K1564" s="7" t="s">
        <v>20</v>
      </c>
      <c r="L1564" s="7" t="s">
        <v>27</v>
      </c>
      <c r="M1564" s="7" t="s">
        <v>21</v>
      </c>
      <c r="N1564" s="7">
        <f>COUNTIFS(A:A,A1564,D:D,D1564,E:E,I1564)</f>
        <v>0</v>
      </c>
    </row>
    <row r="1565" spans="1:14" x14ac:dyDescent="0.3">
      <c r="A1565" s="7" t="s">
        <v>31</v>
      </c>
      <c r="B1565" s="7" t="s">
        <v>32</v>
      </c>
      <c r="C1565" s="7" t="s">
        <v>64</v>
      </c>
      <c r="D1565" s="8">
        <v>45303</v>
      </c>
      <c r="E1565" s="8" t="str">
        <f t="shared" si="95"/>
        <v>January</v>
      </c>
      <c r="F1565">
        <f t="shared" si="96"/>
        <v>2024</v>
      </c>
      <c r="G1565">
        <f t="shared" si="97"/>
        <v>0</v>
      </c>
      <c r="H1565">
        <f t="shared" si="98"/>
        <v>0</v>
      </c>
      <c r="I1565" s="6"/>
      <c r="J1565" s="6"/>
      <c r="K1565" s="7" t="s">
        <v>44</v>
      </c>
      <c r="L1565" s="7" t="s">
        <v>14</v>
      </c>
      <c r="M1565" s="7" t="s">
        <v>21</v>
      </c>
      <c r="N1565" s="7">
        <f>COUNTIFS(A:A,A1565,D:D,D1565,E:E,I1565)</f>
        <v>0</v>
      </c>
    </row>
    <row r="1566" spans="1:14" x14ac:dyDescent="0.3">
      <c r="A1566" s="7" t="s">
        <v>72</v>
      </c>
      <c r="B1566" s="7" t="s">
        <v>73</v>
      </c>
      <c r="C1566" s="7" t="s">
        <v>64</v>
      </c>
      <c r="D1566" s="8">
        <v>45341</v>
      </c>
      <c r="E1566" s="8" t="str">
        <f t="shared" si="95"/>
        <v>February</v>
      </c>
      <c r="F1566">
        <f t="shared" si="96"/>
        <v>2024</v>
      </c>
      <c r="G1566">
        <f t="shared" si="97"/>
        <v>1</v>
      </c>
      <c r="H1566">
        <f t="shared" si="98"/>
        <v>0</v>
      </c>
      <c r="I1566" s="6">
        <v>0.36805555555555558</v>
      </c>
      <c r="J1566" s="6">
        <v>0.73888888888888893</v>
      </c>
      <c r="K1566" s="7" t="s">
        <v>13</v>
      </c>
      <c r="L1566" s="7" t="s">
        <v>14</v>
      </c>
      <c r="M1566" s="7" t="s">
        <v>21</v>
      </c>
      <c r="N1566" s="7">
        <f>COUNTIFS(A:A,A1566,D:D,D1566,E:E,I1566)</f>
        <v>0</v>
      </c>
    </row>
    <row r="1567" spans="1:14" x14ac:dyDescent="0.3">
      <c r="A1567" s="7" t="s">
        <v>75</v>
      </c>
      <c r="B1567" s="7" t="s">
        <v>76</v>
      </c>
      <c r="C1567" s="7" t="s">
        <v>426</v>
      </c>
      <c r="D1567" s="8">
        <v>45301</v>
      </c>
      <c r="E1567" s="8" t="str">
        <f t="shared" si="95"/>
        <v>January</v>
      </c>
      <c r="F1567">
        <f t="shared" si="96"/>
        <v>2024</v>
      </c>
      <c r="G1567">
        <f t="shared" si="97"/>
        <v>1</v>
      </c>
      <c r="H1567">
        <f t="shared" si="98"/>
        <v>0</v>
      </c>
      <c r="I1567" s="6">
        <v>0.44166666666666665</v>
      </c>
      <c r="J1567" s="6">
        <v>0.79236111111111107</v>
      </c>
      <c r="K1567" s="7" t="s">
        <v>13</v>
      </c>
      <c r="L1567" s="7" t="s">
        <v>14</v>
      </c>
      <c r="M1567" s="7" t="s">
        <v>15</v>
      </c>
      <c r="N1567" s="7">
        <f>COUNTIFS(A:A,A1567,D:D,D1567,E:E,I1567)</f>
        <v>0</v>
      </c>
    </row>
    <row r="1568" spans="1:14" x14ac:dyDescent="0.3">
      <c r="A1568" s="7" t="s">
        <v>55</v>
      </c>
      <c r="B1568" s="7" t="s">
        <v>56</v>
      </c>
      <c r="C1568" s="7" t="s">
        <v>426</v>
      </c>
      <c r="D1568" s="8">
        <v>45379</v>
      </c>
      <c r="E1568" s="8" t="str">
        <f t="shared" si="95"/>
        <v>March</v>
      </c>
      <c r="F1568">
        <f t="shared" si="96"/>
        <v>2024</v>
      </c>
      <c r="G1568">
        <f t="shared" si="97"/>
        <v>1</v>
      </c>
      <c r="H1568">
        <f t="shared" si="98"/>
        <v>0</v>
      </c>
      <c r="I1568" s="6">
        <v>0.40486111111111112</v>
      </c>
      <c r="J1568" s="6">
        <v>0.79305555555555551</v>
      </c>
      <c r="K1568" s="7" t="s">
        <v>13</v>
      </c>
      <c r="L1568" s="7" t="s">
        <v>27</v>
      </c>
      <c r="M1568" s="7" t="s">
        <v>15</v>
      </c>
      <c r="N1568" s="7">
        <f>COUNTIFS(A:A,A1568,D:D,D1568,E:E,I1568)</f>
        <v>0</v>
      </c>
    </row>
    <row r="1569" spans="1:14" x14ac:dyDescent="0.3">
      <c r="A1569" s="7" t="s">
        <v>250</v>
      </c>
      <c r="B1569" s="7" t="s">
        <v>251</v>
      </c>
      <c r="C1569" s="7" t="s">
        <v>426</v>
      </c>
      <c r="D1569" s="8">
        <v>45308</v>
      </c>
      <c r="E1569" s="8" t="str">
        <f t="shared" si="95"/>
        <v>January</v>
      </c>
      <c r="F1569">
        <f t="shared" si="96"/>
        <v>2024</v>
      </c>
      <c r="G1569">
        <f t="shared" si="97"/>
        <v>1</v>
      </c>
      <c r="H1569">
        <f t="shared" si="98"/>
        <v>0</v>
      </c>
      <c r="I1569" s="6">
        <v>0.38124999999999998</v>
      </c>
      <c r="J1569" s="6">
        <v>0.81458333333333333</v>
      </c>
      <c r="K1569" s="7" t="s">
        <v>13</v>
      </c>
      <c r="L1569" s="7" t="s">
        <v>27</v>
      </c>
      <c r="M1569" s="7" t="s">
        <v>21</v>
      </c>
      <c r="N1569" s="7">
        <f>COUNTIFS(A:A,A1569,D:D,D1569,E:E,I1569)</f>
        <v>0</v>
      </c>
    </row>
    <row r="1570" spans="1:14" x14ac:dyDescent="0.3">
      <c r="A1570" s="7" t="s">
        <v>146</v>
      </c>
      <c r="B1570" s="7" t="s">
        <v>147</v>
      </c>
      <c r="C1570" s="7" t="s">
        <v>425</v>
      </c>
      <c r="D1570" s="8">
        <v>45368</v>
      </c>
      <c r="E1570" s="8" t="str">
        <f t="shared" si="95"/>
        <v>March</v>
      </c>
      <c r="F1570">
        <f t="shared" si="96"/>
        <v>2024</v>
      </c>
      <c r="G1570">
        <f t="shared" si="97"/>
        <v>1</v>
      </c>
      <c r="H1570">
        <f t="shared" si="98"/>
        <v>1</v>
      </c>
      <c r="I1570" s="6">
        <v>0.40277777777777779</v>
      </c>
      <c r="J1570" s="6">
        <v>0.71388888888888891</v>
      </c>
      <c r="K1570" s="7" t="s">
        <v>26</v>
      </c>
      <c r="L1570" s="7" t="s">
        <v>27</v>
      </c>
      <c r="M1570" s="7" t="s">
        <v>15</v>
      </c>
      <c r="N1570" s="7">
        <f>COUNTIFS(A:A,A1570,D:D,D1570,E:E,I1570)</f>
        <v>0</v>
      </c>
    </row>
    <row r="1571" spans="1:14" x14ac:dyDescent="0.3">
      <c r="A1571" s="7" t="s">
        <v>115</v>
      </c>
      <c r="B1571" s="7" t="s">
        <v>116</v>
      </c>
      <c r="C1571" s="7" t="s">
        <v>426</v>
      </c>
      <c r="D1571" s="8">
        <v>45336</v>
      </c>
      <c r="E1571" s="8" t="str">
        <f t="shared" si="95"/>
        <v>February</v>
      </c>
      <c r="F1571">
        <f t="shared" si="96"/>
        <v>2024</v>
      </c>
      <c r="G1571">
        <f t="shared" si="97"/>
        <v>0</v>
      </c>
      <c r="H1571">
        <f t="shared" si="98"/>
        <v>0</v>
      </c>
      <c r="I1571" s="6"/>
      <c r="J1571" s="6"/>
      <c r="K1571" s="7" t="s">
        <v>44</v>
      </c>
      <c r="L1571" s="7" t="s">
        <v>27</v>
      </c>
      <c r="M1571" s="7" t="s">
        <v>15</v>
      </c>
      <c r="N1571" s="7">
        <f>COUNTIFS(A:A,A1571,D:D,D1571,E:E,I1571)</f>
        <v>0</v>
      </c>
    </row>
    <row r="1572" spans="1:14" x14ac:dyDescent="0.3">
      <c r="A1572" s="7" t="s">
        <v>150</v>
      </c>
      <c r="B1572" s="7" t="s">
        <v>151</v>
      </c>
      <c r="C1572" s="7" t="s">
        <v>42</v>
      </c>
      <c r="D1572" s="8">
        <v>45322</v>
      </c>
      <c r="E1572" s="8" t="str">
        <f t="shared" si="95"/>
        <v>January</v>
      </c>
      <c r="F1572">
        <f t="shared" si="96"/>
        <v>2024</v>
      </c>
      <c r="G1572">
        <f t="shared" si="97"/>
        <v>1</v>
      </c>
      <c r="H1572">
        <f t="shared" si="98"/>
        <v>1</v>
      </c>
      <c r="I1572" s="6">
        <v>0.35555555555555557</v>
      </c>
      <c r="J1572" s="6">
        <v>0.82777777777777772</v>
      </c>
      <c r="K1572" s="7" t="s">
        <v>26</v>
      </c>
      <c r="L1572" s="7" t="s">
        <v>14</v>
      </c>
      <c r="M1572" s="7" t="s">
        <v>21</v>
      </c>
      <c r="N1572" s="7">
        <f>COUNTIFS(A:A,A1572,D:D,D1572,E:E,I1572)</f>
        <v>0</v>
      </c>
    </row>
    <row r="1573" spans="1:14" x14ac:dyDescent="0.3">
      <c r="A1573" s="7" t="s">
        <v>291</v>
      </c>
      <c r="B1573" s="7" t="s">
        <v>292</v>
      </c>
      <c r="C1573" s="7" t="s">
        <v>42</v>
      </c>
      <c r="D1573" s="8">
        <v>45373</v>
      </c>
      <c r="E1573" s="8" t="str">
        <f t="shared" si="95"/>
        <v>March</v>
      </c>
      <c r="F1573">
        <f t="shared" si="96"/>
        <v>2024</v>
      </c>
      <c r="G1573">
        <f t="shared" si="97"/>
        <v>0</v>
      </c>
      <c r="H1573">
        <f t="shared" si="98"/>
        <v>0</v>
      </c>
      <c r="I1573" s="6"/>
      <c r="J1573" s="6"/>
      <c r="K1573" s="7" t="s">
        <v>44</v>
      </c>
      <c r="L1573" s="7" t="s">
        <v>27</v>
      </c>
      <c r="M1573" s="7" t="s">
        <v>21</v>
      </c>
      <c r="N1573" s="7">
        <f>COUNTIFS(A:A,A1573,D:D,D1573,E:E,I1573)</f>
        <v>0</v>
      </c>
    </row>
    <row r="1574" spans="1:14" x14ac:dyDescent="0.3">
      <c r="A1574" s="7" t="s">
        <v>84</v>
      </c>
      <c r="B1574" s="7" t="s">
        <v>85</v>
      </c>
      <c r="C1574" s="7" t="s">
        <v>64</v>
      </c>
      <c r="D1574" s="8">
        <v>45360</v>
      </c>
      <c r="E1574" s="8" t="str">
        <f t="shared" si="95"/>
        <v>March</v>
      </c>
      <c r="F1574">
        <f t="shared" si="96"/>
        <v>2024</v>
      </c>
      <c r="G1574">
        <f t="shared" si="97"/>
        <v>1</v>
      </c>
      <c r="H1574">
        <f t="shared" si="98"/>
        <v>0</v>
      </c>
      <c r="I1574" s="6">
        <v>0.48541666666666666</v>
      </c>
      <c r="J1574" s="6">
        <v>0.73124999999999996</v>
      </c>
      <c r="K1574" s="7" t="s">
        <v>13</v>
      </c>
      <c r="L1574" s="7" t="s">
        <v>27</v>
      </c>
      <c r="M1574" s="7" t="s">
        <v>21</v>
      </c>
      <c r="N1574" s="7">
        <f>COUNTIFS(A:A,A1574,D:D,D1574,E:E,I1574)</f>
        <v>0</v>
      </c>
    </row>
    <row r="1575" spans="1:14" x14ac:dyDescent="0.3">
      <c r="A1575" s="7" t="s">
        <v>87</v>
      </c>
      <c r="B1575" s="7" t="s">
        <v>88</v>
      </c>
      <c r="C1575" s="7" t="s">
        <v>426</v>
      </c>
      <c r="D1575" s="8">
        <v>45334</v>
      </c>
      <c r="E1575" s="8" t="str">
        <f t="shared" si="95"/>
        <v>February</v>
      </c>
      <c r="F1575">
        <f t="shared" si="96"/>
        <v>2024</v>
      </c>
      <c r="G1575">
        <f t="shared" si="97"/>
        <v>0</v>
      </c>
      <c r="H1575">
        <f t="shared" si="98"/>
        <v>0</v>
      </c>
      <c r="I1575" s="6"/>
      <c r="J1575" s="6"/>
      <c r="K1575" s="7" t="s">
        <v>44</v>
      </c>
      <c r="L1575" s="7" t="s">
        <v>27</v>
      </c>
      <c r="M1575" s="7" t="s">
        <v>15</v>
      </c>
      <c r="N1575" s="7">
        <f>COUNTIFS(A:A,A1575,D:D,D1575,E:E,I1575)</f>
        <v>0</v>
      </c>
    </row>
    <row r="1576" spans="1:14" x14ac:dyDescent="0.3">
      <c r="A1576" s="7" t="s">
        <v>84</v>
      </c>
      <c r="B1576" s="7" t="s">
        <v>85</v>
      </c>
      <c r="C1576" s="7" t="s">
        <v>64</v>
      </c>
      <c r="D1576" s="8">
        <v>45377</v>
      </c>
      <c r="E1576" s="8" t="str">
        <f t="shared" si="95"/>
        <v>March</v>
      </c>
      <c r="F1576">
        <f t="shared" si="96"/>
        <v>2024</v>
      </c>
      <c r="G1576">
        <f t="shared" si="97"/>
        <v>1</v>
      </c>
      <c r="H1576">
        <f t="shared" si="98"/>
        <v>0</v>
      </c>
      <c r="I1576" s="6">
        <v>0.44166666666666665</v>
      </c>
      <c r="J1576" s="6">
        <v>0.72222222222222221</v>
      </c>
      <c r="K1576" s="7" t="s">
        <v>20</v>
      </c>
      <c r="L1576" s="7" t="s">
        <v>27</v>
      </c>
      <c r="M1576" s="7" t="s">
        <v>21</v>
      </c>
      <c r="N1576" s="7">
        <f>COUNTIFS(A:A,A1576,D:D,D1576,E:E,I1576)</f>
        <v>0</v>
      </c>
    </row>
    <row r="1577" spans="1:14" x14ac:dyDescent="0.3">
      <c r="A1577" s="7" t="s">
        <v>93</v>
      </c>
      <c r="B1577" s="7" t="s">
        <v>94</v>
      </c>
      <c r="C1577" s="7" t="s">
        <v>42</v>
      </c>
      <c r="D1577" s="8">
        <v>45378</v>
      </c>
      <c r="E1577" s="8" t="str">
        <f t="shared" si="95"/>
        <v>March</v>
      </c>
      <c r="F1577">
        <f t="shared" si="96"/>
        <v>2024</v>
      </c>
      <c r="G1577">
        <f t="shared" si="97"/>
        <v>1</v>
      </c>
      <c r="H1577">
        <f t="shared" si="98"/>
        <v>0</v>
      </c>
      <c r="I1577" s="6">
        <v>0.48680555555555555</v>
      </c>
      <c r="J1577" s="6">
        <v>0.78680555555555554</v>
      </c>
      <c r="K1577" s="7" t="s">
        <v>13</v>
      </c>
      <c r="L1577" s="7" t="s">
        <v>27</v>
      </c>
      <c r="M1577" s="7" t="s">
        <v>21</v>
      </c>
      <c r="N1577" s="7">
        <f>COUNTIFS(A:A,A1577,D:D,D1577,E:E,I1577)</f>
        <v>0</v>
      </c>
    </row>
    <row r="1578" spans="1:14" x14ac:dyDescent="0.3">
      <c r="A1578" s="7" t="s">
        <v>112</v>
      </c>
      <c r="B1578" s="7" t="s">
        <v>113</v>
      </c>
      <c r="C1578" s="7" t="s">
        <v>64</v>
      </c>
      <c r="D1578" s="8">
        <v>45507</v>
      </c>
      <c r="E1578" s="8" t="str">
        <f t="shared" si="95"/>
        <v>August</v>
      </c>
      <c r="F1578">
        <f t="shared" si="96"/>
        <v>2024</v>
      </c>
      <c r="G1578">
        <f t="shared" si="97"/>
        <v>1</v>
      </c>
      <c r="H1578">
        <f t="shared" si="98"/>
        <v>1</v>
      </c>
      <c r="I1578" s="6">
        <v>0.4826388888888889</v>
      </c>
      <c r="J1578" s="6">
        <v>0.67500000000000004</v>
      </c>
      <c r="K1578" s="7" t="s">
        <v>26</v>
      </c>
      <c r="L1578" s="7" t="s">
        <v>27</v>
      </c>
      <c r="M1578" s="7" t="s">
        <v>21</v>
      </c>
      <c r="N1578" s="7">
        <f>COUNTIFS(A:A,A1578,D:D,D1578,E:E,I1578)</f>
        <v>0</v>
      </c>
    </row>
    <row r="1579" spans="1:14" x14ac:dyDescent="0.3">
      <c r="A1579" s="7" t="s">
        <v>204</v>
      </c>
      <c r="B1579" s="7" t="s">
        <v>205</v>
      </c>
      <c r="C1579" s="7" t="s">
        <v>60</v>
      </c>
      <c r="D1579" s="8">
        <v>45376</v>
      </c>
      <c r="E1579" s="8" t="str">
        <f t="shared" si="95"/>
        <v>March</v>
      </c>
      <c r="F1579">
        <f t="shared" si="96"/>
        <v>2024</v>
      </c>
      <c r="G1579">
        <f t="shared" si="97"/>
        <v>1</v>
      </c>
      <c r="H1579">
        <f t="shared" si="98"/>
        <v>0</v>
      </c>
      <c r="I1579" s="6">
        <v>0.48888888888888887</v>
      </c>
      <c r="J1579" s="6">
        <v>0.87361111111111112</v>
      </c>
      <c r="K1579" s="7" t="s">
        <v>20</v>
      </c>
      <c r="L1579" s="7" t="s">
        <v>27</v>
      </c>
      <c r="M1579" s="7" t="s">
        <v>15</v>
      </c>
      <c r="N1579" s="7">
        <f>COUNTIFS(A:A,A1579,D:D,D1579,E:E,I1579)</f>
        <v>0</v>
      </c>
    </row>
    <row r="1580" spans="1:14" x14ac:dyDescent="0.3">
      <c r="A1580" s="7" t="s">
        <v>138</v>
      </c>
      <c r="B1580" s="7" t="s">
        <v>139</v>
      </c>
      <c r="C1580" s="7" t="s">
        <v>42</v>
      </c>
      <c r="D1580" s="8">
        <v>45475</v>
      </c>
      <c r="E1580" s="8" t="str">
        <f t="shared" si="95"/>
        <v>July</v>
      </c>
      <c r="F1580">
        <f t="shared" si="96"/>
        <v>2024</v>
      </c>
      <c r="G1580">
        <f t="shared" si="97"/>
        <v>1</v>
      </c>
      <c r="H1580">
        <f t="shared" si="98"/>
        <v>0</v>
      </c>
      <c r="I1580" s="6">
        <v>0.4597222222222222</v>
      </c>
      <c r="J1580" s="6">
        <v>0.67708333333333337</v>
      </c>
      <c r="K1580" s="7" t="s">
        <v>20</v>
      </c>
      <c r="L1580" s="7" t="s">
        <v>27</v>
      </c>
      <c r="M1580" s="7" t="s">
        <v>21</v>
      </c>
      <c r="N1580" s="7">
        <f>COUNTIFS(A:A,A1580,D:D,D1580,E:E,I1580)</f>
        <v>0</v>
      </c>
    </row>
    <row r="1581" spans="1:14" x14ac:dyDescent="0.3">
      <c r="A1581" s="7" t="s">
        <v>75</v>
      </c>
      <c r="B1581" s="7" t="s">
        <v>76</v>
      </c>
      <c r="C1581" s="7" t="s">
        <v>60</v>
      </c>
      <c r="D1581" s="8">
        <v>45369</v>
      </c>
      <c r="E1581" s="8" t="str">
        <f t="shared" si="95"/>
        <v>March</v>
      </c>
      <c r="F1581">
        <f t="shared" si="96"/>
        <v>2024</v>
      </c>
      <c r="G1581">
        <f t="shared" si="97"/>
        <v>1</v>
      </c>
      <c r="H1581">
        <f t="shared" si="98"/>
        <v>1</v>
      </c>
      <c r="I1581" s="6">
        <v>0.41249999999999998</v>
      </c>
      <c r="J1581" s="6">
        <v>0.70833333333333337</v>
      </c>
      <c r="K1581" s="7" t="s">
        <v>26</v>
      </c>
      <c r="L1581" s="7" t="s">
        <v>27</v>
      </c>
      <c r="M1581" s="7" t="s">
        <v>21</v>
      </c>
      <c r="N1581" s="7">
        <f>COUNTIFS(A:A,A1581,D:D,D1581,E:E,I1581)</f>
        <v>0</v>
      </c>
    </row>
    <row r="1582" spans="1:14" x14ac:dyDescent="0.3">
      <c r="A1582" s="7" t="s">
        <v>154</v>
      </c>
      <c r="B1582" s="7" t="s">
        <v>155</v>
      </c>
      <c r="C1582" s="7" t="s">
        <v>426</v>
      </c>
      <c r="D1582" s="8">
        <v>45342</v>
      </c>
      <c r="E1582" s="8" t="str">
        <f t="shared" si="95"/>
        <v>February</v>
      </c>
      <c r="F1582">
        <f t="shared" si="96"/>
        <v>2024</v>
      </c>
      <c r="G1582">
        <f t="shared" si="97"/>
        <v>1</v>
      </c>
      <c r="H1582">
        <f t="shared" si="98"/>
        <v>0</v>
      </c>
      <c r="I1582" s="6">
        <v>0.46666666666666667</v>
      </c>
      <c r="J1582" s="6">
        <v>0.67708333333333337</v>
      </c>
      <c r="K1582" s="7" t="s">
        <v>20</v>
      </c>
      <c r="L1582" s="7" t="s">
        <v>14</v>
      </c>
      <c r="M1582" s="7" t="s">
        <v>21</v>
      </c>
      <c r="N1582" s="7">
        <f>COUNTIFS(A:A,A1582,D:D,D1582,E:E,I1582)</f>
        <v>0</v>
      </c>
    </row>
    <row r="1583" spans="1:14" x14ac:dyDescent="0.3">
      <c r="A1583" s="7" t="s">
        <v>66</v>
      </c>
      <c r="B1583" s="7" t="s">
        <v>67</v>
      </c>
      <c r="C1583" s="7" t="s">
        <v>426</v>
      </c>
      <c r="D1583" s="8">
        <v>45309</v>
      </c>
      <c r="E1583" s="8" t="str">
        <f t="shared" si="95"/>
        <v>January</v>
      </c>
      <c r="F1583">
        <f t="shared" si="96"/>
        <v>2024</v>
      </c>
      <c r="G1583">
        <f t="shared" si="97"/>
        <v>1</v>
      </c>
      <c r="H1583">
        <f t="shared" si="98"/>
        <v>1</v>
      </c>
      <c r="I1583" s="6">
        <v>0.48749999999999999</v>
      </c>
      <c r="J1583" s="6">
        <v>0.7319444444444444</v>
      </c>
      <c r="K1583" s="7" t="s">
        <v>26</v>
      </c>
      <c r="L1583" s="7" t="s">
        <v>27</v>
      </c>
      <c r="M1583" s="7" t="s">
        <v>15</v>
      </c>
      <c r="N1583" s="7">
        <f>COUNTIFS(A:A,A1583,D:D,D1583,E:E,I1583)</f>
        <v>0</v>
      </c>
    </row>
    <row r="1584" spans="1:14" x14ac:dyDescent="0.3">
      <c r="A1584" s="7" t="s">
        <v>122</v>
      </c>
      <c r="B1584" s="7" t="s">
        <v>123</v>
      </c>
      <c r="C1584" s="7" t="s">
        <v>64</v>
      </c>
      <c r="D1584" s="8">
        <v>45538</v>
      </c>
      <c r="E1584" s="8" t="str">
        <f t="shared" si="95"/>
        <v>September</v>
      </c>
      <c r="F1584">
        <f t="shared" si="96"/>
        <v>2024</v>
      </c>
      <c r="G1584">
        <f t="shared" si="97"/>
        <v>1</v>
      </c>
      <c r="H1584">
        <f t="shared" si="98"/>
        <v>1</v>
      </c>
      <c r="I1584" s="6">
        <v>0.34652777777777777</v>
      </c>
      <c r="J1584" s="6">
        <v>0.87430555555555556</v>
      </c>
      <c r="K1584" s="7" t="s">
        <v>26</v>
      </c>
      <c r="L1584" s="7" t="s">
        <v>27</v>
      </c>
      <c r="M1584" s="7" t="s">
        <v>21</v>
      </c>
      <c r="N1584" s="7">
        <f>COUNTIFS(A:A,A1584,D:D,D1584,E:E,I1584)</f>
        <v>0</v>
      </c>
    </row>
    <row r="1585" spans="1:14" x14ac:dyDescent="0.3">
      <c r="A1585" s="7" t="s">
        <v>146</v>
      </c>
      <c r="B1585" s="7" t="s">
        <v>147</v>
      </c>
      <c r="C1585" s="7" t="s">
        <v>60</v>
      </c>
      <c r="D1585" s="8">
        <v>45369</v>
      </c>
      <c r="E1585" s="8" t="str">
        <f t="shared" si="95"/>
        <v>March</v>
      </c>
      <c r="F1585">
        <f t="shared" si="96"/>
        <v>2024</v>
      </c>
      <c r="G1585">
        <f t="shared" si="97"/>
        <v>1</v>
      </c>
      <c r="H1585">
        <f t="shared" si="98"/>
        <v>0</v>
      </c>
      <c r="I1585" s="6">
        <v>0.34861111111111109</v>
      </c>
      <c r="J1585" s="6">
        <v>0.73472222222222228</v>
      </c>
      <c r="K1585" s="7" t="s">
        <v>20</v>
      </c>
      <c r="L1585" s="7" t="s">
        <v>27</v>
      </c>
      <c r="M1585" s="7" t="s">
        <v>15</v>
      </c>
      <c r="N1585" s="7">
        <f>COUNTIFS(A:A,A1585,D:D,D1585,E:E,I1585)</f>
        <v>0</v>
      </c>
    </row>
    <row r="1586" spans="1:14" x14ac:dyDescent="0.3">
      <c r="A1586" s="7" t="s">
        <v>146</v>
      </c>
      <c r="B1586" s="7" t="s">
        <v>147</v>
      </c>
      <c r="C1586" s="7" t="s">
        <v>426</v>
      </c>
      <c r="D1586" s="8">
        <v>45330</v>
      </c>
      <c r="E1586" s="8" t="str">
        <f t="shared" si="95"/>
        <v>February</v>
      </c>
      <c r="F1586">
        <f t="shared" si="96"/>
        <v>2024</v>
      </c>
      <c r="G1586">
        <f t="shared" si="97"/>
        <v>1</v>
      </c>
      <c r="H1586">
        <f t="shared" si="98"/>
        <v>0</v>
      </c>
      <c r="I1586" s="6">
        <v>0.33680555555555558</v>
      </c>
      <c r="J1586" s="6">
        <v>0.75069444444444444</v>
      </c>
      <c r="K1586" s="7" t="s">
        <v>13</v>
      </c>
      <c r="L1586" s="7" t="s">
        <v>14</v>
      </c>
      <c r="M1586" s="7" t="s">
        <v>21</v>
      </c>
      <c r="N1586" s="7">
        <f>COUNTIFS(A:A,A1586,D:D,D1586,E:E,I1586)</f>
        <v>0</v>
      </c>
    </row>
    <row r="1587" spans="1:14" x14ac:dyDescent="0.3">
      <c r="A1587" s="7" t="s">
        <v>52</v>
      </c>
      <c r="B1587" s="7" t="s">
        <v>53</v>
      </c>
      <c r="C1587" s="7" t="s">
        <v>42</v>
      </c>
      <c r="D1587" s="8">
        <v>45361</v>
      </c>
      <c r="E1587" s="8" t="str">
        <f t="shared" si="95"/>
        <v>March</v>
      </c>
      <c r="F1587">
        <f t="shared" si="96"/>
        <v>2024</v>
      </c>
      <c r="G1587">
        <f t="shared" si="97"/>
        <v>1</v>
      </c>
      <c r="H1587">
        <f t="shared" si="98"/>
        <v>0</v>
      </c>
      <c r="I1587" s="6">
        <v>0.39791666666666664</v>
      </c>
      <c r="J1587" s="6">
        <v>0.80486111111111114</v>
      </c>
      <c r="K1587" s="7" t="s">
        <v>20</v>
      </c>
      <c r="L1587" s="7" t="s">
        <v>14</v>
      </c>
      <c r="M1587" s="7" t="s">
        <v>15</v>
      </c>
      <c r="N1587" s="7">
        <f>COUNTIFS(A:A,A1587,D:D,D1587,E:E,I1587)</f>
        <v>0</v>
      </c>
    </row>
    <row r="1588" spans="1:14" x14ac:dyDescent="0.3">
      <c r="A1588" s="7" t="s">
        <v>72</v>
      </c>
      <c r="B1588" s="7" t="s">
        <v>73</v>
      </c>
      <c r="C1588" s="7" t="s">
        <v>64</v>
      </c>
      <c r="D1588" s="8">
        <v>45415</v>
      </c>
      <c r="E1588" s="8" t="str">
        <f t="shared" si="95"/>
        <v>May</v>
      </c>
      <c r="F1588">
        <f t="shared" si="96"/>
        <v>2024</v>
      </c>
      <c r="G1588">
        <f t="shared" si="97"/>
        <v>0</v>
      </c>
      <c r="H1588">
        <f t="shared" si="98"/>
        <v>0</v>
      </c>
      <c r="I1588" s="6"/>
      <c r="J1588" s="6"/>
      <c r="K1588" s="7" t="s">
        <v>44</v>
      </c>
      <c r="L1588" s="7" t="s">
        <v>14</v>
      </c>
      <c r="M1588" s="7" t="s">
        <v>21</v>
      </c>
      <c r="N1588" s="7">
        <f>COUNTIFS(A:A,A1588,D:D,D1588,E:E,I1588)</f>
        <v>0</v>
      </c>
    </row>
    <row r="1589" spans="1:14" x14ac:dyDescent="0.3">
      <c r="A1589" s="7" t="s">
        <v>31</v>
      </c>
      <c r="B1589" s="7" t="s">
        <v>32</v>
      </c>
      <c r="C1589" s="7" t="s">
        <v>42</v>
      </c>
      <c r="D1589" s="8">
        <v>45350</v>
      </c>
      <c r="E1589" s="8" t="str">
        <f t="shared" si="95"/>
        <v>February</v>
      </c>
      <c r="F1589">
        <f t="shared" si="96"/>
        <v>2024</v>
      </c>
      <c r="G1589">
        <f t="shared" si="97"/>
        <v>1</v>
      </c>
      <c r="H1589">
        <f t="shared" si="98"/>
        <v>1</v>
      </c>
      <c r="I1589" s="6">
        <v>0.44236111111111109</v>
      </c>
      <c r="J1589" s="6">
        <v>0.7</v>
      </c>
      <c r="K1589" s="7" t="s">
        <v>26</v>
      </c>
      <c r="L1589" s="7" t="s">
        <v>14</v>
      </c>
      <c r="M1589" s="7" t="s">
        <v>15</v>
      </c>
      <c r="N1589" s="7">
        <f>COUNTIFS(A:A,A1589,D:D,D1589,E:E,I1589)</f>
        <v>0</v>
      </c>
    </row>
    <row r="1590" spans="1:14" x14ac:dyDescent="0.3">
      <c r="A1590" s="7" t="s">
        <v>171</v>
      </c>
      <c r="B1590" s="7" t="s">
        <v>172</v>
      </c>
      <c r="C1590" s="7" t="s">
        <v>60</v>
      </c>
      <c r="D1590" s="8">
        <v>45315</v>
      </c>
      <c r="E1590" s="8" t="str">
        <f t="shared" si="95"/>
        <v>January</v>
      </c>
      <c r="F1590">
        <f t="shared" si="96"/>
        <v>2024</v>
      </c>
      <c r="G1590">
        <f t="shared" si="97"/>
        <v>1</v>
      </c>
      <c r="H1590">
        <f t="shared" si="98"/>
        <v>1</v>
      </c>
      <c r="I1590" s="6">
        <v>0.45902777777777776</v>
      </c>
      <c r="J1590" s="6">
        <v>0.86458333333333337</v>
      </c>
      <c r="K1590" s="7" t="s">
        <v>26</v>
      </c>
      <c r="L1590" s="7" t="s">
        <v>14</v>
      </c>
      <c r="M1590" s="7" t="s">
        <v>15</v>
      </c>
      <c r="N1590" s="7">
        <f>COUNTIFS(A:A,A1590,D:D,D1590,E:E,I1590)</f>
        <v>0</v>
      </c>
    </row>
    <row r="1591" spans="1:14" x14ac:dyDescent="0.3">
      <c r="A1591" s="7" t="s">
        <v>75</v>
      </c>
      <c r="B1591" s="7" t="s">
        <v>76</v>
      </c>
      <c r="C1591" s="7" t="s">
        <v>426</v>
      </c>
      <c r="D1591" s="8">
        <v>45305</v>
      </c>
      <c r="E1591" s="8" t="str">
        <f t="shared" si="95"/>
        <v>January</v>
      </c>
      <c r="F1591">
        <f t="shared" si="96"/>
        <v>2024</v>
      </c>
      <c r="G1591">
        <f t="shared" si="97"/>
        <v>1</v>
      </c>
      <c r="H1591">
        <f t="shared" si="98"/>
        <v>0</v>
      </c>
      <c r="I1591" s="6">
        <v>0.35902777777777778</v>
      </c>
      <c r="J1591" s="6">
        <v>0.69305555555555554</v>
      </c>
      <c r="K1591" s="7" t="s">
        <v>13</v>
      </c>
      <c r="L1591" s="7" t="s">
        <v>27</v>
      </c>
      <c r="M1591" s="7" t="s">
        <v>15</v>
      </c>
      <c r="N1591" s="7">
        <f>COUNTIFS(A:A,A1591,D:D,D1591,E:E,I1591)</f>
        <v>0</v>
      </c>
    </row>
    <row r="1592" spans="1:14" x14ac:dyDescent="0.3">
      <c r="A1592" s="7" t="s">
        <v>194</v>
      </c>
      <c r="B1592" s="7" t="s">
        <v>195</v>
      </c>
      <c r="C1592" s="7" t="s">
        <v>42</v>
      </c>
      <c r="D1592" s="8">
        <v>45351</v>
      </c>
      <c r="E1592" s="8" t="str">
        <f t="shared" si="95"/>
        <v>February</v>
      </c>
      <c r="F1592">
        <f t="shared" si="96"/>
        <v>2024</v>
      </c>
      <c r="G1592">
        <f t="shared" si="97"/>
        <v>1</v>
      </c>
      <c r="H1592">
        <f t="shared" si="98"/>
        <v>1</v>
      </c>
      <c r="I1592" s="6">
        <v>0.375</v>
      </c>
      <c r="J1592" s="6">
        <v>0.7</v>
      </c>
      <c r="K1592" s="7" t="s">
        <v>26</v>
      </c>
      <c r="L1592" s="7" t="s">
        <v>27</v>
      </c>
      <c r="M1592" s="7" t="s">
        <v>21</v>
      </c>
      <c r="N1592" s="7">
        <f>COUNTIFS(A:A,A1592,D:D,D1592,E:E,I1592)</f>
        <v>0</v>
      </c>
    </row>
    <row r="1593" spans="1:14" x14ac:dyDescent="0.3">
      <c r="A1593" s="7" t="s">
        <v>130</v>
      </c>
      <c r="B1593" s="7" t="s">
        <v>131</v>
      </c>
      <c r="C1593" s="7" t="s">
        <v>60</v>
      </c>
      <c r="D1593" s="8">
        <v>45318</v>
      </c>
      <c r="E1593" s="8" t="str">
        <f t="shared" si="95"/>
        <v>January</v>
      </c>
      <c r="F1593">
        <f t="shared" si="96"/>
        <v>2024</v>
      </c>
      <c r="G1593">
        <f t="shared" si="97"/>
        <v>1</v>
      </c>
      <c r="H1593">
        <f t="shared" si="98"/>
        <v>1</v>
      </c>
      <c r="I1593" s="6">
        <v>0.39861111111111114</v>
      </c>
      <c r="J1593" s="6">
        <v>0.77430555555555558</v>
      </c>
      <c r="K1593" s="7" t="s">
        <v>26</v>
      </c>
      <c r="L1593" s="7" t="s">
        <v>27</v>
      </c>
      <c r="M1593" s="7" t="s">
        <v>15</v>
      </c>
      <c r="N1593" s="7">
        <f>COUNTIFS(A:A,A1593,D:D,D1593,E:E,I1593)</f>
        <v>0</v>
      </c>
    </row>
    <row r="1594" spans="1:14" x14ac:dyDescent="0.3">
      <c r="A1594" s="7" t="s">
        <v>291</v>
      </c>
      <c r="B1594" s="7" t="s">
        <v>292</v>
      </c>
      <c r="C1594" s="7" t="s">
        <v>42</v>
      </c>
      <c r="D1594" s="8">
        <v>45377</v>
      </c>
      <c r="E1594" s="8" t="str">
        <f t="shared" si="95"/>
        <v>March</v>
      </c>
      <c r="F1594">
        <f t="shared" si="96"/>
        <v>2024</v>
      </c>
      <c r="G1594">
        <f t="shared" si="97"/>
        <v>0</v>
      </c>
      <c r="H1594">
        <f t="shared" si="98"/>
        <v>0</v>
      </c>
      <c r="I1594" s="6"/>
      <c r="J1594" s="6"/>
      <c r="K1594" s="7" t="s">
        <v>44</v>
      </c>
      <c r="L1594" s="7" t="s">
        <v>14</v>
      </c>
      <c r="M1594" s="7" t="s">
        <v>15</v>
      </c>
      <c r="N1594" s="7">
        <f>COUNTIFS(A:A,A1594,D:D,D1594,E:E,I1594)</f>
        <v>0</v>
      </c>
    </row>
    <row r="1595" spans="1:14" x14ac:dyDescent="0.3">
      <c r="A1595" s="7" t="s">
        <v>16</v>
      </c>
      <c r="B1595" s="7" t="s">
        <v>17</v>
      </c>
      <c r="C1595" s="7" t="s">
        <v>426</v>
      </c>
      <c r="D1595" s="8">
        <v>45366</v>
      </c>
      <c r="E1595" s="8" t="str">
        <f t="shared" si="95"/>
        <v>March</v>
      </c>
      <c r="F1595">
        <f t="shared" si="96"/>
        <v>2024</v>
      </c>
      <c r="G1595">
        <f t="shared" si="97"/>
        <v>0</v>
      </c>
      <c r="H1595">
        <f t="shared" si="98"/>
        <v>0</v>
      </c>
      <c r="I1595" s="6"/>
      <c r="J1595" s="6"/>
      <c r="K1595" s="7" t="s">
        <v>44</v>
      </c>
      <c r="L1595" s="7" t="s">
        <v>14</v>
      </c>
      <c r="M1595" s="7" t="s">
        <v>21</v>
      </c>
      <c r="N1595" s="7">
        <f>COUNTIFS(A:A,A1595,D:D,D1595,E:E,I1595)</f>
        <v>0</v>
      </c>
    </row>
    <row r="1596" spans="1:14" x14ac:dyDescent="0.3">
      <c r="A1596" s="7" t="s">
        <v>99</v>
      </c>
      <c r="B1596" s="7" t="s">
        <v>100</v>
      </c>
      <c r="C1596" s="7" t="s">
        <v>64</v>
      </c>
      <c r="D1596" s="8">
        <v>45292</v>
      </c>
      <c r="E1596" s="8" t="str">
        <f t="shared" si="95"/>
        <v>January</v>
      </c>
      <c r="F1596">
        <f t="shared" si="96"/>
        <v>2024</v>
      </c>
      <c r="G1596">
        <f t="shared" si="97"/>
        <v>0</v>
      </c>
      <c r="H1596">
        <f t="shared" si="98"/>
        <v>0</v>
      </c>
      <c r="I1596" s="6"/>
      <c r="J1596" s="6"/>
      <c r="K1596" s="7" t="s">
        <v>44</v>
      </c>
      <c r="L1596" s="7" t="s">
        <v>14</v>
      </c>
      <c r="M1596" s="7" t="s">
        <v>15</v>
      </c>
      <c r="N1596" s="7">
        <f>COUNTIFS(A:A,A1596,D:D,D1596,E:E,I1596)</f>
        <v>0</v>
      </c>
    </row>
    <row r="1597" spans="1:14" x14ac:dyDescent="0.3">
      <c r="A1597" s="7" t="s">
        <v>34</v>
      </c>
      <c r="B1597" s="7" t="s">
        <v>35</v>
      </c>
      <c r="C1597" s="7" t="s">
        <v>64</v>
      </c>
      <c r="D1597" s="8">
        <v>45379</v>
      </c>
      <c r="E1597" s="8" t="str">
        <f t="shared" si="95"/>
        <v>March</v>
      </c>
      <c r="F1597">
        <f t="shared" si="96"/>
        <v>2024</v>
      </c>
      <c r="G1597">
        <f t="shared" si="97"/>
        <v>1</v>
      </c>
      <c r="H1597">
        <f t="shared" si="98"/>
        <v>1</v>
      </c>
      <c r="I1597" s="6">
        <v>0.37291666666666667</v>
      </c>
      <c r="J1597" s="6">
        <v>0.7</v>
      </c>
      <c r="K1597" s="7" t="s">
        <v>26</v>
      </c>
      <c r="L1597" s="7" t="s">
        <v>14</v>
      </c>
      <c r="M1597" s="7" t="s">
        <v>21</v>
      </c>
      <c r="N1597" s="7">
        <f>COUNTIFS(A:A,A1597,D:D,D1597,E:E,I1597)</f>
        <v>0</v>
      </c>
    </row>
    <row r="1598" spans="1:14" x14ac:dyDescent="0.3">
      <c r="A1598" s="7" t="s">
        <v>109</v>
      </c>
      <c r="B1598" s="7" t="s">
        <v>110</v>
      </c>
      <c r="C1598" s="7" t="s">
        <v>60</v>
      </c>
      <c r="D1598" s="8">
        <v>45360</v>
      </c>
      <c r="E1598" s="8" t="str">
        <f t="shared" si="95"/>
        <v>March</v>
      </c>
      <c r="F1598">
        <f t="shared" si="96"/>
        <v>2024</v>
      </c>
      <c r="G1598">
        <f t="shared" si="97"/>
        <v>0</v>
      </c>
      <c r="H1598">
        <f t="shared" si="98"/>
        <v>0</v>
      </c>
      <c r="I1598" s="6"/>
      <c r="J1598" s="6"/>
      <c r="K1598" s="7" t="s">
        <v>44</v>
      </c>
      <c r="L1598" s="7" t="s">
        <v>14</v>
      </c>
      <c r="M1598" s="7" t="s">
        <v>21</v>
      </c>
      <c r="N1598" s="7">
        <f>COUNTIFS(A:A,A1598,D:D,D1598,E:E,I1598)</f>
        <v>0</v>
      </c>
    </row>
    <row r="1599" spans="1:14" x14ac:dyDescent="0.3">
      <c r="A1599" s="7" t="s">
        <v>134</v>
      </c>
      <c r="B1599" s="7" t="s">
        <v>135</v>
      </c>
      <c r="C1599" s="7" t="s">
        <v>64</v>
      </c>
      <c r="D1599" s="8">
        <v>45380</v>
      </c>
      <c r="E1599" s="8" t="str">
        <f t="shared" si="95"/>
        <v>March</v>
      </c>
      <c r="F1599">
        <f t="shared" si="96"/>
        <v>2024</v>
      </c>
      <c r="G1599">
        <f t="shared" si="97"/>
        <v>1</v>
      </c>
      <c r="H1599">
        <f t="shared" si="98"/>
        <v>0</v>
      </c>
      <c r="I1599" s="6">
        <v>0.46527777777777779</v>
      </c>
      <c r="J1599" s="6">
        <v>0.85277777777777775</v>
      </c>
      <c r="K1599" s="7" t="s">
        <v>13</v>
      </c>
      <c r="L1599" s="7" t="s">
        <v>14</v>
      </c>
      <c r="M1599" s="7" t="s">
        <v>15</v>
      </c>
      <c r="N1599" s="7">
        <f>COUNTIFS(A:A,A1599,D:D,D1599,E:E,I1599)</f>
        <v>0</v>
      </c>
    </row>
    <row r="1600" spans="1:14" x14ac:dyDescent="0.3">
      <c r="A1600" s="7" t="s">
        <v>216</v>
      </c>
      <c r="B1600" s="7" t="s">
        <v>217</v>
      </c>
      <c r="C1600" s="7" t="s">
        <v>426</v>
      </c>
      <c r="D1600" s="8">
        <v>45379</v>
      </c>
      <c r="E1600" s="8" t="str">
        <f t="shared" si="95"/>
        <v>March</v>
      </c>
      <c r="F1600">
        <f t="shared" si="96"/>
        <v>2024</v>
      </c>
      <c r="G1600">
        <f t="shared" si="97"/>
        <v>1</v>
      </c>
      <c r="H1600">
        <f t="shared" si="98"/>
        <v>0</v>
      </c>
      <c r="I1600" s="6">
        <v>0.34861111111111109</v>
      </c>
      <c r="J1600" s="6">
        <v>0.71180555555555558</v>
      </c>
      <c r="K1600" s="7" t="s">
        <v>13</v>
      </c>
      <c r="L1600" s="7" t="s">
        <v>14</v>
      </c>
      <c r="M1600" s="7" t="s">
        <v>15</v>
      </c>
      <c r="N1600" s="7">
        <f>COUNTIFS(A:A,A1600,D:D,D1600,E:E,I1600)</f>
        <v>0</v>
      </c>
    </row>
    <row r="1601" spans="1:14" x14ac:dyDescent="0.3">
      <c r="A1601" s="7" t="s">
        <v>37</v>
      </c>
      <c r="B1601" s="7" t="s">
        <v>38</v>
      </c>
      <c r="C1601" s="7" t="s">
        <v>64</v>
      </c>
      <c r="D1601" s="8">
        <v>45322</v>
      </c>
      <c r="E1601" s="8" t="str">
        <f t="shared" si="95"/>
        <v>January</v>
      </c>
      <c r="F1601">
        <f t="shared" si="96"/>
        <v>2024</v>
      </c>
      <c r="G1601">
        <f t="shared" si="97"/>
        <v>0</v>
      </c>
      <c r="H1601">
        <f t="shared" si="98"/>
        <v>0</v>
      </c>
      <c r="I1601" s="6"/>
      <c r="J1601" s="6"/>
      <c r="K1601" s="7" t="s">
        <v>44</v>
      </c>
      <c r="L1601" s="7" t="s">
        <v>14</v>
      </c>
      <c r="M1601" s="7" t="s">
        <v>21</v>
      </c>
      <c r="N1601" s="7">
        <f>COUNTIFS(A:A,A1601,D:D,D1601,E:E,I1601)</f>
        <v>0</v>
      </c>
    </row>
    <row r="1602" spans="1:14" x14ac:dyDescent="0.3">
      <c r="A1602" s="7" t="s">
        <v>45</v>
      </c>
      <c r="B1602" s="7" t="s">
        <v>46</v>
      </c>
      <c r="C1602" s="7" t="s">
        <v>60</v>
      </c>
      <c r="D1602" s="8">
        <v>45505</v>
      </c>
      <c r="E1602" s="8" t="str">
        <f t="shared" ref="E1602:E1665" si="99">TEXT(D1602,"mmmm")</f>
        <v>August</v>
      </c>
      <c r="F1602">
        <f t="shared" ref="F1602:F1665" si="100">YEAR(D1602)</f>
        <v>2024</v>
      </c>
      <c r="G1602">
        <f t="shared" ref="G1602:G1665" si="101">IF(LOWER(K1602)="absent",0,1)</f>
        <v>1</v>
      </c>
      <c r="H1602">
        <f t="shared" ref="H1602:H1665" si="102">IF(K1602="Late",1,0)</f>
        <v>0</v>
      </c>
      <c r="I1602" s="6">
        <v>0.35902777777777778</v>
      </c>
      <c r="J1602" s="6">
        <v>0.71875</v>
      </c>
      <c r="K1602" s="7" t="s">
        <v>20</v>
      </c>
      <c r="L1602" s="7" t="s">
        <v>14</v>
      </c>
      <c r="M1602" s="7" t="s">
        <v>15</v>
      </c>
      <c r="N1602" s="7">
        <f>COUNTIFS(A:A,A1602,D:D,D1602,E:E,I1602)</f>
        <v>0</v>
      </c>
    </row>
    <row r="1603" spans="1:14" x14ac:dyDescent="0.3">
      <c r="A1603" s="7" t="s">
        <v>87</v>
      </c>
      <c r="B1603" s="7" t="s">
        <v>88</v>
      </c>
      <c r="C1603" s="7" t="s">
        <v>60</v>
      </c>
      <c r="D1603" s="8">
        <v>45381</v>
      </c>
      <c r="E1603" s="8" t="str">
        <f t="shared" si="99"/>
        <v>March</v>
      </c>
      <c r="F1603">
        <f t="shared" si="100"/>
        <v>2024</v>
      </c>
      <c r="G1603">
        <f t="shared" si="101"/>
        <v>0</v>
      </c>
      <c r="H1603">
        <f t="shared" si="102"/>
        <v>0</v>
      </c>
      <c r="I1603" s="6"/>
      <c r="J1603" s="6"/>
      <c r="K1603" s="7" t="s">
        <v>44</v>
      </c>
      <c r="L1603" s="7" t="s">
        <v>14</v>
      </c>
      <c r="M1603" s="7" t="s">
        <v>15</v>
      </c>
      <c r="N1603" s="7">
        <f>COUNTIFS(A:A,A1603,D:D,D1603,E:E,I1603)</f>
        <v>0</v>
      </c>
    </row>
    <row r="1604" spans="1:14" x14ac:dyDescent="0.3">
      <c r="A1604" s="7" t="s">
        <v>119</v>
      </c>
      <c r="B1604" s="7" t="s">
        <v>120</v>
      </c>
      <c r="C1604" s="7" t="s">
        <v>64</v>
      </c>
      <c r="D1604" s="8">
        <v>45476</v>
      </c>
      <c r="E1604" s="8" t="str">
        <f t="shared" si="99"/>
        <v>July</v>
      </c>
      <c r="F1604">
        <f t="shared" si="100"/>
        <v>2024</v>
      </c>
      <c r="G1604">
        <f t="shared" si="101"/>
        <v>1</v>
      </c>
      <c r="H1604">
        <f t="shared" si="102"/>
        <v>0</v>
      </c>
      <c r="I1604" s="6">
        <v>0.3840277777777778</v>
      </c>
      <c r="J1604" s="6">
        <v>0.76875000000000004</v>
      </c>
      <c r="K1604" s="7" t="s">
        <v>20</v>
      </c>
      <c r="L1604" s="7" t="s">
        <v>14</v>
      </c>
      <c r="M1604" s="7" t="s">
        <v>15</v>
      </c>
      <c r="N1604" s="7">
        <f>COUNTIFS(A:A,A1604,D:D,D1604,E:E,I1604)</f>
        <v>0</v>
      </c>
    </row>
    <row r="1605" spans="1:14" x14ac:dyDescent="0.3">
      <c r="A1605" s="7" t="s">
        <v>81</v>
      </c>
      <c r="B1605" s="7" t="s">
        <v>82</v>
      </c>
      <c r="C1605" s="7" t="s">
        <v>64</v>
      </c>
      <c r="D1605" s="8">
        <v>45352</v>
      </c>
      <c r="E1605" s="8" t="str">
        <f t="shared" si="99"/>
        <v>March</v>
      </c>
      <c r="F1605">
        <f t="shared" si="100"/>
        <v>2024</v>
      </c>
      <c r="G1605">
        <f t="shared" si="101"/>
        <v>1</v>
      </c>
      <c r="H1605">
        <f t="shared" si="102"/>
        <v>0</v>
      </c>
      <c r="I1605" s="6">
        <v>0.33750000000000002</v>
      </c>
      <c r="J1605" s="6">
        <v>0.72777777777777775</v>
      </c>
      <c r="K1605" s="7" t="s">
        <v>13</v>
      </c>
      <c r="L1605" s="7" t="s">
        <v>14</v>
      </c>
      <c r="M1605" s="7" t="s">
        <v>15</v>
      </c>
      <c r="N1605" s="7">
        <f>COUNTIFS(A:A,A1605,D:D,D1605,E:E,I1605)</f>
        <v>0</v>
      </c>
    </row>
    <row r="1606" spans="1:14" x14ac:dyDescent="0.3">
      <c r="A1606" s="7" t="s">
        <v>31</v>
      </c>
      <c r="B1606" s="7" t="s">
        <v>32</v>
      </c>
      <c r="C1606" s="7" t="s">
        <v>426</v>
      </c>
      <c r="D1606" s="8">
        <v>45300</v>
      </c>
      <c r="E1606" s="8" t="str">
        <f t="shared" si="99"/>
        <v>January</v>
      </c>
      <c r="F1606">
        <f t="shared" si="100"/>
        <v>2024</v>
      </c>
      <c r="G1606">
        <f t="shared" si="101"/>
        <v>1</v>
      </c>
      <c r="H1606">
        <f t="shared" si="102"/>
        <v>0</v>
      </c>
      <c r="I1606" s="6">
        <v>0.38333333333333336</v>
      </c>
      <c r="J1606" s="6">
        <v>0.87152777777777779</v>
      </c>
      <c r="K1606" s="7" t="s">
        <v>20</v>
      </c>
      <c r="L1606" s="7" t="s">
        <v>27</v>
      </c>
      <c r="M1606" s="7" t="s">
        <v>21</v>
      </c>
      <c r="N1606" s="7">
        <f>COUNTIFS(A:A,A1606,D:D,D1606,E:E,I1606)</f>
        <v>0</v>
      </c>
    </row>
    <row r="1607" spans="1:14" x14ac:dyDescent="0.3">
      <c r="A1607" s="7" t="s">
        <v>191</v>
      </c>
      <c r="B1607" s="7" t="s">
        <v>192</v>
      </c>
      <c r="C1607" s="7" t="s">
        <v>60</v>
      </c>
      <c r="D1607" s="8">
        <v>45359</v>
      </c>
      <c r="E1607" s="8" t="str">
        <f t="shared" si="99"/>
        <v>March</v>
      </c>
      <c r="F1607">
        <f t="shared" si="100"/>
        <v>2024</v>
      </c>
      <c r="G1607">
        <f t="shared" si="101"/>
        <v>1</v>
      </c>
      <c r="H1607">
        <f t="shared" si="102"/>
        <v>1</v>
      </c>
      <c r="I1607" s="6">
        <v>0.40069444444444446</v>
      </c>
      <c r="J1607" s="6">
        <v>0.80972222222222223</v>
      </c>
      <c r="K1607" s="7" t="s">
        <v>26</v>
      </c>
      <c r="L1607" s="7" t="s">
        <v>14</v>
      </c>
      <c r="M1607" s="7" t="s">
        <v>21</v>
      </c>
      <c r="N1607" s="7">
        <f>COUNTIFS(A:A,A1607,D:D,D1607,E:E,I1607)</f>
        <v>0</v>
      </c>
    </row>
    <row r="1608" spans="1:14" x14ac:dyDescent="0.3">
      <c r="A1608" s="7" t="s">
        <v>96</v>
      </c>
      <c r="B1608" s="7" t="s">
        <v>97</v>
      </c>
      <c r="C1608" s="7" t="s">
        <v>426</v>
      </c>
      <c r="D1608" s="8">
        <v>45352</v>
      </c>
      <c r="E1608" s="8" t="str">
        <f t="shared" si="99"/>
        <v>March</v>
      </c>
      <c r="F1608">
        <f t="shared" si="100"/>
        <v>2024</v>
      </c>
      <c r="G1608">
        <f t="shared" si="101"/>
        <v>1</v>
      </c>
      <c r="H1608">
        <f t="shared" si="102"/>
        <v>0</v>
      </c>
      <c r="I1608" s="6">
        <v>0.40694444444444444</v>
      </c>
      <c r="J1608" s="6">
        <v>0.70972222222222225</v>
      </c>
      <c r="K1608" s="7" t="s">
        <v>20</v>
      </c>
      <c r="L1608" s="7" t="s">
        <v>14</v>
      </c>
      <c r="M1608" s="7" t="s">
        <v>21</v>
      </c>
      <c r="N1608" s="7">
        <f>COUNTIFS(A:A,A1608,D:D,D1608,E:E,I1608)</f>
        <v>0</v>
      </c>
    </row>
    <row r="1609" spans="1:14" x14ac:dyDescent="0.3">
      <c r="A1609" s="7" t="s">
        <v>171</v>
      </c>
      <c r="B1609" s="7" t="s">
        <v>172</v>
      </c>
      <c r="C1609" s="7" t="s">
        <v>42</v>
      </c>
      <c r="D1609" s="8">
        <v>45371</v>
      </c>
      <c r="E1609" s="8" t="str">
        <f t="shared" si="99"/>
        <v>March</v>
      </c>
      <c r="F1609">
        <f t="shared" si="100"/>
        <v>2024</v>
      </c>
      <c r="G1609">
        <f t="shared" si="101"/>
        <v>1</v>
      </c>
      <c r="H1609">
        <f t="shared" si="102"/>
        <v>1</v>
      </c>
      <c r="I1609" s="6">
        <v>0.38680555555555557</v>
      </c>
      <c r="J1609" s="6">
        <v>0.6875</v>
      </c>
      <c r="K1609" s="7" t="s">
        <v>26</v>
      </c>
      <c r="L1609" s="7" t="s">
        <v>14</v>
      </c>
      <c r="M1609" s="7" t="s">
        <v>21</v>
      </c>
      <c r="N1609" s="7">
        <f>COUNTIFS(A:A,A1609,D:D,D1609,E:E,I1609)</f>
        <v>0</v>
      </c>
    </row>
    <row r="1610" spans="1:14" x14ac:dyDescent="0.3">
      <c r="A1610" s="7" t="s">
        <v>87</v>
      </c>
      <c r="B1610" s="7" t="s">
        <v>88</v>
      </c>
      <c r="C1610" s="7" t="s">
        <v>42</v>
      </c>
      <c r="D1610" s="8">
        <v>45360</v>
      </c>
      <c r="E1610" s="8" t="str">
        <f t="shared" si="99"/>
        <v>March</v>
      </c>
      <c r="F1610">
        <f t="shared" si="100"/>
        <v>2024</v>
      </c>
      <c r="G1610">
        <f t="shared" si="101"/>
        <v>0</v>
      </c>
      <c r="H1610">
        <f t="shared" si="102"/>
        <v>0</v>
      </c>
      <c r="I1610" s="6"/>
      <c r="J1610" s="6"/>
      <c r="K1610" s="7" t="s">
        <v>44</v>
      </c>
      <c r="L1610" s="7" t="s">
        <v>27</v>
      </c>
      <c r="M1610" s="7" t="s">
        <v>21</v>
      </c>
      <c r="N1610" s="7">
        <f>COUNTIFS(A:A,A1610,D:D,D1610,E:E,I1610)</f>
        <v>0</v>
      </c>
    </row>
    <row r="1611" spans="1:14" x14ac:dyDescent="0.3">
      <c r="A1611" s="7" t="s">
        <v>75</v>
      </c>
      <c r="B1611" s="7" t="s">
        <v>76</v>
      </c>
      <c r="C1611" s="7" t="s">
        <v>426</v>
      </c>
      <c r="D1611" s="8">
        <v>45323</v>
      </c>
      <c r="E1611" s="8" t="str">
        <f t="shared" si="99"/>
        <v>February</v>
      </c>
      <c r="F1611">
        <f t="shared" si="100"/>
        <v>2024</v>
      </c>
      <c r="G1611">
        <f t="shared" si="101"/>
        <v>1</v>
      </c>
      <c r="H1611">
        <f t="shared" si="102"/>
        <v>1</v>
      </c>
      <c r="I1611" s="6">
        <v>0.47291666666666665</v>
      </c>
      <c r="J1611" s="6">
        <v>0.77986111111111112</v>
      </c>
      <c r="K1611" s="7" t="s">
        <v>26</v>
      </c>
      <c r="L1611" s="7" t="s">
        <v>14</v>
      </c>
      <c r="M1611" s="7" t="s">
        <v>15</v>
      </c>
      <c r="N1611" s="7">
        <f>COUNTIFS(A:A,A1611,D:D,D1611,E:E,I1611)</f>
        <v>0</v>
      </c>
    </row>
    <row r="1612" spans="1:14" x14ac:dyDescent="0.3">
      <c r="A1612" s="7" t="s">
        <v>31</v>
      </c>
      <c r="B1612" s="7" t="s">
        <v>32</v>
      </c>
      <c r="C1612" s="7" t="s">
        <v>425</v>
      </c>
      <c r="D1612" s="8">
        <v>45599</v>
      </c>
      <c r="E1612" s="8" t="str">
        <f t="shared" si="99"/>
        <v>November</v>
      </c>
      <c r="F1612">
        <f t="shared" si="100"/>
        <v>2024</v>
      </c>
      <c r="G1612">
        <f t="shared" si="101"/>
        <v>1</v>
      </c>
      <c r="H1612">
        <f t="shared" si="102"/>
        <v>0</v>
      </c>
      <c r="I1612" s="6">
        <v>0.37291666666666667</v>
      </c>
      <c r="J1612" s="6">
        <v>0.73611111111111116</v>
      </c>
      <c r="K1612" s="7" t="s">
        <v>13</v>
      </c>
      <c r="L1612" s="7" t="s">
        <v>14</v>
      </c>
      <c r="M1612" s="7" t="s">
        <v>21</v>
      </c>
      <c r="N1612" s="7">
        <f>COUNTIFS(A:A,A1612,D:D,D1612,E:E,I1612)</f>
        <v>0</v>
      </c>
    </row>
    <row r="1613" spans="1:14" x14ac:dyDescent="0.3">
      <c r="A1613" s="7" t="s">
        <v>197</v>
      </c>
      <c r="B1613" s="7" t="s">
        <v>198</v>
      </c>
      <c r="C1613" s="7" t="s">
        <v>64</v>
      </c>
      <c r="D1613" s="8">
        <v>45350</v>
      </c>
      <c r="E1613" s="8" t="str">
        <f t="shared" si="99"/>
        <v>February</v>
      </c>
      <c r="F1613">
        <f t="shared" si="100"/>
        <v>2024</v>
      </c>
      <c r="G1613">
        <f t="shared" si="101"/>
        <v>0</v>
      </c>
      <c r="H1613">
        <f t="shared" si="102"/>
        <v>0</v>
      </c>
      <c r="I1613" s="6"/>
      <c r="J1613" s="6"/>
      <c r="K1613" s="7" t="s">
        <v>44</v>
      </c>
      <c r="L1613" s="7" t="s">
        <v>27</v>
      </c>
      <c r="M1613" s="7" t="s">
        <v>21</v>
      </c>
      <c r="N1613" s="7">
        <f>COUNTIFS(A:A,A1613,D:D,D1613,E:E,I1613)</f>
        <v>0</v>
      </c>
    </row>
    <row r="1614" spans="1:14" x14ac:dyDescent="0.3">
      <c r="A1614" s="7" t="s">
        <v>58</v>
      </c>
      <c r="B1614" s="7" t="s">
        <v>59</v>
      </c>
      <c r="C1614" s="7" t="s">
        <v>425</v>
      </c>
      <c r="D1614" s="8">
        <v>45599</v>
      </c>
      <c r="E1614" s="8" t="str">
        <f t="shared" si="99"/>
        <v>November</v>
      </c>
      <c r="F1614">
        <f t="shared" si="100"/>
        <v>2024</v>
      </c>
      <c r="G1614">
        <f t="shared" si="101"/>
        <v>1</v>
      </c>
      <c r="H1614">
        <f t="shared" si="102"/>
        <v>1</v>
      </c>
      <c r="I1614" s="6">
        <v>0.41736111111111113</v>
      </c>
      <c r="J1614" s="6">
        <v>0.85972222222222228</v>
      </c>
      <c r="K1614" s="7" t="s">
        <v>26</v>
      </c>
      <c r="L1614" s="7" t="s">
        <v>14</v>
      </c>
      <c r="M1614" s="7" t="s">
        <v>21</v>
      </c>
      <c r="N1614" s="7">
        <f>COUNTIFS(A:A,A1614,D:D,D1614,E:E,I1614)</f>
        <v>0</v>
      </c>
    </row>
    <row r="1615" spans="1:14" x14ac:dyDescent="0.3">
      <c r="A1615" s="7" t="s">
        <v>122</v>
      </c>
      <c r="B1615" s="7" t="s">
        <v>123</v>
      </c>
      <c r="C1615" s="7" t="s">
        <v>64</v>
      </c>
      <c r="D1615" s="8">
        <v>45371</v>
      </c>
      <c r="E1615" s="8" t="str">
        <f t="shared" si="99"/>
        <v>March</v>
      </c>
      <c r="F1615">
        <f t="shared" si="100"/>
        <v>2024</v>
      </c>
      <c r="G1615">
        <f t="shared" si="101"/>
        <v>0</v>
      </c>
      <c r="H1615">
        <f t="shared" si="102"/>
        <v>0</v>
      </c>
      <c r="I1615" s="6"/>
      <c r="J1615" s="6"/>
      <c r="K1615" s="7" t="s">
        <v>44</v>
      </c>
      <c r="L1615" s="7" t="s">
        <v>14</v>
      </c>
      <c r="M1615" s="7" t="s">
        <v>21</v>
      </c>
      <c r="N1615" s="7">
        <f>COUNTIFS(A:A,A1615,D:D,D1615,E:E,I1615)</f>
        <v>0</v>
      </c>
    </row>
    <row r="1616" spans="1:14" x14ac:dyDescent="0.3">
      <c r="A1616" s="7" t="s">
        <v>66</v>
      </c>
      <c r="B1616" s="7" t="s">
        <v>67</v>
      </c>
      <c r="C1616" s="7" t="s">
        <v>60</v>
      </c>
      <c r="D1616" s="8">
        <v>45294</v>
      </c>
      <c r="E1616" s="8" t="str">
        <f t="shared" si="99"/>
        <v>January</v>
      </c>
      <c r="F1616">
        <f t="shared" si="100"/>
        <v>2024</v>
      </c>
      <c r="G1616">
        <f t="shared" si="101"/>
        <v>1</v>
      </c>
      <c r="H1616">
        <f t="shared" si="102"/>
        <v>0</v>
      </c>
      <c r="I1616" s="6">
        <v>0.49305555555555558</v>
      </c>
      <c r="J1616" s="6">
        <v>0.76666666666666672</v>
      </c>
      <c r="K1616" s="7" t="s">
        <v>20</v>
      </c>
      <c r="L1616" s="7" t="s">
        <v>27</v>
      </c>
      <c r="M1616" s="7" t="s">
        <v>21</v>
      </c>
      <c r="N1616" s="7">
        <f>COUNTIFS(A:A,A1616,D:D,D1616,E:E,I1616)</f>
        <v>0</v>
      </c>
    </row>
    <row r="1617" spans="1:14" x14ac:dyDescent="0.3">
      <c r="A1617" s="7" t="s">
        <v>338</v>
      </c>
      <c r="B1617" s="7" t="s">
        <v>339</v>
      </c>
      <c r="C1617" s="7" t="s">
        <v>426</v>
      </c>
      <c r="D1617" s="8">
        <v>45296</v>
      </c>
      <c r="E1617" s="8" t="str">
        <f t="shared" si="99"/>
        <v>January</v>
      </c>
      <c r="F1617">
        <f t="shared" si="100"/>
        <v>2024</v>
      </c>
      <c r="G1617">
        <f t="shared" si="101"/>
        <v>1</v>
      </c>
      <c r="H1617">
        <f t="shared" si="102"/>
        <v>1</v>
      </c>
      <c r="I1617" s="6">
        <v>0.34097222222222223</v>
      </c>
      <c r="J1617" s="6">
        <v>0.84236111111111112</v>
      </c>
      <c r="K1617" s="7" t="s">
        <v>26</v>
      </c>
      <c r="L1617" s="7" t="s">
        <v>27</v>
      </c>
      <c r="M1617" s="7" t="s">
        <v>15</v>
      </c>
      <c r="N1617" s="7">
        <f>COUNTIFS(A:A,A1617,D:D,D1617,E:E,I1617)</f>
        <v>0</v>
      </c>
    </row>
    <row r="1618" spans="1:14" x14ac:dyDescent="0.3">
      <c r="A1618" s="7" t="s">
        <v>115</v>
      </c>
      <c r="B1618" s="7" t="s">
        <v>116</v>
      </c>
      <c r="C1618" s="7" t="s">
        <v>60</v>
      </c>
      <c r="D1618" s="8">
        <v>45345</v>
      </c>
      <c r="E1618" s="8" t="str">
        <f t="shared" si="99"/>
        <v>February</v>
      </c>
      <c r="F1618">
        <f t="shared" si="100"/>
        <v>2024</v>
      </c>
      <c r="G1618">
        <f t="shared" si="101"/>
        <v>0</v>
      </c>
      <c r="H1618">
        <f t="shared" si="102"/>
        <v>0</v>
      </c>
      <c r="I1618" s="6"/>
      <c r="J1618" s="6"/>
      <c r="K1618" s="7" t="s">
        <v>44</v>
      </c>
      <c r="L1618" s="7" t="s">
        <v>14</v>
      </c>
      <c r="M1618" s="7" t="s">
        <v>21</v>
      </c>
      <c r="N1618" s="7">
        <f>COUNTIFS(A:A,A1618,D:D,D1618,E:E,I1618)</f>
        <v>0</v>
      </c>
    </row>
    <row r="1619" spans="1:14" x14ac:dyDescent="0.3">
      <c r="A1619" s="7" t="s">
        <v>37</v>
      </c>
      <c r="B1619" s="7" t="s">
        <v>38</v>
      </c>
      <c r="C1619" s="7" t="s">
        <v>60</v>
      </c>
      <c r="D1619" s="8">
        <v>45311</v>
      </c>
      <c r="E1619" s="8" t="str">
        <f t="shared" si="99"/>
        <v>January</v>
      </c>
      <c r="F1619">
        <f t="shared" si="100"/>
        <v>2024</v>
      </c>
      <c r="G1619">
        <f t="shared" si="101"/>
        <v>0</v>
      </c>
      <c r="H1619">
        <f t="shared" si="102"/>
        <v>0</v>
      </c>
      <c r="I1619" s="6"/>
      <c r="J1619" s="6"/>
      <c r="K1619" s="7" t="s">
        <v>44</v>
      </c>
      <c r="L1619" s="7" t="s">
        <v>27</v>
      </c>
      <c r="M1619" s="7" t="s">
        <v>21</v>
      </c>
      <c r="N1619" s="7">
        <f>COUNTIFS(A:A,A1619,D:D,D1619,E:E,I1619)</f>
        <v>0</v>
      </c>
    </row>
    <row r="1620" spans="1:14" x14ac:dyDescent="0.3">
      <c r="A1620" s="7" t="s">
        <v>58</v>
      </c>
      <c r="B1620" s="7" t="s">
        <v>59</v>
      </c>
      <c r="C1620" s="7" t="s">
        <v>64</v>
      </c>
      <c r="D1620" s="8">
        <v>45415</v>
      </c>
      <c r="E1620" s="8" t="str">
        <f t="shared" si="99"/>
        <v>May</v>
      </c>
      <c r="F1620">
        <f t="shared" si="100"/>
        <v>2024</v>
      </c>
      <c r="G1620">
        <f t="shared" si="101"/>
        <v>1</v>
      </c>
      <c r="H1620">
        <f t="shared" si="102"/>
        <v>1</v>
      </c>
      <c r="I1620" s="6">
        <v>0.41319444444444442</v>
      </c>
      <c r="J1620" s="6">
        <v>0.68680555555555556</v>
      </c>
      <c r="K1620" s="7" t="s">
        <v>26</v>
      </c>
      <c r="L1620" s="7" t="s">
        <v>27</v>
      </c>
      <c r="M1620" s="7" t="s">
        <v>15</v>
      </c>
      <c r="N1620" s="7">
        <f>COUNTIFS(A:A,A1620,D:D,D1620,E:E,I1620)</f>
        <v>0</v>
      </c>
    </row>
    <row r="1621" spans="1:14" x14ac:dyDescent="0.3">
      <c r="A1621" s="7" t="s">
        <v>84</v>
      </c>
      <c r="B1621" s="7" t="s">
        <v>85</v>
      </c>
      <c r="C1621" s="7" t="s">
        <v>64</v>
      </c>
      <c r="D1621" s="8">
        <v>45377</v>
      </c>
      <c r="E1621" s="8" t="str">
        <f t="shared" si="99"/>
        <v>March</v>
      </c>
      <c r="F1621">
        <f t="shared" si="100"/>
        <v>2024</v>
      </c>
      <c r="G1621">
        <f t="shared" si="101"/>
        <v>1</v>
      </c>
      <c r="H1621">
        <f t="shared" si="102"/>
        <v>0</v>
      </c>
      <c r="I1621" s="6">
        <v>0.42430555555555555</v>
      </c>
      <c r="J1621" s="6">
        <v>0.75902777777777775</v>
      </c>
      <c r="K1621" s="7" t="s">
        <v>13</v>
      </c>
      <c r="L1621" s="7" t="s">
        <v>27</v>
      </c>
      <c r="M1621" s="7" t="s">
        <v>15</v>
      </c>
      <c r="N1621" s="7">
        <f>COUNTIFS(A:A,A1621,D:D,D1621,E:E,I1621)</f>
        <v>0</v>
      </c>
    </row>
    <row r="1622" spans="1:14" x14ac:dyDescent="0.3">
      <c r="A1622" s="7" t="s">
        <v>45</v>
      </c>
      <c r="B1622" s="7" t="s">
        <v>46</v>
      </c>
      <c r="C1622" s="7" t="s">
        <v>425</v>
      </c>
      <c r="D1622" s="8">
        <v>45507</v>
      </c>
      <c r="E1622" s="8" t="str">
        <f t="shared" si="99"/>
        <v>August</v>
      </c>
      <c r="F1622">
        <f t="shared" si="100"/>
        <v>2024</v>
      </c>
      <c r="G1622">
        <f t="shared" si="101"/>
        <v>1</v>
      </c>
      <c r="H1622">
        <f t="shared" si="102"/>
        <v>0</v>
      </c>
      <c r="I1622" s="6">
        <v>0.40069444444444446</v>
      </c>
      <c r="J1622" s="6">
        <v>0.72569444444444442</v>
      </c>
      <c r="K1622" s="7" t="s">
        <v>13</v>
      </c>
      <c r="L1622" s="7" t="s">
        <v>27</v>
      </c>
      <c r="M1622" s="7" t="s">
        <v>21</v>
      </c>
      <c r="N1622" s="7">
        <f>COUNTIFS(A:A,A1622,D:D,D1622,E:E,I1622)</f>
        <v>0</v>
      </c>
    </row>
    <row r="1623" spans="1:14" x14ac:dyDescent="0.3">
      <c r="A1623" s="7" t="s">
        <v>154</v>
      </c>
      <c r="B1623" s="7" t="s">
        <v>155</v>
      </c>
      <c r="C1623" s="7" t="s">
        <v>42</v>
      </c>
      <c r="D1623" s="8">
        <v>45353</v>
      </c>
      <c r="E1623" s="8" t="str">
        <f t="shared" si="99"/>
        <v>March</v>
      </c>
      <c r="F1623">
        <f t="shared" si="100"/>
        <v>2024</v>
      </c>
      <c r="G1623">
        <f t="shared" si="101"/>
        <v>1</v>
      </c>
      <c r="H1623">
        <f t="shared" si="102"/>
        <v>1</v>
      </c>
      <c r="I1623" s="6">
        <v>0.37430555555555556</v>
      </c>
      <c r="J1623" s="6">
        <v>0.84861111111111109</v>
      </c>
      <c r="K1623" s="7" t="s">
        <v>26</v>
      </c>
      <c r="L1623" s="7" t="s">
        <v>27</v>
      </c>
      <c r="M1623" s="7" t="s">
        <v>15</v>
      </c>
      <c r="N1623" s="7">
        <f>COUNTIFS(A:A,A1623,D:D,D1623,E:E,I1623)</f>
        <v>0</v>
      </c>
    </row>
    <row r="1624" spans="1:14" x14ac:dyDescent="0.3">
      <c r="A1624" s="7" t="s">
        <v>138</v>
      </c>
      <c r="B1624" s="7" t="s">
        <v>139</v>
      </c>
      <c r="C1624" s="7" t="s">
        <v>60</v>
      </c>
      <c r="D1624" s="8">
        <v>45378</v>
      </c>
      <c r="E1624" s="8" t="str">
        <f t="shared" si="99"/>
        <v>March</v>
      </c>
      <c r="F1624">
        <f t="shared" si="100"/>
        <v>2024</v>
      </c>
      <c r="G1624">
        <f t="shared" si="101"/>
        <v>1</v>
      </c>
      <c r="H1624">
        <f t="shared" si="102"/>
        <v>0</v>
      </c>
      <c r="I1624" s="6">
        <v>0.4375</v>
      </c>
      <c r="J1624" s="6">
        <v>0.82013888888888886</v>
      </c>
      <c r="K1624" s="7" t="s">
        <v>20</v>
      </c>
      <c r="L1624" s="7" t="s">
        <v>14</v>
      </c>
      <c r="M1624" s="7" t="s">
        <v>21</v>
      </c>
      <c r="N1624" s="7">
        <f>COUNTIFS(A:A,A1624,D:D,D1624,E:E,I1624)</f>
        <v>0</v>
      </c>
    </row>
    <row r="1625" spans="1:14" x14ac:dyDescent="0.3">
      <c r="A1625" s="7" t="s">
        <v>84</v>
      </c>
      <c r="B1625" s="7" t="s">
        <v>85</v>
      </c>
      <c r="C1625" s="7" t="s">
        <v>425</v>
      </c>
      <c r="D1625" s="8">
        <v>45331</v>
      </c>
      <c r="E1625" s="8" t="str">
        <f t="shared" si="99"/>
        <v>February</v>
      </c>
      <c r="F1625">
        <f t="shared" si="100"/>
        <v>2024</v>
      </c>
      <c r="G1625">
        <f t="shared" si="101"/>
        <v>1</v>
      </c>
      <c r="H1625">
        <f t="shared" si="102"/>
        <v>0</v>
      </c>
      <c r="I1625" s="6">
        <v>0.4597222222222222</v>
      </c>
      <c r="J1625" s="6">
        <v>0.75902777777777775</v>
      </c>
      <c r="K1625" s="7" t="s">
        <v>13</v>
      </c>
      <c r="L1625" s="7" t="s">
        <v>27</v>
      </c>
      <c r="M1625" s="7" t="s">
        <v>15</v>
      </c>
      <c r="N1625" s="7">
        <f>COUNTIFS(A:A,A1625,D:D,D1625,E:E,I1625)</f>
        <v>0</v>
      </c>
    </row>
    <row r="1626" spans="1:14" x14ac:dyDescent="0.3">
      <c r="A1626" s="7" t="s">
        <v>40</v>
      </c>
      <c r="B1626" s="7" t="s">
        <v>41</v>
      </c>
      <c r="C1626" s="7" t="s">
        <v>42</v>
      </c>
      <c r="D1626" s="8">
        <v>45368</v>
      </c>
      <c r="E1626" s="8" t="str">
        <f t="shared" si="99"/>
        <v>March</v>
      </c>
      <c r="F1626">
        <f t="shared" si="100"/>
        <v>2024</v>
      </c>
      <c r="G1626">
        <f t="shared" si="101"/>
        <v>1</v>
      </c>
      <c r="H1626">
        <f t="shared" si="102"/>
        <v>0</v>
      </c>
      <c r="I1626" s="6">
        <v>0.42638888888888887</v>
      </c>
      <c r="J1626" s="6">
        <v>0.83263888888888893</v>
      </c>
      <c r="K1626" s="7" t="s">
        <v>20</v>
      </c>
      <c r="L1626" s="7" t="s">
        <v>14</v>
      </c>
      <c r="M1626" s="7" t="s">
        <v>21</v>
      </c>
      <c r="N1626" s="7">
        <f>COUNTIFS(A:A,A1626,D:D,D1626,E:E,I1626)</f>
        <v>0</v>
      </c>
    </row>
    <row r="1627" spans="1:14" x14ac:dyDescent="0.3">
      <c r="A1627" s="7" t="s">
        <v>134</v>
      </c>
      <c r="B1627" s="7" t="s">
        <v>135</v>
      </c>
      <c r="C1627" s="7" t="s">
        <v>425</v>
      </c>
      <c r="D1627" s="8">
        <v>45333</v>
      </c>
      <c r="E1627" s="8" t="str">
        <f t="shared" si="99"/>
        <v>February</v>
      </c>
      <c r="F1627">
        <f t="shared" si="100"/>
        <v>2024</v>
      </c>
      <c r="G1627">
        <f t="shared" si="101"/>
        <v>1</v>
      </c>
      <c r="H1627">
        <f t="shared" si="102"/>
        <v>0</v>
      </c>
      <c r="I1627" s="6">
        <v>0.45416666666666666</v>
      </c>
      <c r="J1627" s="6">
        <v>0.8125</v>
      </c>
      <c r="K1627" s="7" t="s">
        <v>20</v>
      </c>
      <c r="L1627" s="7" t="s">
        <v>27</v>
      </c>
      <c r="M1627" s="7" t="s">
        <v>15</v>
      </c>
      <c r="N1627" s="7">
        <f>COUNTIFS(A:A,A1627,D:D,D1627,E:E,I1627)</f>
        <v>0</v>
      </c>
    </row>
    <row r="1628" spans="1:14" x14ac:dyDescent="0.3">
      <c r="A1628" s="7" t="s">
        <v>78</v>
      </c>
      <c r="B1628" s="7" t="s">
        <v>79</v>
      </c>
      <c r="C1628" s="7" t="s">
        <v>425</v>
      </c>
      <c r="D1628" s="8">
        <v>45314</v>
      </c>
      <c r="E1628" s="8" t="str">
        <f t="shared" si="99"/>
        <v>January</v>
      </c>
      <c r="F1628">
        <f t="shared" si="100"/>
        <v>2024</v>
      </c>
      <c r="G1628">
        <f t="shared" si="101"/>
        <v>1</v>
      </c>
      <c r="H1628">
        <f t="shared" si="102"/>
        <v>0</v>
      </c>
      <c r="I1628" s="6">
        <v>0.37916666666666665</v>
      </c>
      <c r="J1628" s="6">
        <v>0.6958333333333333</v>
      </c>
      <c r="K1628" s="7" t="s">
        <v>20</v>
      </c>
      <c r="L1628" s="7" t="s">
        <v>14</v>
      </c>
      <c r="M1628" s="7" t="s">
        <v>15</v>
      </c>
      <c r="N1628" s="7">
        <f>COUNTIFS(A:A,A1628,D:D,D1628,E:E,I1628)</f>
        <v>0</v>
      </c>
    </row>
    <row r="1629" spans="1:14" x14ac:dyDescent="0.3">
      <c r="A1629" s="7" t="s">
        <v>204</v>
      </c>
      <c r="B1629" s="7" t="s">
        <v>205</v>
      </c>
      <c r="C1629" s="7" t="s">
        <v>64</v>
      </c>
      <c r="D1629" s="8">
        <v>45372</v>
      </c>
      <c r="E1629" s="8" t="str">
        <f t="shared" si="99"/>
        <v>March</v>
      </c>
      <c r="F1629">
        <f t="shared" si="100"/>
        <v>2024</v>
      </c>
      <c r="G1629">
        <f t="shared" si="101"/>
        <v>1</v>
      </c>
      <c r="H1629">
        <f t="shared" si="102"/>
        <v>1</v>
      </c>
      <c r="I1629" s="6">
        <v>0.40347222222222223</v>
      </c>
      <c r="J1629" s="6">
        <v>0.82916666666666672</v>
      </c>
      <c r="K1629" s="7" t="s">
        <v>26</v>
      </c>
      <c r="L1629" s="7" t="s">
        <v>14</v>
      </c>
      <c r="M1629" s="7" t="s">
        <v>15</v>
      </c>
      <c r="N1629" s="7">
        <f>COUNTIFS(A:A,A1629,D:D,D1629,E:E,I1629)</f>
        <v>0</v>
      </c>
    </row>
    <row r="1630" spans="1:14" x14ac:dyDescent="0.3">
      <c r="A1630" s="7" t="s">
        <v>175</v>
      </c>
      <c r="B1630" s="7" t="s">
        <v>176</v>
      </c>
      <c r="C1630" s="7" t="s">
        <v>60</v>
      </c>
      <c r="D1630" s="8">
        <v>45384</v>
      </c>
      <c r="E1630" s="8" t="str">
        <f t="shared" si="99"/>
        <v>April</v>
      </c>
      <c r="F1630">
        <f t="shared" si="100"/>
        <v>2024</v>
      </c>
      <c r="G1630">
        <f t="shared" si="101"/>
        <v>1</v>
      </c>
      <c r="H1630">
        <f t="shared" si="102"/>
        <v>0</v>
      </c>
      <c r="I1630" s="6">
        <v>0.40069444444444446</v>
      </c>
      <c r="J1630" s="6">
        <v>0.71805555555555556</v>
      </c>
      <c r="K1630" s="7" t="s">
        <v>20</v>
      </c>
      <c r="L1630" s="7" t="s">
        <v>14</v>
      </c>
      <c r="M1630" s="7" t="s">
        <v>15</v>
      </c>
      <c r="N1630" s="7">
        <f>COUNTIFS(A:A,A1630,D:D,D1630,E:E,I1630)</f>
        <v>0</v>
      </c>
    </row>
    <row r="1631" spans="1:14" x14ac:dyDescent="0.3">
      <c r="A1631" s="7" t="s">
        <v>246</v>
      </c>
      <c r="B1631" s="7" t="s">
        <v>247</v>
      </c>
      <c r="C1631" s="7" t="s">
        <v>426</v>
      </c>
      <c r="D1631" s="8">
        <v>45306</v>
      </c>
      <c r="E1631" s="8" t="str">
        <f t="shared" si="99"/>
        <v>January</v>
      </c>
      <c r="F1631">
        <f t="shared" si="100"/>
        <v>2024</v>
      </c>
      <c r="G1631">
        <f t="shared" si="101"/>
        <v>1</v>
      </c>
      <c r="H1631">
        <f t="shared" si="102"/>
        <v>0</v>
      </c>
      <c r="I1631" s="6">
        <v>0.48958333333333331</v>
      </c>
      <c r="J1631" s="6">
        <v>0.67986111111111114</v>
      </c>
      <c r="K1631" s="7" t="s">
        <v>13</v>
      </c>
      <c r="L1631" s="7" t="s">
        <v>14</v>
      </c>
      <c r="M1631" s="7" t="s">
        <v>15</v>
      </c>
      <c r="N1631" s="7">
        <f>COUNTIFS(A:A,A1631,D:D,D1631,E:E,I1631)</f>
        <v>0</v>
      </c>
    </row>
    <row r="1632" spans="1:14" x14ac:dyDescent="0.3">
      <c r="A1632" s="7" t="s">
        <v>175</v>
      </c>
      <c r="B1632" s="7" t="s">
        <v>176</v>
      </c>
      <c r="C1632" s="7" t="s">
        <v>425</v>
      </c>
      <c r="D1632" s="8">
        <v>45327</v>
      </c>
      <c r="E1632" s="8" t="str">
        <f t="shared" si="99"/>
        <v>February</v>
      </c>
      <c r="F1632">
        <f t="shared" si="100"/>
        <v>2024</v>
      </c>
      <c r="G1632">
        <f t="shared" si="101"/>
        <v>1</v>
      </c>
      <c r="H1632">
        <f t="shared" si="102"/>
        <v>1</v>
      </c>
      <c r="I1632" s="6">
        <v>0.42499999999999999</v>
      </c>
      <c r="J1632" s="6">
        <v>0.84861111111111109</v>
      </c>
      <c r="K1632" s="7" t="s">
        <v>26</v>
      </c>
      <c r="L1632" s="7" t="s">
        <v>14</v>
      </c>
      <c r="M1632" s="7" t="s">
        <v>21</v>
      </c>
      <c r="N1632" s="7">
        <f>COUNTIFS(A:A,A1632,D:D,D1632,E:E,I1632)</f>
        <v>0</v>
      </c>
    </row>
    <row r="1633" spans="1:14" x14ac:dyDescent="0.3">
      <c r="A1633" s="7" t="s">
        <v>134</v>
      </c>
      <c r="B1633" s="7" t="s">
        <v>135</v>
      </c>
      <c r="C1633" s="7" t="s">
        <v>42</v>
      </c>
      <c r="D1633" s="8">
        <v>45375</v>
      </c>
      <c r="E1633" s="8" t="str">
        <f t="shared" si="99"/>
        <v>March</v>
      </c>
      <c r="F1633">
        <f t="shared" si="100"/>
        <v>2024</v>
      </c>
      <c r="G1633">
        <f t="shared" si="101"/>
        <v>1</v>
      </c>
      <c r="H1633">
        <f t="shared" si="102"/>
        <v>0</v>
      </c>
      <c r="I1633" s="6">
        <v>0.49166666666666664</v>
      </c>
      <c r="J1633" s="6">
        <v>0.69652777777777775</v>
      </c>
      <c r="K1633" s="7" t="s">
        <v>13</v>
      </c>
      <c r="L1633" s="7" t="s">
        <v>14</v>
      </c>
      <c r="M1633" s="7" t="s">
        <v>21</v>
      </c>
      <c r="N1633" s="7">
        <f>COUNTIFS(A:A,A1633,D:D,D1633,E:E,I1633)</f>
        <v>0</v>
      </c>
    </row>
    <row r="1634" spans="1:14" x14ac:dyDescent="0.3">
      <c r="A1634" s="7" t="s">
        <v>315</v>
      </c>
      <c r="B1634" s="7" t="s">
        <v>316</v>
      </c>
      <c r="C1634" s="7" t="s">
        <v>425</v>
      </c>
      <c r="D1634" s="8">
        <v>45313</v>
      </c>
      <c r="E1634" s="8" t="str">
        <f t="shared" si="99"/>
        <v>January</v>
      </c>
      <c r="F1634">
        <f t="shared" si="100"/>
        <v>2024</v>
      </c>
      <c r="G1634">
        <f t="shared" si="101"/>
        <v>1</v>
      </c>
      <c r="H1634">
        <f t="shared" si="102"/>
        <v>0</v>
      </c>
      <c r="I1634" s="6">
        <v>0.40972222222222221</v>
      </c>
      <c r="J1634" s="6">
        <v>0.76736111111111116</v>
      </c>
      <c r="K1634" s="7" t="s">
        <v>13</v>
      </c>
      <c r="L1634" s="7" t="s">
        <v>14</v>
      </c>
      <c r="M1634" s="7" t="s">
        <v>21</v>
      </c>
      <c r="N1634" s="7">
        <f>COUNTIFS(A:A,A1634,D:D,D1634,E:E,I1634)</f>
        <v>0</v>
      </c>
    </row>
    <row r="1635" spans="1:14" x14ac:dyDescent="0.3">
      <c r="A1635" s="7" t="s">
        <v>194</v>
      </c>
      <c r="B1635" s="7" t="s">
        <v>195</v>
      </c>
      <c r="C1635" s="7" t="s">
        <v>64</v>
      </c>
      <c r="D1635" s="8">
        <v>45310</v>
      </c>
      <c r="E1635" s="8" t="str">
        <f t="shared" si="99"/>
        <v>January</v>
      </c>
      <c r="F1635">
        <f t="shared" si="100"/>
        <v>2024</v>
      </c>
      <c r="G1635">
        <f t="shared" si="101"/>
        <v>1</v>
      </c>
      <c r="H1635">
        <f t="shared" si="102"/>
        <v>0</v>
      </c>
      <c r="I1635" s="6">
        <v>0.44444444444444442</v>
      </c>
      <c r="J1635" s="6">
        <v>0.81041666666666667</v>
      </c>
      <c r="K1635" s="7" t="s">
        <v>20</v>
      </c>
      <c r="L1635" s="7" t="s">
        <v>27</v>
      </c>
      <c r="M1635" s="7" t="s">
        <v>15</v>
      </c>
      <c r="N1635" s="7">
        <f>COUNTIFS(A:A,A1635,D:D,D1635,E:E,I1635)</f>
        <v>0</v>
      </c>
    </row>
    <row r="1636" spans="1:14" x14ac:dyDescent="0.3">
      <c r="A1636" s="7" t="s">
        <v>112</v>
      </c>
      <c r="B1636" s="7" t="s">
        <v>113</v>
      </c>
      <c r="C1636" s="7" t="s">
        <v>425</v>
      </c>
      <c r="D1636" s="8">
        <v>45354</v>
      </c>
      <c r="E1636" s="8" t="str">
        <f t="shared" si="99"/>
        <v>March</v>
      </c>
      <c r="F1636">
        <f t="shared" si="100"/>
        <v>2024</v>
      </c>
      <c r="G1636">
        <f t="shared" si="101"/>
        <v>1</v>
      </c>
      <c r="H1636">
        <f t="shared" si="102"/>
        <v>0</v>
      </c>
      <c r="I1636" s="6">
        <v>0.47708333333333336</v>
      </c>
      <c r="J1636" s="6">
        <v>0.78749999999999998</v>
      </c>
      <c r="K1636" s="7" t="s">
        <v>20</v>
      </c>
      <c r="L1636" s="7" t="s">
        <v>14</v>
      </c>
      <c r="M1636" s="7" t="s">
        <v>15</v>
      </c>
      <c r="N1636" s="7">
        <f>COUNTIFS(A:A,A1636,D:D,D1636,E:E,I1636)</f>
        <v>0</v>
      </c>
    </row>
    <row r="1637" spans="1:14" x14ac:dyDescent="0.3">
      <c r="A1637" s="7" t="s">
        <v>216</v>
      </c>
      <c r="B1637" s="7" t="s">
        <v>217</v>
      </c>
      <c r="C1637" s="7" t="s">
        <v>425</v>
      </c>
      <c r="D1637" s="8">
        <v>45335</v>
      </c>
      <c r="E1637" s="8" t="str">
        <f t="shared" si="99"/>
        <v>February</v>
      </c>
      <c r="F1637">
        <f t="shared" si="100"/>
        <v>2024</v>
      </c>
      <c r="G1637">
        <f t="shared" si="101"/>
        <v>1</v>
      </c>
      <c r="H1637">
        <f t="shared" si="102"/>
        <v>1</v>
      </c>
      <c r="I1637" s="6">
        <v>0.48125000000000001</v>
      </c>
      <c r="J1637" s="6">
        <v>0.81666666666666665</v>
      </c>
      <c r="K1637" s="7" t="s">
        <v>26</v>
      </c>
      <c r="L1637" s="7" t="s">
        <v>14</v>
      </c>
      <c r="M1637" s="7" t="s">
        <v>21</v>
      </c>
      <c r="N1637" s="7">
        <f>COUNTIFS(A:A,A1637,D:D,D1637,E:E,I1637)</f>
        <v>0</v>
      </c>
    </row>
    <row r="1638" spans="1:14" x14ac:dyDescent="0.3">
      <c r="A1638" s="7" t="s">
        <v>75</v>
      </c>
      <c r="B1638" s="7" t="s">
        <v>76</v>
      </c>
      <c r="C1638" s="7" t="s">
        <v>426</v>
      </c>
      <c r="D1638" s="8">
        <v>45323</v>
      </c>
      <c r="E1638" s="8" t="str">
        <f t="shared" si="99"/>
        <v>February</v>
      </c>
      <c r="F1638">
        <f t="shared" si="100"/>
        <v>2024</v>
      </c>
      <c r="G1638">
        <f t="shared" si="101"/>
        <v>1</v>
      </c>
      <c r="H1638">
        <f t="shared" si="102"/>
        <v>0</v>
      </c>
      <c r="I1638" s="6">
        <v>0.45</v>
      </c>
      <c r="J1638" s="6">
        <v>0.85277777777777775</v>
      </c>
      <c r="K1638" s="7" t="s">
        <v>20</v>
      </c>
      <c r="L1638" s="7" t="s">
        <v>27</v>
      </c>
      <c r="M1638" s="7" t="s">
        <v>21</v>
      </c>
      <c r="N1638" s="7">
        <f>COUNTIFS(A:A,A1638,D:D,D1638,E:E,I1638)</f>
        <v>0</v>
      </c>
    </row>
    <row r="1639" spans="1:14" x14ac:dyDescent="0.3">
      <c r="A1639" s="7" t="s">
        <v>90</v>
      </c>
      <c r="B1639" s="7" t="s">
        <v>91</v>
      </c>
      <c r="C1639" s="7" t="s">
        <v>64</v>
      </c>
      <c r="D1639" s="8">
        <v>45345</v>
      </c>
      <c r="E1639" s="8" t="str">
        <f t="shared" si="99"/>
        <v>February</v>
      </c>
      <c r="F1639">
        <f t="shared" si="100"/>
        <v>2024</v>
      </c>
      <c r="G1639">
        <f t="shared" si="101"/>
        <v>0</v>
      </c>
      <c r="H1639">
        <f t="shared" si="102"/>
        <v>0</v>
      </c>
      <c r="I1639" s="6"/>
      <c r="J1639" s="6"/>
      <c r="K1639" s="7" t="s">
        <v>44</v>
      </c>
      <c r="L1639" s="7" t="s">
        <v>27</v>
      </c>
      <c r="M1639" s="7" t="s">
        <v>15</v>
      </c>
      <c r="N1639" s="7">
        <f>COUNTIFS(A:A,A1639,D:D,D1639,E:E,I1639)</f>
        <v>0</v>
      </c>
    </row>
    <row r="1640" spans="1:14" x14ac:dyDescent="0.3">
      <c r="A1640" s="7" t="s">
        <v>84</v>
      </c>
      <c r="B1640" s="7" t="s">
        <v>85</v>
      </c>
      <c r="C1640" s="7" t="s">
        <v>60</v>
      </c>
      <c r="D1640" s="8">
        <v>45474</v>
      </c>
      <c r="E1640" s="8" t="str">
        <f t="shared" si="99"/>
        <v>July</v>
      </c>
      <c r="F1640">
        <f t="shared" si="100"/>
        <v>2024</v>
      </c>
      <c r="G1640">
        <f t="shared" si="101"/>
        <v>1</v>
      </c>
      <c r="H1640">
        <f t="shared" si="102"/>
        <v>1</v>
      </c>
      <c r="I1640" s="6">
        <v>0.44027777777777777</v>
      </c>
      <c r="J1640" s="6">
        <v>0.79236111111111107</v>
      </c>
      <c r="K1640" s="7" t="s">
        <v>26</v>
      </c>
      <c r="L1640" s="7" t="s">
        <v>27</v>
      </c>
      <c r="M1640" s="7" t="s">
        <v>15</v>
      </c>
      <c r="N1640" s="7">
        <f>COUNTIFS(A:A,A1640,D:D,D1640,E:E,I1640)</f>
        <v>0</v>
      </c>
    </row>
    <row r="1641" spans="1:14" x14ac:dyDescent="0.3">
      <c r="A1641" s="7" t="s">
        <v>34</v>
      </c>
      <c r="B1641" s="7" t="s">
        <v>35</v>
      </c>
      <c r="C1641" s="7" t="s">
        <v>425</v>
      </c>
      <c r="D1641" s="8">
        <v>45312</v>
      </c>
      <c r="E1641" s="8" t="str">
        <f t="shared" si="99"/>
        <v>January</v>
      </c>
      <c r="F1641">
        <f t="shared" si="100"/>
        <v>2024</v>
      </c>
      <c r="G1641">
        <f t="shared" si="101"/>
        <v>1</v>
      </c>
      <c r="H1641">
        <f t="shared" si="102"/>
        <v>0</v>
      </c>
      <c r="I1641" s="6">
        <v>0.3347222222222222</v>
      </c>
      <c r="J1641" s="6">
        <v>0.67500000000000004</v>
      </c>
      <c r="K1641" s="7" t="s">
        <v>20</v>
      </c>
      <c r="L1641" s="7" t="s">
        <v>14</v>
      </c>
      <c r="M1641" s="7" t="s">
        <v>15</v>
      </c>
      <c r="N1641" s="7">
        <f>COUNTIFS(A:A,A1641,D:D,D1641,E:E,I1641)</f>
        <v>0</v>
      </c>
    </row>
    <row r="1642" spans="1:14" x14ac:dyDescent="0.3">
      <c r="A1642" s="7" t="s">
        <v>138</v>
      </c>
      <c r="B1642" s="7" t="s">
        <v>139</v>
      </c>
      <c r="C1642" s="7" t="s">
        <v>426</v>
      </c>
      <c r="D1642" s="8">
        <v>45372</v>
      </c>
      <c r="E1642" s="8" t="str">
        <f t="shared" si="99"/>
        <v>March</v>
      </c>
      <c r="F1642">
        <f t="shared" si="100"/>
        <v>2024</v>
      </c>
      <c r="G1642">
        <f t="shared" si="101"/>
        <v>0</v>
      </c>
      <c r="H1642">
        <f t="shared" si="102"/>
        <v>0</v>
      </c>
      <c r="I1642" s="6"/>
      <c r="J1642" s="6"/>
      <c r="K1642" s="7" t="s">
        <v>44</v>
      </c>
      <c r="L1642" s="7" t="s">
        <v>27</v>
      </c>
      <c r="M1642" s="7" t="s">
        <v>21</v>
      </c>
      <c r="N1642" s="7">
        <f>COUNTIFS(A:A,A1642,D:D,D1642,E:E,I1642)</f>
        <v>0</v>
      </c>
    </row>
    <row r="1643" spans="1:14" x14ac:dyDescent="0.3">
      <c r="A1643" s="7" t="s">
        <v>22</v>
      </c>
      <c r="B1643" s="7" t="s">
        <v>23</v>
      </c>
      <c r="C1643" s="7" t="s">
        <v>425</v>
      </c>
      <c r="D1643" s="8">
        <v>45313</v>
      </c>
      <c r="E1643" s="8" t="str">
        <f t="shared" si="99"/>
        <v>January</v>
      </c>
      <c r="F1643">
        <f t="shared" si="100"/>
        <v>2024</v>
      </c>
      <c r="G1643">
        <f t="shared" si="101"/>
        <v>1</v>
      </c>
      <c r="H1643">
        <f t="shared" si="102"/>
        <v>0</v>
      </c>
      <c r="I1643" s="6">
        <v>0.45624999999999999</v>
      </c>
      <c r="J1643" s="6">
        <v>0.69097222222222221</v>
      </c>
      <c r="K1643" s="7" t="s">
        <v>13</v>
      </c>
      <c r="L1643" s="7" t="s">
        <v>27</v>
      </c>
      <c r="M1643" s="7" t="s">
        <v>15</v>
      </c>
      <c r="N1643" s="7">
        <f>COUNTIFS(A:A,A1643,D:D,D1643,E:E,I1643)</f>
        <v>0</v>
      </c>
    </row>
    <row r="1644" spans="1:14" x14ac:dyDescent="0.3">
      <c r="A1644" s="7" t="s">
        <v>338</v>
      </c>
      <c r="B1644" s="7" t="s">
        <v>339</v>
      </c>
      <c r="C1644" s="7" t="s">
        <v>425</v>
      </c>
      <c r="D1644" s="8">
        <v>45327</v>
      </c>
      <c r="E1644" s="8" t="str">
        <f t="shared" si="99"/>
        <v>February</v>
      </c>
      <c r="F1644">
        <f t="shared" si="100"/>
        <v>2024</v>
      </c>
      <c r="G1644">
        <f t="shared" si="101"/>
        <v>1</v>
      </c>
      <c r="H1644">
        <f t="shared" si="102"/>
        <v>0</v>
      </c>
      <c r="I1644" s="6">
        <v>0.3611111111111111</v>
      </c>
      <c r="J1644" s="6">
        <v>0.8041666666666667</v>
      </c>
      <c r="K1644" s="7" t="s">
        <v>13</v>
      </c>
      <c r="L1644" s="7" t="s">
        <v>27</v>
      </c>
      <c r="M1644" s="7" t="s">
        <v>21</v>
      </c>
      <c r="N1644" s="7">
        <f>COUNTIFS(A:A,A1644,D:D,D1644,E:E,I1644)</f>
        <v>0</v>
      </c>
    </row>
    <row r="1645" spans="1:14" x14ac:dyDescent="0.3">
      <c r="A1645" s="7" t="s">
        <v>157</v>
      </c>
      <c r="B1645" s="7" t="s">
        <v>158</v>
      </c>
      <c r="C1645" s="7" t="s">
        <v>60</v>
      </c>
      <c r="D1645" s="8">
        <v>45294</v>
      </c>
      <c r="E1645" s="8" t="str">
        <f t="shared" si="99"/>
        <v>January</v>
      </c>
      <c r="F1645">
        <f t="shared" si="100"/>
        <v>2024</v>
      </c>
      <c r="G1645">
        <f t="shared" si="101"/>
        <v>1</v>
      </c>
      <c r="H1645">
        <f t="shared" si="102"/>
        <v>1</v>
      </c>
      <c r="I1645" s="6">
        <v>0.47708333333333336</v>
      </c>
      <c r="J1645" s="6">
        <v>0.83680555555555558</v>
      </c>
      <c r="K1645" s="7" t="s">
        <v>26</v>
      </c>
      <c r="L1645" s="7" t="s">
        <v>14</v>
      </c>
      <c r="M1645" s="7" t="s">
        <v>21</v>
      </c>
      <c r="N1645" s="7">
        <f>COUNTIFS(A:A,A1645,D:D,D1645,E:E,I1645)</f>
        <v>0</v>
      </c>
    </row>
    <row r="1646" spans="1:14" x14ac:dyDescent="0.3">
      <c r="A1646" s="7" t="s">
        <v>31</v>
      </c>
      <c r="B1646" s="7" t="s">
        <v>32</v>
      </c>
      <c r="C1646" s="7" t="s">
        <v>60</v>
      </c>
      <c r="D1646" s="8">
        <v>45338</v>
      </c>
      <c r="E1646" s="8" t="str">
        <f t="shared" si="99"/>
        <v>February</v>
      </c>
      <c r="F1646">
        <f t="shared" si="100"/>
        <v>2024</v>
      </c>
      <c r="G1646">
        <f t="shared" si="101"/>
        <v>1</v>
      </c>
      <c r="H1646">
        <f t="shared" si="102"/>
        <v>0</v>
      </c>
      <c r="I1646" s="6">
        <v>0.49791666666666667</v>
      </c>
      <c r="J1646" s="6">
        <v>0.68541666666666667</v>
      </c>
      <c r="K1646" s="7" t="s">
        <v>20</v>
      </c>
      <c r="L1646" s="7" t="s">
        <v>27</v>
      </c>
      <c r="M1646" s="7" t="s">
        <v>21</v>
      </c>
      <c r="N1646" s="7">
        <f>COUNTIFS(A:A,A1646,D:D,D1646,E:E,I1646)</f>
        <v>0</v>
      </c>
    </row>
    <row r="1647" spans="1:14" x14ac:dyDescent="0.3">
      <c r="A1647" s="7" t="s">
        <v>216</v>
      </c>
      <c r="B1647" s="7" t="s">
        <v>217</v>
      </c>
      <c r="C1647" s="7" t="s">
        <v>60</v>
      </c>
      <c r="D1647" s="8">
        <v>45341</v>
      </c>
      <c r="E1647" s="8" t="str">
        <f t="shared" si="99"/>
        <v>February</v>
      </c>
      <c r="F1647">
        <f t="shared" si="100"/>
        <v>2024</v>
      </c>
      <c r="G1647">
        <f t="shared" si="101"/>
        <v>1</v>
      </c>
      <c r="H1647">
        <f t="shared" si="102"/>
        <v>0</v>
      </c>
      <c r="I1647" s="6">
        <v>0.47430555555555554</v>
      </c>
      <c r="J1647" s="6">
        <v>0.85138888888888886</v>
      </c>
      <c r="K1647" s="7" t="s">
        <v>20</v>
      </c>
      <c r="L1647" s="7" t="s">
        <v>14</v>
      </c>
      <c r="M1647" s="7" t="s">
        <v>15</v>
      </c>
      <c r="N1647" s="7">
        <f>COUNTIFS(A:A,A1647,D:D,D1647,E:E,I1647)</f>
        <v>0</v>
      </c>
    </row>
    <row r="1648" spans="1:14" x14ac:dyDescent="0.3">
      <c r="A1648" s="7" t="s">
        <v>115</v>
      </c>
      <c r="B1648" s="7" t="s">
        <v>116</v>
      </c>
      <c r="C1648" s="7" t="s">
        <v>425</v>
      </c>
      <c r="D1648" s="8">
        <v>45332</v>
      </c>
      <c r="E1648" s="8" t="str">
        <f t="shared" si="99"/>
        <v>February</v>
      </c>
      <c r="F1648">
        <f t="shared" si="100"/>
        <v>2024</v>
      </c>
      <c r="G1648">
        <f t="shared" si="101"/>
        <v>1</v>
      </c>
      <c r="H1648">
        <f t="shared" si="102"/>
        <v>1</v>
      </c>
      <c r="I1648" s="6">
        <v>0.47013888888888888</v>
      </c>
      <c r="J1648" s="6">
        <v>0.69166666666666665</v>
      </c>
      <c r="K1648" s="7" t="s">
        <v>26</v>
      </c>
      <c r="L1648" s="7" t="s">
        <v>14</v>
      </c>
      <c r="M1648" s="7" t="s">
        <v>21</v>
      </c>
      <c r="N1648" s="7">
        <f>COUNTIFS(A:A,A1648,D:D,D1648,E:E,I1648)</f>
        <v>0</v>
      </c>
    </row>
    <row r="1649" spans="1:14" x14ac:dyDescent="0.3">
      <c r="A1649" s="7" t="s">
        <v>40</v>
      </c>
      <c r="B1649" s="7" t="s">
        <v>41</v>
      </c>
      <c r="C1649" s="7" t="s">
        <v>42</v>
      </c>
      <c r="D1649" s="8">
        <v>45370</v>
      </c>
      <c r="E1649" s="8" t="str">
        <f t="shared" si="99"/>
        <v>March</v>
      </c>
      <c r="F1649">
        <f t="shared" si="100"/>
        <v>2024</v>
      </c>
      <c r="G1649">
        <f t="shared" si="101"/>
        <v>0</v>
      </c>
      <c r="H1649">
        <f t="shared" si="102"/>
        <v>0</v>
      </c>
      <c r="I1649" s="6"/>
      <c r="J1649" s="6"/>
      <c r="K1649" s="7" t="s">
        <v>44</v>
      </c>
      <c r="L1649" s="7" t="s">
        <v>14</v>
      </c>
      <c r="M1649" s="7" t="s">
        <v>15</v>
      </c>
      <c r="N1649" s="7">
        <f>COUNTIFS(A:A,A1649,D:D,D1649,E:E,I1649)</f>
        <v>0</v>
      </c>
    </row>
    <row r="1650" spans="1:14" x14ac:dyDescent="0.3">
      <c r="A1650" s="7" t="s">
        <v>72</v>
      </c>
      <c r="B1650" s="7" t="s">
        <v>73</v>
      </c>
      <c r="C1650" s="7" t="s">
        <v>426</v>
      </c>
      <c r="D1650" s="8">
        <v>45366</v>
      </c>
      <c r="E1650" s="8" t="str">
        <f t="shared" si="99"/>
        <v>March</v>
      </c>
      <c r="F1650">
        <f t="shared" si="100"/>
        <v>2024</v>
      </c>
      <c r="G1650">
        <f t="shared" si="101"/>
        <v>1</v>
      </c>
      <c r="H1650">
        <f t="shared" si="102"/>
        <v>0</v>
      </c>
      <c r="I1650" s="6">
        <v>0.48402777777777778</v>
      </c>
      <c r="J1650" s="6">
        <v>0.84027777777777779</v>
      </c>
      <c r="K1650" s="7" t="s">
        <v>13</v>
      </c>
      <c r="L1650" s="7" t="s">
        <v>27</v>
      </c>
      <c r="M1650" s="7" t="s">
        <v>15</v>
      </c>
      <c r="N1650" s="7">
        <f>COUNTIFS(A:A,A1650,D:D,D1650,E:E,I1650)</f>
        <v>0</v>
      </c>
    </row>
    <row r="1651" spans="1:14" x14ac:dyDescent="0.3">
      <c r="A1651" s="7" t="s">
        <v>315</v>
      </c>
      <c r="B1651" s="7" t="s">
        <v>316</v>
      </c>
      <c r="C1651" s="7" t="s">
        <v>42</v>
      </c>
      <c r="D1651" s="8">
        <v>45337</v>
      </c>
      <c r="E1651" s="8" t="str">
        <f t="shared" si="99"/>
        <v>February</v>
      </c>
      <c r="F1651">
        <f t="shared" si="100"/>
        <v>2024</v>
      </c>
      <c r="G1651">
        <f t="shared" si="101"/>
        <v>1</v>
      </c>
      <c r="H1651">
        <f t="shared" si="102"/>
        <v>0</v>
      </c>
      <c r="I1651" s="6">
        <v>0.39861111111111114</v>
      </c>
      <c r="J1651" s="6">
        <v>0.82152777777777775</v>
      </c>
      <c r="K1651" s="7" t="s">
        <v>20</v>
      </c>
      <c r="L1651" s="7" t="s">
        <v>27</v>
      </c>
      <c r="M1651" s="7" t="s">
        <v>21</v>
      </c>
      <c r="N1651" s="7">
        <f>COUNTIFS(A:A,A1651,D:D,D1651,E:E,I1651)</f>
        <v>0</v>
      </c>
    </row>
    <row r="1652" spans="1:14" x14ac:dyDescent="0.3">
      <c r="A1652" s="7" t="s">
        <v>134</v>
      </c>
      <c r="B1652" s="7" t="s">
        <v>135</v>
      </c>
      <c r="C1652" s="7" t="s">
        <v>425</v>
      </c>
      <c r="D1652" s="8">
        <v>45379</v>
      </c>
      <c r="E1652" s="8" t="str">
        <f t="shared" si="99"/>
        <v>March</v>
      </c>
      <c r="F1652">
        <f t="shared" si="100"/>
        <v>2024</v>
      </c>
      <c r="G1652">
        <f t="shared" si="101"/>
        <v>1</v>
      </c>
      <c r="H1652">
        <f t="shared" si="102"/>
        <v>0</v>
      </c>
      <c r="I1652" s="6">
        <v>0.44583333333333336</v>
      </c>
      <c r="J1652" s="6">
        <v>0.6743055555555556</v>
      </c>
      <c r="K1652" s="7" t="s">
        <v>13</v>
      </c>
      <c r="L1652" s="7" t="s">
        <v>27</v>
      </c>
      <c r="M1652" s="7" t="s">
        <v>21</v>
      </c>
      <c r="N1652" s="7">
        <f>COUNTIFS(A:A,A1652,D:D,D1652,E:E,I1652)</f>
        <v>0</v>
      </c>
    </row>
    <row r="1653" spans="1:14" x14ac:dyDescent="0.3">
      <c r="A1653" s="7" t="s">
        <v>34</v>
      </c>
      <c r="B1653" s="7" t="s">
        <v>35</v>
      </c>
      <c r="C1653" s="7" t="s">
        <v>64</v>
      </c>
      <c r="D1653" s="8">
        <v>45305</v>
      </c>
      <c r="E1653" s="8" t="str">
        <f t="shared" si="99"/>
        <v>January</v>
      </c>
      <c r="F1653">
        <f t="shared" si="100"/>
        <v>2024</v>
      </c>
      <c r="G1653">
        <f t="shared" si="101"/>
        <v>1</v>
      </c>
      <c r="H1653">
        <f t="shared" si="102"/>
        <v>0</v>
      </c>
      <c r="I1653" s="6">
        <v>0.4201388888888889</v>
      </c>
      <c r="J1653" s="6">
        <v>0.71250000000000002</v>
      </c>
      <c r="K1653" s="7" t="s">
        <v>13</v>
      </c>
      <c r="L1653" s="7" t="s">
        <v>27</v>
      </c>
      <c r="M1653" s="7" t="s">
        <v>21</v>
      </c>
      <c r="N1653" s="7">
        <f>COUNTIFS(A:A,A1653,D:D,D1653,E:E,I1653)</f>
        <v>0</v>
      </c>
    </row>
    <row r="1654" spans="1:14" x14ac:dyDescent="0.3">
      <c r="A1654" s="7" t="s">
        <v>213</v>
      </c>
      <c r="B1654" s="7" t="s">
        <v>214</v>
      </c>
      <c r="C1654" s="7" t="s">
        <v>60</v>
      </c>
      <c r="D1654" s="8">
        <v>45313</v>
      </c>
      <c r="E1654" s="8" t="str">
        <f t="shared" si="99"/>
        <v>January</v>
      </c>
      <c r="F1654">
        <f t="shared" si="100"/>
        <v>2024</v>
      </c>
      <c r="G1654">
        <f t="shared" si="101"/>
        <v>0</v>
      </c>
      <c r="H1654">
        <f t="shared" si="102"/>
        <v>0</v>
      </c>
      <c r="I1654" s="6"/>
      <c r="J1654" s="6"/>
      <c r="K1654" s="7" t="s">
        <v>44</v>
      </c>
      <c r="L1654" s="7" t="s">
        <v>14</v>
      </c>
      <c r="M1654" s="7" t="s">
        <v>15</v>
      </c>
      <c r="N1654" s="7">
        <f>COUNTIFS(A:A,A1654,D:D,D1654,E:E,I1654)</f>
        <v>0</v>
      </c>
    </row>
    <row r="1655" spans="1:14" x14ac:dyDescent="0.3">
      <c r="A1655" s="7" t="s">
        <v>134</v>
      </c>
      <c r="B1655" s="7" t="s">
        <v>135</v>
      </c>
      <c r="C1655" s="7" t="s">
        <v>42</v>
      </c>
      <c r="D1655" s="8">
        <v>45536</v>
      </c>
      <c r="E1655" s="8" t="str">
        <f t="shared" si="99"/>
        <v>September</v>
      </c>
      <c r="F1655">
        <f t="shared" si="100"/>
        <v>2024</v>
      </c>
      <c r="G1655">
        <f t="shared" si="101"/>
        <v>0</v>
      </c>
      <c r="H1655">
        <f t="shared" si="102"/>
        <v>0</v>
      </c>
      <c r="I1655" s="6"/>
      <c r="J1655" s="6"/>
      <c r="K1655" s="7" t="s">
        <v>44</v>
      </c>
      <c r="L1655" s="7" t="s">
        <v>27</v>
      </c>
      <c r="M1655" s="7" t="s">
        <v>15</v>
      </c>
      <c r="N1655" s="7">
        <f>COUNTIFS(A:A,A1655,D:D,D1655,E:E,I1655)</f>
        <v>0</v>
      </c>
    </row>
    <row r="1656" spans="1:14" x14ac:dyDescent="0.3">
      <c r="A1656" s="7" t="s">
        <v>34</v>
      </c>
      <c r="B1656" s="7" t="s">
        <v>35</v>
      </c>
      <c r="C1656" s="7" t="s">
        <v>60</v>
      </c>
      <c r="D1656" s="8">
        <v>45322</v>
      </c>
      <c r="E1656" s="8" t="str">
        <f t="shared" si="99"/>
        <v>January</v>
      </c>
      <c r="F1656">
        <f t="shared" si="100"/>
        <v>2024</v>
      </c>
      <c r="G1656">
        <f t="shared" si="101"/>
        <v>1</v>
      </c>
      <c r="H1656">
        <f t="shared" si="102"/>
        <v>0</v>
      </c>
      <c r="I1656" s="6">
        <v>0.49027777777777776</v>
      </c>
      <c r="J1656" s="6">
        <v>0.67777777777777781</v>
      </c>
      <c r="K1656" s="7" t="s">
        <v>13</v>
      </c>
      <c r="L1656" s="7" t="s">
        <v>14</v>
      </c>
      <c r="M1656" s="7" t="s">
        <v>15</v>
      </c>
      <c r="N1656" s="7">
        <f>COUNTIFS(A:A,A1656,D:D,D1656,E:E,I1656)</f>
        <v>0</v>
      </c>
    </row>
    <row r="1657" spans="1:14" x14ac:dyDescent="0.3">
      <c r="A1657" s="7" t="s">
        <v>204</v>
      </c>
      <c r="B1657" s="7" t="s">
        <v>205</v>
      </c>
      <c r="C1657" s="7" t="s">
        <v>425</v>
      </c>
      <c r="D1657" s="8">
        <v>45353</v>
      </c>
      <c r="E1657" s="8" t="str">
        <f t="shared" si="99"/>
        <v>March</v>
      </c>
      <c r="F1657">
        <f t="shared" si="100"/>
        <v>2024</v>
      </c>
      <c r="G1657">
        <f t="shared" si="101"/>
        <v>1</v>
      </c>
      <c r="H1657">
        <f t="shared" si="102"/>
        <v>1</v>
      </c>
      <c r="I1657" s="6">
        <v>0.37777777777777777</v>
      </c>
      <c r="J1657" s="6">
        <v>0.80277777777777781</v>
      </c>
      <c r="K1657" s="7" t="s">
        <v>26</v>
      </c>
      <c r="L1657" s="7" t="s">
        <v>14</v>
      </c>
      <c r="M1657" s="7" t="s">
        <v>15</v>
      </c>
      <c r="N1657" s="7">
        <f>COUNTIFS(A:A,A1657,D:D,D1657,E:E,I1657)</f>
        <v>0</v>
      </c>
    </row>
    <row r="1658" spans="1:14" x14ac:dyDescent="0.3">
      <c r="A1658" s="7" t="s">
        <v>81</v>
      </c>
      <c r="B1658" s="7" t="s">
        <v>82</v>
      </c>
      <c r="C1658" s="7" t="s">
        <v>42</v>
      </c>
      <c r="D1658" s="8">
        <v>45343</v>
      </c>
      <c r="E1658" s="8" t="str">
        <f t="shared" si="99"/>
        <v>February</v>
      </c>
      <c r="F1658">
        <f t="shared" si="100"/>
        <v>2024</v>
      </c>
      <c r="G1658">
        <f t="shared" si="101"/>
        <v>1</v>
      </c>
      <c r="H1658">
        <f t="shared" si="102"/>
        <v>0</v>
      </c>
      <c r="I1658" s="6">
        <v>0.49027777777777776</v>
      </c>
      <c r="J1658" s="6">
        <v>0.73402777777777772</v>
      </c>
      <c r="K1658" s="7" t="s">
        <v>20</v>
      </c>
      <c r="L1658" s="7" t="s">
        <v>27</v>
      </c>
      <c r="M1658" s="7" t="s">
        <v>21</v>
      </c>
      <c r="N1658" s="7">
        <f>COUNTIFS(A:A,A1658,D:D,D1658,E:E,I1658)</f>
        <v>0</v>
      </c>
    </row>
    <row r="1659" spans="1:14" x14ac:dyDescent="0.3">
      <c r="A1659" s="7" t="s">
        <v>204</v>
      </c>
      <c r="B1659" s="7" t="s">
        <v>205</v>
      </c>
      <c r="C1659" s="7" t="s">
        <v>426</v>
      </c>
      <c r="D1659" s="8">
        <v>45374</v>
      </c>
      <c r="E1659" s="8" t="str">
        <f t="shared" si="99"/>
        <v>March</v>
      </c>
      <c r="F1659">
        <f t="shared" si="100"/>
        <v>2024</v>
      </c>
      <c r="G1659">
        <f t="shared" si="101"/>
        <v>1</v>
      </c>
      <c r="H1659">
        <f t="shared" si="102"/>
        <v>0</v>
      </c>
      <c r="I1659" s="6">
        <v>0.39166666666666666</v>
      </c>
      <c r="J1659" s="6">
        <v>0.82361111111111107</v>
      </c>
      <c r="K1659" s="7" t="s">
        <v>13</v>
      </c>
      <c r="L1659" s="7" t="s">
        <v>14</v>
      </c>
      <c r="M1659" s="7" t="s">
        <v>15</v>
      </c>
      <c r="N1659" s="7">
        <f>COUNTIFS(A:A,A1659,D:D,D1659,E:E,I1659)</f>
        <v>0</v>
      </c>
    </row>
    <row r="1660" spans="1:14" x14ac:dyDescent="0.3">
      <c r="A1660" s="7" t="s">
        <v>187</v>
      </c>
      <c r="B1660" s="7" t="s">
        <v>188</v>
      </c>
      <c r="C1660" s="7" t="s">
        <v>60</v>
      </c>
      <c r="D1660" s="8">
        <v>45444</v>
      </c>
      <c r="E1660" s="8" t="str">
        <f t="shared" si="99"/>
        <v>June</v>
      </c>
      <c r="F1660">
        <f t="shared" si="100"/>
        <v>2024</v>
      </c>
      <c r="G1660">
        <f t="shared" si="101"/>
        <v>1</v>
      </c>
      <c r="H1660">
        <f t="shared" si="102"/>
        <v>1</v>
      </c>
      <c r="I1660" s="6">
        <v>0.37916666666666665</v>
      </c>
      <c r="J1660" s="6">
        <v>0.70347222222222228</v>
      </c>
      <c r="K1660" s="7" t="s">
        <v>26</v>
      </c>
      <c r="L1660" s="7" t="s">
        <v>14</v>
      </c>
      <c r="M1660" s="7" t="s">
        <v>21</v>
      </c>
      <c r="N1660" s="7">
        <f>COUNTIFS(A:A,A1660,D:D,D1660,E:E,I1660)</f>
        <v>0</v>
      </c>
    </row>
    <row r="1661" spans="1:14" x14ac:dyDescent="0.3">
      <c r="A1661" s="7" t="s">
        <v>175</v>
      </c>
      <c r="B1661" s="7" t="s">
        <v>176</v>
      </c>
      <c r="C1661" s="7" t="s">
        <v>426</v>
      </c>
      <c r="D1661" s="8">
        <v>45293</v>
      </c>
      <c r="E1661" s="8" t="str">
        <f t="shared" si="99"/>
        <v>January</v>
      </c>
      <c r="F1661">
        <f t="shared" si="100"/>
        <v>2024</v>
      </c>
      <c r="G1661">
        <f t="shared" si="101"/>
        <v>1</v>
      </c>
      <c r="H1661">
        <f t="shared" si="102"/>
        <v>0</v>
      </c>
      <c r="I1661" s="6">
        <v>0.36944444444444446</v>
      </c>
      <c r="J1661" s="6">
        <v>0.66666666666666663</v>
      </c>
      <c r="K1661" s="7" t="s">
        <v>20</v>
      </c>
      <c r="L1661" s="7" t="s">
        <v>27</v>
      </c>
      <c r="M1661" s="7" t="s">
        <v>21</v>
      </c>
      <c r="N1661" s="7">
        <f>COUNTIFS(A:A,A1661,D:D,D1661,E:E,I1661)</f>
        <v>0</v>
      </c>
    </row>
    <row r="1662" spans="1:14" x14ac:dyDescent="0.3">
      <c r="A1662" s="7" t="s">
        <v>115</v>
      </c>
      <c r="B1662" s="7" t="s">
        <v>116</v>
      </c>
      <c r="C1662" s="7" t="s">
        <v>60</v>
      </c>
      <c r="D1662" s="8">
        <v>45339</v>
      </c>
      <c r="E1662" s="8" t="str">
        <f t="shared" si="99"/>
        <v>February</v>
      </c>
      <c r="F1662">
        <f t="shared" si="100"/>
        <v>2024</v>
      </c>
      <c r="G1662">
        <f t="shared" si="101"/>
        <v>1</v>
      </c>
      <c r="H1662">
        <f t="shared" si="102"/>
        <v>0</v>
      </c>
      <c r="I1662" s="6">
        <v>0.41736111111111113</v>
      </c>
      <c r="J1662" s="6">
        <v>0.79861111111111116</v>
      </c>
      <c r="K1662" s="7" t="s">
        <v>13</v>
      </c>
      <c r="L1662" s="7" t="s">
        <v>14</v>
      </c>
      <c r="M1662" s="7" t="s">
        <v>21</v>
      </c>
      <c r="N1662" s="7">
        <f>COUNTIFS(A:A,A1662,D:D,D1662,E:E,I1662)</f>
        <v>0</v>
      </c>
    </row>
    <row r="1663" spans="1:14" x14ac:dyDescent="0.3">
      <c r="A1663" s="7" t="s">
        <v>58</v>
      </c>
      <c r="B1663" s="7" t="s">
        <v>59</v>
      </c>
      <c r="C1663" s="7" t="s">
        <v>60</v>
      </c>
      <c r="D1663" s="8">
        <v>45354</v>
      </c>
      <c r="E1663" s="8" t="str">
        <f t="shared" si="99"/>
        <v>March</v>
      </c>
      <c r="F1663">
        <f t="shared" si="100"/>
        <v>2024</v>
      </c>
      <c r="G1663">
        <f t="shared" si="101"/>
        <v>0</v>
      </c>
      <c r="H1663">
        <f t="shared" si="102"/>
        <v>0</v>
      </c>
      <c r="I1663" s="6"/>
      <c r="J1663" s="6"/>
      <c r="K1663" s="7" t="s">
        <v>44</v>
      </c>
      <c r="L1663" s="7" t="s">
        <v>14</v>
      </c>
      <c r="M1663" s="7" t="s">
        <v>15</v>
      </c>
      <c r="N1663" s="7">
        <f>COUNTIFS(A:A,A1663,D:D,D1663,E:E,I1663)</f>
        <v>0</v>
      </c>
    </row>
    <row r="1664" spans="1:14" x14ac:dyDescent="0.3">
      <c r="A1664" s="7" t="s">
        <v>150</v>
      </c>
      <c r="B1664" s="7" t="s">
        <v>151</v>
      </c>
      <c r="C1664" s="7" t="s">
        <v>42</v>
      </c>
      <c r="D1664" s="8">
        <v>45304</v>
      </c>
      <c r="E1664" s="8" t="str">
        <f t="shared" si="99"/>
        <v>January</v>
      </c>
      <c r="F1664">
        <f t="shared" si="100"/>
        <v>2024</v>
      </c>
      <c r="G1664">
        <f t="shared" si="101"/>
        <v>1</v>
      </c>
      <c r="H1664">
        <f t="shared" si="102"/>
        <v>1</v>
      </c>
      <c r="I1664" s="6">
        <v>0.40347222222222223</v>
      </c>
      <c r="J1664" s="6">
        <v>0.8618055555555556</v>
      </c>
      <c r="K1664" s="7" t="s">
        <v>26</v>
      </c>
      <c r="L1664" s="7" t="s">
        <v>27</v>
      </c>
      <c r="M1664" s="7" t="s">
        <v>15</v>
      </c>
      <c r="N1664" s="7">
        <f>COUNTIFS(A:A,A1664,D:D,D1664,E:E,I1664)</f>
        <v>0</v>
      </c>
    </row>
    <row r="1665" spans="1:14" x14ac:dyDescent="0.3">
      <c r="A1665" s="7" t="s">
        <v>84</v>
      </c>
      <c r="B1665" s="7" t="s">
        <v>85</v>
      </c>
      <c r="C1665" s="7" t="s">
        <v>426</v>
      </c>
      <c r="D1665" s="8">
        <v>45342</v>
      </c>
      <c r="E1665" s="8" t="str">
        <f t="shared" si="99"/>
        <v>February</v>
      </c>
      <c r="F1665">
        <f t="shared" si="100"/>
        <v>2024</v>
      </c>
      <c r="G1665">
        <f t="shared" si="101"/>
        <v>1</v>
      </c>
      <c r="H1665">
        <f t="shared" si="102"/>
        <v>1</v>
      </c>
      <c r="I1665" s="6">
        <v>0.4201388888888889</v>
      </c>
      <c r="J1665" s="6">
        <v>0.72361111111111109</v>
      </c>
      <c r="K1665" s="7" t="s">
        <v>26</v>
      </c>
      <c r="L1665" s="7" t="s">
        <v>27</v>
      </c>
      <c r="M1665" s="7" t="s">
        <v>15</v>
      </c>
      <c r="N1665" s="7">
        <f>COUNTIFS(A:A,A1665,D:D,D1665,E:E,I1665)</f>
        <v>0</v>
      </c>
    </row>
    <row r="1666" spans="1:14" x14ac:dyDescent="0.3">
      <c r="A1666" s="7" t="s">
        <v>37</v>
      </c>
      <c r="B1666" s="7" t="s">
        <v>38</v>
      </c>
      <c r="C1666" s="7" t="s">
        <v>426</v>
      </c>
      <c r="D1666" s="8">
        <v>45323</v>
      </c>
      <c r="E1666" s="8" t="str">
        <f t="shared" ref="E1666:E1729" si="103">TEXT(D1666,"mmmm")</f>
        <v>February</v>
      </c>
      <c r="F1666">
        <f t="shared" ref="F1666:F1729" si="104">YEAR(D1666)</f>
        <v>2024</v>
      </c>
      <c r="G1666">
        <f t="shared" ref="G1666:G1729" si="105">IF(LOWER(K1666)="absent",0,1)</f>
        <v>0</v>
      </c>
      <c r="H1666">
        <f t="shared" ref="H1666:H1729" si="106">IF(K1666="Late",1,0)</f>
        <v>0</v>
      </c>
      <c r="I1666" s="6"/>
      <c r="J1666" s="6"/>
      <c r="K1666" s="7" t="s">
        <v>44</v>
      </c>
      <c r="L1666" s="7" t="s">
        <v>14</v>
      </c>
      <c r="M1666" s="7" t="s">
        <v>15</v>
      </c>
      <c r="N1666" s="7">
        <f>COUNTIFS(A:A,A1666,D:D,D1666,E:E,I1666)</f>
        <v>0</v>
      </c>
    </row>
    <row r="1667" spans="1:14" x14ac:dyDescent="0.3">
      <c r="A1667" s="7" t="s">
        <v>134</v>
      </c>
      <c r="B1667" s="7" t="s">
        <v>135</v>
      </c>
      <c r="C1667" s="7" t="s">
        <v>42</v>
      </c>
      <c r="D1667" s="8">
        <v>45379</v>
      </c>
      <c r="E1667" s="8" t="str">
        <f t="shared" si="103"/>
        <v>March</v>
      </c>
      <c r="F1667">
        <f t="shared" si="104"/>
        <v>2024</v>
      </c>
      <c r="G1667">
        <f t="shared" si="105"/>
        <v>0</v>
      </c>
      <c r="H1667">
        <f t="shared" si="106"/>
        <v>0</v>
      </c>
      <c r="I1667" s="6"/>
      <c r="J1667" s="6"/>
      <c r="K1667" s="7" t="s">
        <v>44</v>
      </c>
      <c r="L1667" s="7" t="s">
        <v>27</v>
      </c>
      <c r="M1667" s="7" t="s">
        <v>21</v>
      </c>
      <c r="N1667" s="7">
        <f>COUNTIFS(A:A,A1667,D:D,D1667,E:E,I1667)</f>
        <v>0</v>
      </c>
    </row>
    <row r="1668" spans="1:14" x14ac:dyDescent="0.3">
      <c r="A1668" s="7" t="s">
        <v>315</v>
      </c>
      <c r="B1668" s="7" t="s">
        <v>316</v>
      </c>
      <c r="C1668" s="7" t="s">
        <v>425</v>
      </c>
      <c r="D1668" s="8">
        <v>45321</v>
      </c>
      <c r="E1668" s="8" t="str">
        <f t="shared" si="103"/>
        <v>January</v>
      </c>
      <c r="F1668">
        <f t="shared" si="104"/>
        <v>2024</v>
      </c>
      <c r="G1668">
        <f t="shared" si="105"/>
        <v>1</v>
      </c>
      <c r="H1668">
        <f t="shared" si="106"/>
        <v>0</v>
      </c>
      <c r="I1668" s="6">
        <v>0.41944444444444445</v>
      </c>
      <c r="J1668" s="6">
        <v>0.67361111111111116</v>
      </c>
      <c r="K1668" s="7" t="s">
        <v>20</v>
      </c>
      <c r="L1668" s="7" t="s">
        <v>27</v>
      </c>
      <c r="M1668" s="7" t="s">
        <v>15</v>
      </c>
      <c r="N1668" s="7">
        <f>COUNTIFS(A:A,A1668,D:D,D1668,E:E,I1668)</f>
        <v>0</v>
      </c>
    </row>
    <row r="1669" spans="1:14" x14ac:dyDescent="0.3">
      <c r="A1669" s="7" t="s">
        <v>194</v>
      </c>
      <c r="B1669" s="7" t="s">
        <v>195</v>
      </c>
      <c r="C1669" s="7" t="s">
        <v>64</v>
      </c>
      <c r="D1669" s="8">
        <v>45370</v>
      </c>
      <c r="E1669" s="8" t="str">
        <f t="shared" si="103"/>
        <v>March</v>
      </c>
      <c r="F1669">
        <f t="shared" si="104"/>
        <v>2024</v>
      </c>
      <c r="G1669">
        <f t="shared" si="105"/>
        <v>1</v>
      </c>
      <c r="H1669">
        <f t="shared" si="106"/>
        <v>0</v>
      </c>
      <c r="I1669" s="6">
        <v>0.40486111111111112</v>
      </c>
      <c r="J1669" s="6">
        <v>0.76666666666666672</v>
      </c>
      <c r="K1669" s="7" t="s">
        <v>13</v>
      </c>
      <c r="L1669" s="7" t="s">
        <v>14</v>
      </c>
      <c r="M1669" s="7" t="s">
        <v>15</v>
      </c>
      <c r="N1669" s="7">
        <f>COUNTIFS(A:A,A1669,D:D,D1669,E:E,I1669)</f>
        <v>0</v>
      </c>
    </row>
    <row r="1670" spans="1:14" x14ac:dyDescent="0.3">
      <c r="A1670" s="7" t="s">
        <v>69</v>
      </c>
      <c r="B1670" s="7" t="s">
        <v>70</v>
      </c>
      <c r="C1670" s="7" t="s">
        <v>42</v>
      </c>
      <c r="D1670" s="8">
        <v>45352</v>
      </c>
      <c r="E1670" s="8" t="str">
        <f t="shared" si="103"/>
        <v>March</v>
      </c>
      <c r="F1670">
        <f t="shared" si="104"/>
        <v>2024</v>
      </c>
      <c r="G1670">
        <f t="shared" si="105"/>
        <v>1</v>
      </c>
      <c r="H1670">
        <f t="shared" si="106"/>
        <v>0</v>
      </c>
      <c r="I1670" s="6">
        <v>0.47847222222222224</v>
      </c>
      <c r="J1670" s="6">
        <v>0.72777777777777775</v>
      </c>
      <c r="K1670" s="7" t="s">
        <v>20</v>
      </c>
      <c r="L1670" s="7" t="s">
        <v>27</v>
      </c>
      <c r="M1670" s="7" t="s">
        <v>15</v>
      </c>
      <c r="N1670" s="7">
        <f>COUNTIFS(A:A,A1670,D:D,D1670,E:E,I1670)</f>
        <v>0</v>
      </c>
    </row>
    <row r="1671" spans="1:14" x14ac:dyDescent="0.3">
      <c r="A1671" s="7" t="s">
        <v>58</v>
      </c>
      <c r="B1671" s="7" t="s">
        <v>59</v>
      </c>
      <c r="C1671" s="7" t="s">
        <v>425</v>
      </c>
      <c r="D1671" s="8">
        <v>45346</v>
      </c>
      <c r="E1671" s="8" t="str">
        <f t="shared" si="103"/>
        <v>February</v>
      </c>
      <c r="F1671">
        <f t="shared" si="104"/>
        <v>2024</v>
      </c>
      <c r="G1671">
        <f t="shared" si="105"/>
        <v>1</v>
      </c>
      <c r="H1671">
        <f t="shared" si="106"/>
        <v>0</v>
      </c>
      <c r="I1671" s="6">
        <v>0.45069444444444445</v>
      </c>
      <c r="J1671" s="6">
        <v>0.75069444444444444</v>
      </c>
      <c r="K1671" s="7" t="s">
        <v>20</v>
      </c>
      <c r="L1671" s="7" t="s">
        <v>14</v>
      </c>
      <c r="M1671" s="7" t="s">
        <v>21</v>
      </c>
      <c r="N1671" s="7">
        <f>COUNTIFS(A:A,A1671,D:D,D1671,E:E,I1671)</f>
        <v>0</v>
      </c>
    </row>
    <row r="1672" spans="1:14" x14ac:dyDescent="0.3">
      <c r="A1672" s="7" t="s">
        <v>315</v>
      </c>
      <c r="B1672" s="7" t="s">
        <v>316</v>
      </c>
      <c r="C1672" s="7" t="s">
        <v>64</v>
      </c>
      <c r="D1672" s="8">
        <v>45324</v>
      </c>
      <c r="E1672" s="8" t="str">
        <f t="shared" si="103"/>
        <v>February</v>
      </c>
      <c r="F1672">
        <f t="shared" si="104"/>
        <v>2024</v>
      </c>
      <c r="G1672">
        <f t="shared" si="105"/>
        <v>1</v>
      </c>
      <c r="H1672">
        <f t="shared" si="106"/>
        <v>0</v>
      </c>
      <c r="I1672" s="6">
        <v>0.38333333333333336</v>
      </c>
      <c r="J1672" s="6">
        <v>0.70694444444444449</v>
      </c>
      <c r="K1672" s="7" t="s">
        <v>13</v>
      </c>
      <c r="L1672" s="7" t="s">
        <v>27</v>
      </c>
      <c r="M1672" s="7" t="s">
        <v>21</v>
      </c>
      <c r="N1672" s="7">
        <f>COUNTIFS(A:A,A1672,D:D,D1672,E:E,I1672)</f>
        <v>0</v>
      </c>
    </row>
    <row r="1673" spans="1:14" x14ac:dyDescent="0.3">
      <c r="A1673" s="7" t="s">
        <v>72</v>
      </c>
      <c r="B1673" s="7" t="s">
        <v>73</v>
      </c>
      <c r="C1673" s="7" t="s">
        <v>60</v>
      </c>
      <c r="D1673" s="8">
        <v>45313</v>
      </c>
      <c r="E1673" s="8" t="str">
        <f t="shared" si="103"/>
        <v>January</v>
      </c>
      <c r="F1673">
        <f t="shared" si="104"/>
        <v>2024</v>
      </c>
      <c r="G1673">
        <f t="shared" si="105"/>
        <v>1</v>
      </c>
      <c r="H1673">
        <f t="shared" si="106"/>
        <v>1</v>
      </c>
      <c r="I1673" s="6">
        <v>0.38541666666666669</v>
      </c>
      <c r="J1673" s="6">
        <v>0.7416666666666667</v>
      </c>
      <c r="K1673" s="7" t="s">
        <v>26</v>
      </c>
      <c r="L1673" s="7" t="s">
        <v>27</v>
      </c>
      <c r="M1673" s="7" t="s">
        <v>15</v>
      </c>
      <c r="N1673" s="7">
        <f>COUNTIFS(A:A,A1673,D:D,D1673,E:E,I1673)</f>
        <v>0</v>
      </c>
    </row>
    <row r="1674" spans="1:14" x14ac:dyDescent="0.3">
      <c r="A1674" s="7" t="s">
        <v>146</v>
      </c>
      <c r="B1674" s="7" t="s">
        <v>147</v>
      </c>
      <c r="C1674" s="7" t="s">
        <v>60</v>
      </c>
      <c r="D1674" s="8">
        <v>45359</v>
      </c>
      <c r="E1674" s="8" t="str">
        <f t="shared" si="103"/>
        <v>March</v>
      </c>
      <c r="F1674">
        <f t="shared" si="104"/>
        <v>2024</v>
      </c>
      <c r="G1674">
        <f t="shared" si="105"/>
        <v>1</v>
      </c>
      <c r="H1674">
        <f t="shared" si="106"/>
        <v>1</v>
      </c>
      <c r="I1674" s="6">
        <v>0.4548611111111111</v>
      </c>
      <c r="J1674" s="6">
        <v>0.67013888888888884</v>
      </c>
      <c r="K1674" s="7" t="s">
        <v>26</v>
      </c>
      <c r="L1674" s="7" t="s">
        <v>27</v>
      </c>
      <c r="M1674" s="7" t="s">
        <v>21</v>
      </c>
      <c r="N1674" s="7">
        <f>COUNTIFS(A:A,A1674,D:D,D1674,E:E,I1674)</f>
        <v>0</v>
      </c>
    </row>
    <row r="1675" spans="1:14" x14ac:dyDescent="0.3">
      <c r="A1675" s="7" t="s">
        <v>81</v>
      </c>
      <c r="B1675" s="7" t="s">
        <v>82</v>
      </c>
      <c r="C1675" s="7" t="s">
        <v>42</v>
      </c>
      <c r="D1675" s="8">
        <v>45336</v>
      </c>
      <c r="E1675" s="8" t="str">
        <f t="shared" si="103"/>
        <v>February</v>
      </c>
      <c r="F1675">
        <f t="shared" si="104"/>
        <v>2024</v>
      </c>
      <c r="G1675">
        <f t="shared" si="105"/>
        <v>1</v>
      </c>
      <c r="H1675">
        <f t="shared" si="106"/>
        <v>0</v>
      </c>
      <c r="I1675" s="6">
        <v>0.38750000000000001</v>
      </c>
      <c r="J1675" s="6">
        <v>0.67500000000000004</v>
      </c>
      <c r="K1675" s="7" t="s">
        <v>13</v>
      </c>
      <c r="L1675" s="7" t="s">
        <v>14</v>
      </c>
      <c r="M1675" s="7" t="s">
        <v>15</v>
      </c>
      <c r="N1675" s="7">
        <f>COUNTIFS(A:A,A1675,D:D,D1675,E:E,I1675)</f>
        <v>0</v>
      </c>
    </row>
    <row r="1676" spans="1:14" x14ac:dyDescent="0.3">
      <c r="A1676" s="7" t="s">
        <v>48</v>
      </c>
      <c r="B1676" s="7" t="s">
        <v>49</v>
      </c>
      <c r="C1676" s="7" t="s">
        <v>64</v>
      </c>
      <c r="D1676" s="8">
        <v>45414</v>
      </c>
      <c r="E1676" s="8" t="str">
        <f t="shared" si="103"/>
        <v>May</v>
      </c>
      <c r="F1676">
        <f t="shared" si="104"/>
        <v>2024</v>
      </c>
      <c r="G1676">
        <f t="shared" si="105"/>
        <v>1</v>
      </c>
      <c r="H1676">
        <f t="shared" si="106"/>
        <v>0</v>
      </c>
      <c r="I1676" s="6">
        <v>0.40833333333333333</v>
      </c>
      <c r="J1676" s="6">
        <v>0.85833333333333328</v>
      </c>
      <c r="K1676" s="7" t="s">
        <v>13</v>
      </c>
      <c r="L1676" s="7" t="s">
        <v>14</v>
      </c>
      <c r="M1676" s="7" t="s">
        <v>21</v>
      </c>
      <c r="N1676" s="7">
        <f>COUNTIFS(A:A,A1676,D:D,D1676,E:E,I1676)</f>
        <v>0</v>
      </c>
    </row>
    <row r="1677" spans="1:14" x14ac:dyDescent="0.3">
      <c r="A1677" s="7" t="s">
        <v>150</v>
      </c>
      <c r="B1677" s="7" t="s">
        <v>151</v>
      </c>
      <c r="C1677" s="7" t="s">
        <v>64</v>
      </c>
      <c r="D1677" s="8">
        <v>45629</v>
      </c>
      <c r="E1677" s="8" t="str">
        <f t="shared" si="103"/>
        <v>December</v>
      </c>
      <c r="F1677">
        <f t="shared" si="104"/>
        <v>2024</v>
      </c>
      <c r="G1677">
        <f t="shared" si="105"/>
        <v>1</v>
      </c>
      <c r="H1677">
        <f t="shared" si="106"/>
        <v>1</v>
      </c>
      <c r="I1677" s="6">
        <v>0.45902777777777776</v>
      </c>
      <c r="J1677" s="6">
        <v>0.76736111111111116</v>
      </c>
      <c r="K1677" s="7" t="s">
        <v>26</v>
      </c>
      <c r="L1677" s="7" t="s">
        <v>27</v>
      </c>
      <c r="M1677" s="7" t="s">
        <v>15</v>
      </c>
      <c r="N1677" s="7">
        <f>COUNTIFS(A:A,A1677,D:D,D1677,E:E,I1677)</f>
        <v>0</v>
      </c>
    </row>
    <row r="1678" spans="1:14" x14ac:dyDescent="0.3">
      <c r="A1678" s="7" t="s">
        <v>87</v>
      </c>
      <c r="B1678" s="7" t="s">
        <v>88</v>
      </c>
      <c r="C1678" s="7" t="s">
        <v>425</v>
      </c>
      <c r="D1678" s="8">
        <v>45309</v>
      </c>
      <c r="E1678" s="8" t="str">
        <f t="shared" si="103"/>
        <v>January</v>
      </c>
      <c r="F1678">
        <f t="shared" si="104"/>
        <v>2024</v>
      </c>
      <c r="G1678">
        <f t="shared" si="105"/>
        <v>1</v>
      </c>
      <c r="H1678">
        <f t="shared" si="106"/>
        <v>0</v>
      </c>
      <c r="I1678" s="6">
        <v>0.37361111111111112</v>
      </c>
      <c r="J1678" s="6">
        <v>0.80069444444444449</v>
      </c>
      <c r="K1678" s="7" t="s">
        <v>20</v>
      </c>
      <c r="L1678" s="7" t="s">
        <v>27</v>
      </c>
      <c r="M1678" s="7" t="s">
        <v>15</v>
      </c>
      <c r="N1678" s="7">
        <f>COUNTIFS(A:A,A1678,D:D,D1678,E:E,I1678)</f>
        <v>0</v>
      </c>
    </row>
    <row r="1679" spans="1:14" x14ac:dyDescent="0.3">
      <c r="A1679" s="7" t="s">
        <v>134</v>
      </c>
      <c r="B1679" s="7" t="s">
        <v>135</v>
      </c>
      <c r="C1679" s="7" t="s">
        <v>42</v>
      </c>
      <c r="D1679" s="8">
        <v>45568</v>
      </c>
      <c r="E1679" s="8" t="str">
        <f t="shared" si="103"/>
        <v>October</v>
      </c>
      <c r="F1679">
        <f t="shared" si="104"/>
        <v>2024</v>
      </c>
      <c r="G1679">
        <f t="shared" si="105"/>
        <v>1</v>
      </c>
      <c r="H1679">
        <f t="shared" si="106"/>
        <v>1</v>
      </c>
      <c r="I1679" s="6">
        <v>0.37847222222222221</v>
      </c>
      <c r="J1679" s="6">
        <v>0.77361111111111114</v>
      </c>
      <c r="K1679" s="7" t="s">
        <v>26</v>
      </c>
      <c r="L1679" s="7" t="s">
        <v>27</v>
      </c>
      <c r="M1679" s="7" t="s">
        <v>15</v>
      </c>
      <c r="N1679" s="7">
        <f>COUNTIFS(A:A,A1679,D:D,D1679,E:E,I1679)</f>
        <v>0</v>
      </c>
    </row>
    <row r="1680" spans="1:14" x14ac:dyDescent="0.3">
      <c r="A1680" s="7" t="s">
        <v>134</v>
      </c>
      <c r="B1680" s="7" t="s">
        <v>135</v>
      </c>
      <c r="C1680" s="7" t="s">
        <v>64</v>
      </c>
      <c r="D1680" s="8">
        <v>45346</v>
      </c>
      <c r="E1680" s="8" t="str">
        <f t="shared" si="103"/>
        <v>February</v>
      </c>
      <c r="F1680">
        <f t="shared" si="104"/>
        <v>2024</v>
      </c>
      <c r="G1680">
        <f t="shared" si="105"/>
        <v>1</v>
      </c>
      <c r="H1680">
        <f t="shared" si="106"/>
        <v>0</v>
      </c>
      <c r="I1680" s="6">
        <v>0.33888888888888891</v>
      </c>
      <c r="J1680" s="6">
        <v>0.70763888888888893</v>
      </c>
      <c r="K1680" s="7" t="s">
        <v>13</v>
      </c>
      <c r="L1680" s="7" t="s">
        <v>27</v>
      </c>
      <c r="M1680" s="7" t="s">
        <v>21</v>
      </c>
      <c r="N1680" s="7">
        <f>COUNTIFS(A:A,A1680,D:D,D1680,E:E,I1680)</f>
        <v>0</v>
      </c>
    </row>
    <row r="1681" spans="1:14" x14ac:dyDescent="0.3">
      <c r="A1681" s="7" t="s">
        <v>66</v>
      </c>
      <c r="B1681" s="7" t="s">
        <v>67</v>
      </c>
      <c r="C1681" s="7" t="s">
        <v>64</v>
      </c>
      <c r="D1681" s="8">
        <v>45368</v>
      </c>
      <c r="E1681" s="8" t="str">
        <f t="shared" si="103"/>
        <v>March</v>
      </c>
      <c r="F1681">
        <f t="shared" si="104"/>
        <v>2024</v>
      </c>
      <c r="G1681">
        <f t="shared" si="105"/>
        <v>1</v>
      </c>
      <c r="H1681">
        <f t="shared" si="106"/>
        <v>0</v>
      </c>
      <c r="I1681" s="6">
        <v>0.33402777777777776</v>
      </c>
      <c r="J1681" s="6">
        <v>0.84930555555555554</v>
      </c>
      <c r="K1681" s="7" t="s">
        <v>20</v>
      </c>
      <c r="L1681" s="7" t="s">
        <v>27</v>
      </c>
      <c r="M1681" s="7" t="s">
        <v>21</v>
      </c>
      <c r="N1681" s="7">
        <f>COUNTIFS(A:A,A1681,D:D,D1681,E:E,I1681)</f>
        <v>0</v>
      </c>
    </row>
    <row r="1682" spans="1:14" x14ac:dyDescent="0.3">
      <c r="A1682" s="7" t="s">
        <v>157</v>
      </c>
      <c r="B1682" s="7" t="s">
        <v>158</v>
      </c>
      <c r="C1682" s="7" t="s">
        <v>426</v>
      </c>
      <c r="D1682" s="8">
        <v>45324</v>
      </c>
      <c r="E1682" s="8" t="str">
        <f t="shared" si="103"/>
        <v>February</v>
      </c>
      <c r="F1682">
        <f t="shared" si="104"/>
        <v>2024</v>
      </c>
      <c r="G1682">
        <f t="shared" si="105"/>
        <v>1</v>
      </c>
      <c r="H1682">
        <f t="shared" si="106"/>
        <v>0</v>
      </c>
      <c r="I1682" s="6">
        <v>0.42291666666666666</v>
      </c>
      <c r="J1682" s="6">
        <v>0.73541666666666672</v>
      </c>
      <c r="K1682" s="7" t="s">
        <v>20</v>
      </c>
      <c r="L1682" s="7" t="s">
        <v>14</v>
      </c>
      <c r="M1682" s="7" t="s">
        <v>21</v>
      </c>
      <c r="N1682" s="7">
        <f>COUNTIFS(A:A,A1682,D:D,D1682,E:E,I1682)</f>
        <v>0</v>
      </c>
    </row>
    <row r="1683" spans="1:14" x14ac:dyDescent="0.3">
      <c r="A1683" s="7" t="s">
        <v>224</v>
      </c>
      <c r="B1683" s="7" t="s">
        <v>225</v>
      </c>
      <c r="C1683" s="7" t="s">
        <v>425</v>
      </c>
      <c r="D1683" s="8">
        <v>45298</v>
      </c>
      <c r="E1683" s="8" t="str">
        <f t="shared" si="103"/>
        <v>January</v>
      </c>
      <c r="F1683">
        <f t="shared" si="104"/>
        <v>2024</v>
      </c>
      <c r="G1683">
        <f t="shared" si="105"/>
        <v>1</v>
      </c>
      <c r="H1683">
        <f t="shared" si="106"/>
        <v>0</v>
      </c>
      <c r="I1683" s="6">
        <v>0.34652777777777777</v>
      </c>
      <c r="J1683" s="6">
        <v>0.7055555555555556</v>
      </c>
      <c r="K1683" s="7" t="s">
        <v>20</v>
      </c>
      <c r="L1683" s="7" t="s">
        <v>27</v>
      </c>
      <c r="M1683" s="7" t="s">
        <v>15</v>
      </c>
      <c r="N1683" s="7">
        <f>COUNTIFS(A:A,A1683,D:D,D1683,E:E,I1683)</f>
        <v>0</v>
      </c>
    </row>
    <row r="1684" spans="1:14" x14ac:dyDescent="0.3">
      <c r="A1684" s="7" t="s">
        <v>138</v>
      </c>
      <c r="B1684" s="7" t="s">
        <v>139</v>
      </c>
      <c r="C1684" s="7" t="s">
        <v>60</v>
      </c>
      <c r="D1684" s="8">
        <v>45444</v>
      </c>
      <c r="E1684" s="8" t="str">
        <f t="shared" si="103"/>
        <v>June</v>
      </c>
      <c r="F1684">
        <f t="shared" si="104"/>
        <v>2024</v>
      </c>
      <c r="G1684">
        <f t="shared" si="105"/>
        <v>0</v>
      </c>
      <c r="H1684">
        <f t="shared" si="106"/>
        <v>0</v>
      </c>
      <c r="I1684" s="6"/>
      <c r="J1684" s="6"/>
      <c r="K1684" s="7" t="s">
        <v>44</v>
      </c>
      <c r="L1684" s="7" t="s">
        <v>14</v>
      </c>
      <c r="M1684" s="7" t="s">
        <v>15</v>
      </c>
      <c r="N1684" s="7">
        <f>COUNTIFS(A:A,A1684,D:D,D1684,E:E,I1684)</f>
        <v>0</v>
      </c>
    </row>
    <row r="1685" spans="1:14" x14ac:dyDescent="0.3">
      <c r="A1685" s="7" t="s">
        <v>213</v>
      </c>
      <c r="B1685" s="7" t="s">
        <v>214</v>
      </c>
      <c r="C1685" s="7" t="s">
        <v>60</v>
      </c>
      <c r="D1685" s="8">
        <v>45446</v>
      </c>
      <c r="E1685" s="8" t="str">
        <f t="shared" si="103"/>
        <v>June</v>
      </c>
      <c r="F1685">
        <f t="shared" si="104"/>
        <v>2024</v>
      </c>
      <c r="G1685">
        <f t="shared" si="105"/>
        <v>1</v>
      </c>
      <c r="H1685">
        <f t="shared" si="106"/>
        <v>0</v>
      </c>
      <c r="I1685" s="6">
        <v>0.42499999999999999</v>
      </c>
      <c r="J1685" s="6">
        <v>0.77916666666666667</v>
      </c>
      <c r="K1685" s="7" t="s">
        <v>13</v>
      </c>
      <c r="L1685" s="7" t="s">
        <v>27</v>
      </c>
      <c r="M1685" s="7" t="s">
        <v>15</v>
      </c>
      <c r="N1685" s="7">
        <f>COUNTIFS(A:A,A1685,D:D,D1685,E:E,I1685)</f>
        <v>0</v>
      </c>
    </row>
    <row r="1686" spans="1:14" x14ac:dyDescent="0.3">
      <c r="A1686" s="7" t="s">
        <v>16</v>
      </c>
      <c r="B1686" s="7" t="s">
        <v>17</v>
      </c>
      <c r="C1686" s="7" t="s">
        <v>60</v>
      </c>
      <c r="D1686" s="8">
        <v>45346</v>
      </c>
      <c r="E1686" s="8" t="str">
        <f t="shared" si="103"/>
        <v>February</v>
      </c>
      <c r="F1686">
        <f t="shared" si="104"/>
        <v>2024</v>
      </c>
      <c r="G1686">
        <f t="shared" si="105"/>
        <v>0</v>
      </c>
      <c r="H1686">
        <f t="shared" si="106"/>
        <v>0</v>
      </c>
      <c r="I1686" s="6"/>
      <c r="J1686" s="6"/>
      <c r="K1686" s="7" t="s">
        <v>44</v>
      </c>
      <c r="L1686" s="7" t="s">
        <v>14</v>
      </c>
      <c r="M1686" s="7" t="s">
        <v>21</v>
      </c>
      <c r="N1686" s="7">
        <f>COUNTIFS(A:A,A1686,D:D,D1686,E:E,I1686)</f>
        <v>0</v>
      </c>
    </row>
    <row r="1687" spans="1:14" x14ac:dyDescent="0.3">
      <c r="A1687" s="7" t="s">
        <v>90</v>
      </c>
      <c r="B1687" s="7" t="s">
        <v>91</v>
      </c>
      <c r="C1687" s="7" t="s">
        <v>425</v>
      </c>
      <c r="D1687" s="8">
        <v>45338</v>
      </c>
      <c r="E1687" s="8" t="str">
        <f t="shared" si="103"/>
        <v>February</v>
      </c>
      <c r="F1687">
        <f t="shared" si="104"/>
        <v>2024</v>
      </c>
      <c r="G1687">
        <f t="shared" si="105"/>
        <v>0</v>
      </c>
      <c r="H1687">
        <f t="shared" si="106"/>
        <v>0</v>
      </c>
      <c r="I1687" s="6"/>
      <c r="J1687" s="6"/>
      <c r="K1687" s="7" t="s">
        <v>44</v>
      </c>
      <c r="L1687" s="7" t="s">
        <v>14</v>
      </c>
      <c r="M1687" s="7" t="s">
        <v>21</v>
      </c>
      <c r="N1687" s="7">
        <f>COUNTIFS(A:A,A1687,D:D,D1687,E:E,I1687)</f>
        <v>0</v>
      </c>
    </row>
    <row r="1688" spans="1:14" x14ac:dyDescent="0.3">
      <c r="A1688" s="7" t="s">
        <v>187</v>
      </c>
      <c r="B1688" s="7" t="s">
        <v>188</v>
      </c>
      <c r="C1688" s="7" t="s">
        <v>64</v>
      </c>
      <c r="D1688" s="8">
        <v>45629</v>
      </c>
      <c r="E1688" s="8" t="str">
        <f t="shared" si="103"/>
        <v>December</v>
      </c>
      <c r="F1688">
        <f t="shared" si="104"/>
        <v>2024</v>
      </c>
      <c r="G1688">
        <f t="shared" si="105"/>
        <v>1</v>
      </c>
      <c r="H1688">
        <f t="shared" si="106"/>
        <v>0</v>
      </c>
      <c r="I1688" s="6">
        <v>0.35902777777777778</v>
      </c>
      <c r="J1688" s="6">
        <v>0.77847222222222223</v>
      </c>
      <c r="K1688" s="7" t="s">
        <v>13</v>
      </c>
      <c r="L1688" s="7" t="s">
        <v>27</v>
      </c>
      <c r="M1688" s="7" t="s">
        <v>15</v>
      </c>
      <c r="N1688" s="7">
        <f>COUNTIFS(A:A,A1688,D:D,D1688,E:E,I1688)</f>
        <v>0</v>
      </c>
    </row>
    <row r="1689" spans="1:14" x14ac:dyDescent="0.3">
      <c r="A1689" s="7" t="s">
        <v>197</v>
      </c>
      <c r="B1689" s="7" t="s">
        <v>198</v>
      </c>
      <c r="C1689" s="7" t="s">
        <v>60</v>
      </c>
      <c r="D1689" s="8">
        <v>45376</v>
      </c>
      <c r="E1689" s="8" t="str">
        <f t="shared" si="103"/>
        <v>March</v>
      </c>
      <c r="F1689">
        <f t="shared" si="104"/>
        <v>2024</v>
      </c>
      <c r="G1689">
        <f t="shared" si="105"/>
        <v>1</v>
      </c>
      <c r="H1689">
        <f t="shared" si="106"/>
        <v>1</v>
      </c>
      <c r="I1689" s="6">
        <v>0.34583333333333333</v>
      </c>
      <c r="J1689" s="6">
        <v>0.67013888888888884</v>
      </c>
      <c r="K1689" s="7" t="s">
        <v>26</v>
      </c>
      <c r="L1689" s="7" t="s">
        <v>27</v>
      </c>
      <c r="M1689" s="7" t="s">
        <v>21</v>
      </c>
      <c r="N1689" s="7">
        <f>COUNTIFS(A:A,A1689,D:D,D1689,E:E,I1689)</f>
        <v>0</v>
      </c>
    </row>
    <row r="1690" spans="1:14" x14ac:dyDescent="0.3">
      <c r="A1690" s="7" t="s">
        <v>99</v>
      </c>
      <c r="B1690" s="7" t="s">
        <v>100</v>
      </c>
      <c r="C1690" s="7" t="s">
        <v>64</v>
      </c>
      <c r="D1690" s="8">
        <v>45341</v>
      </c>
      <c r="E1690" s="8" t="str">
        <f t="shared" si="103"/>
        <v>February</v>
      </c>
      <c r="F1690">
        <f t="shared" si="104"/>
        <v>2024</v>
      </c>
      <c r="G1690">
        <f t="shared" si="105"/>
        <v>0</v>
      </c>
      <c r="H1690">
        <f t="shared" si="106"/>
        <v>0</v>
      </c>
      <c r="I1690" s="6"/>
      <c r="J1690" s="6"/>
      <c r="K1690" s="7" t="s">
        <v>44</v>
      </c>
      <c r="L1690" s="7" t="s">
        <v>14</v>
      </c>
      <c r="M1690" s="7" t="s">
        <v>21</v>
      </c>
      <c r="N1690" s="7">
        <f>COUNTIFS(A:A,A1690,D:D,D1690,E:E,I1690)</f>
        <v>0</v>
      </c>
    </row>
    <row r="1691" spans="1:14" x14ac:dyDescent="0.3">
      <c r="A1691" s="7" t="s">
        <v>141</v>
      </c>
      <c r="B1691" s="7" t="s">
        <v>142</v>
      </c>
      <c r="C1691" s="7" t="s">
        <v>426</v>
      </c>
      <c r="D1691" s="8">
        <v>45320</v>
      </c>
      <c r="E1691" s="8" t="str">
        <f t="shared" si="103"/>
        <v>January</v>
      </c>
      <c r="F1691">
        <f t="shared" si="104"/>
        <v>2024</v>
      </c>
      <c r="G1691">
        <f t="shared" si="105"/>
        <v>1</v>
      </c>
      <c r="H1691">
        <f t="shared" si="106"/>
        <v>1</v>
      </c>
      <c r="I1691" s="6">
        <v>0.47291666666666665</v>
      </c>
      <c r="J1691" s="6">
        <v>0.73124999999999996</v>
      </c>
      <c r="K1691" s="7" t="s">
        <v>26</v>
      </c>
      <c r="L1691" s="7" t="s">
        <v>14</v>
      </c>
      <c r="M1691" s="7" t="s">
        <v>15</v>
      </c>
      <c r="N1691" s="7">
        <f>COUNTIFS(A:A,A1691,D:D,D1691,E:E,I1691)</f>
        <v>0</v>
      </c>
    </row>
    <row r="1692" spans="1:14" x14ac:dyDescent="0.3">
      <c r="A1692" s="7" t="s">
        <v>224</v>
      </c>
      <c r="B1692" s="7" t="s">
        <v>225</v>
      </c>
      <c r="C1692" s="7" t="s">
        <v>426</v>
      </c>
      <c r="D1692" s="8">
        <v>45313</v>
      </c>
      <c r="E1692" s="8" t="str">
        <f t="shared" si="103"/>
        <v>January</v>
      </c>
      <c r="F1692">
        <f t="shared" si="104"/>
        <v>2024</v>
      </c>
      <c r="G1692">
        <f t="shared" si="105"/>
        <v>1</v>
      </c>
      <c r="H1692">
        <f t="shared" si="106"/>
        <v>0</v>
      </c>
      <c r="I1692" s="6">
        <v>0.45069444444444445</v>
      </c>
      <c r="J1692" s="6">
        <v>0.71805555555555556</v>
      </c>
      <c r="K1692" s="7" t="s">
        <v>13</v>
      </c>
      <c r="L1692" s="7" t="s">
        <v>14</v>
      </c>
      <c r="M1692" s="7" t="s">
        <v>15</v>
      </c>
      <c r="N1692" s="7">
        <f>COUNTIFS(A:A,A1692,D:D,D1692,E:E,I1692)</f>
        <v>0</v>
      </c>
    </row>
    <row r="1693" spans="1:14" x14ac:dyDescent="0.3">
      <c r="A1693" s="7" t="s">
        <v>112</v>
      </c>
      <c r="B1693" s="7" t="s">
        <v>113</v>
      </c>
      <c r="C1693" s="7" t="s">
        <v>42</v>
      </c>
      <c r="D1693" s="8">
        <v>45507</v>
      </c>
      <c r="E1693" s="8" t="str">
        <f t="shared" si="103"/>
        <v>August</v>
      </c>
      <c r="F1693">
        <f t="shared" si="104"/>
        <v>2024</v>
      </c>
      <c r="G1693">
        <f t="shared" si="105"/>
        <v>0</v>
      </c>
      <c r="H1693">
        <f t="shared" si="106"/>
        <v>0</v>
      </c>
      <c r="I1693" s="6"/>
      <c r="J1693" s="6"/>
      <c r="K1693" s="7" t="s">
        <v>44</v>
      </c>
      <c r="L1693" s="7" t="s">
        <v>27</v>
      </c>
      <c r="M1693" s="7" t="s">
        <v>15</v>
      </c>
      <c r="N1693" s="7">
        <f>COUNTIFS(A:A,A1693,D:D,D1693,E:E,I1693)</f>
        <v>0</v>
      </c>
    </row>
    <row r="1694" spans="1:14" x14ac:dyDescent="0.3">
      <c r="A1694" s="7" t="s">
        <v>171</v>
      </c>
      <c r="B1694" s="7" t="s">
        <v>172</v>
      </c>
      <c r="C1694" s="7" t="s">
        <v>42</v>
      </c>
      <c r="D1694" s="8">
        <v>45356</v>
      </c>
      <c r="E1694" s="8" t="str">
        <f t="shared" si="103"/>
        <v>March</v>
      </c>
      <c r="F1694">
        <f t="shared" si="104"/>
        <v>2024</v>
      </c>
      <c r="G1694">
        <f t="shared" si="105"/>
        <v>1</v>
      </c>
      <c r="H1694">
        <f t="shared" si="106"/>
        <v>0</v>
      </c>
      <c r="I1694" s="6">
        <v>0.39930555555555558</v>
      </c>
      <c r="J1694" s="6">
        <v>0.81805555555555554</v>
      </c>
      <c r="K1694" s="7" t="s">
        <v>20</v>
      </c>
      <c r="L1694" s="7" t="s">
        <v>27</v>
      </c>
      <c r="M1694" s="7" t="s">
        <v>21</v>
      </c>
      <c r="N1694" s="7">
        <f>COUNTIFS(A:A,A1694,D:D,D1694,E:E,I1694)</f>
        <v>0</v>
      </c>
    </row>
    <row r="1695" spans="1:14" x14ac:dyDescent="0.3">
      <c r="A1695" s="7" t="s">
        <v>200</v>
      </c>
      <c r="B1695" s="7" t="s">
        <v>201</v>
      </c>
      <c r="C1695" s="7" t="s">
        <v>425</v>
      </c>
      <c r="D1695" s="8">
        <v>45381</v>
      </c>
      <c r="E1695" s="8" t="str">
        <f t="shared" si="103"/>
        <v>March</v>
      </c>
      <c r="F1695">
        <f t="shared" si="104"/>
        <v>2024</v>
      </c>
      <c r="G1695">
        <f t="shared" si="105"/>
        <v>0</v>
      </c>
      <c r="H1695">
        <f t="shared" si="106"/>
        <v>0</v>
      </c>
      <c r="I1695" s="6"/>
      <c r="J1695" s="6"/>
      <c r="K1695" s="7" t="s">
        <v>44</v>
      </c>
      <c r="L1695" s="7" t="s">
        <v>14</v>
      </c>
      <c r="M1695" s="7" t="s">
        <v>15</v>
      </c>
      <c r="N1695" s="7">
        <f>COUNTIFS(A:A,A1695,D:D,D1695,E:E,I1695)</f>
        <v>0</v>
      </c>
    </row>
    <row r="1696" spans="1:14" x14ac:dyDescent="0.3">
      <c r="A1696" s="7" t="s">
        <v>69</v>
      </c>
      <c r="B1696" s="7" t="s">
        <v>70</v>
      </c>
      <c r="C1696" s="7" t="s">
        <v>60</v>
      </c>
      <c r="D1696" s="8">
        <v>45316</v>
      </c>
      <c r="E1696" s="8" t="str">
        <f t="shared" si="103"/>
        <v>January</v>
      </c>
      <c r="F1696">
        <f t="shared" si="104"/>
        <v>2024</v>
      </c>
      <c r="G1696">
        <f t="shared" si="105"/>
        <v>1</v>
      </c>
      <c r="H1696">
        <f t="shared" si="106"/>
        <v>0</v>
      </c>
      <c r="I1696" s="6">
        <v>0.44444444444444442</v>
      </c>
      <c r="J1696" s="6">
        <v>0.7055555555555556</v>
      </c>
      <c r="K1696" s="7" t="s">
        <v>13</v>
      </c>
      <c r="L1696" s="7" t="s">
        <v>14</v>
      </c>
      <c r="M1696" s="7" t="s">
        <v>15</v>
      </c>
      <c r="N1696" s="7">
        <f>COUNTIFS(A:A,A1696,D:D,D1696,E:E,I1696)</f>
        <v>0</v>
      </c>
    </row>
    <row r="1697" spans="1:14" x14ac:dyDescent="0.3">
      <c r="A1697" s="7" t="s">
        <v>37</v>
      </c>
      <c r="B1697" s="7" t="s">
        <v>38</v>
      </c>
      <c r="C1697" s="7" t="s">
        <v>42</v>
      </c>
      <c r="D1697" s="8">
        <v>45475</v>
      </c>
      <c r="E1697" s="8" t="str">
        <f t="shared" si="103"/>
        <v>July</v>
      </c>
      <c r="F1697">
        <f t="shared" si="104"/>
        <v>2024</v>
      </c>
      <c r="G1697">
        <f t="shared" si="105"/>
        <v>1</v>
      </c>
      <c r="H1697">
        <f t="shared" si="106"/>
        <v>0</v>
      </c>
      <c r="I1697" s="6">
        <v>0.40833333333333333</v>
      </c>
      <c r="J1697" s="6">
        <v>0.83680555555555558</v>
      </c>
      <c r="K1697" s="7" t="s">
        <v>13</v>
      </c>
      <c r="L1697" s="7" t="s">
        <v>14</v>
      </c>
      <c r="M1697" s="7" t="s">
        <v>21</v>
      </c>
      <c r="N1697" s="7">
        <f>COUNTIFS(A:A,A1697,D:D,D1697,E:E,I1697)</f>
        <v>0</v>
      </c>
    </row>
    <row r="1698" spans="1:14" x14ac:dyDescent="0.3">
      <c r="A1698" s="7" t="s">
        <v>34</v>
      </c>
      <c r="B1698" s="7" t="s">
        <v>35</v>
      </c>
      <c r="C1698" s="7" t="s">
        <v>42</v>
      </c>
      <c r="D1698" s="8">
        <v>45380</v>
      </c>
      <c r="E1698" s="8" t="str">
        <f t="shared" si="103"/>
        <v>March</v>
      </c>
      <c r="F1698">
        <f t="shared" si="104"/>
        <v>2024</v>
      </c>
      <c r="G1698">
        <f t="shared" si="105"/>
        <v>1</v>
      </c>
      <c r="H1698">
        <f t="shared" si="106"/>
        <v>1</v>
      </c>
      <c r="I1698" s="6">
        <v>0.44305555555555554</v>
      </c>
      <c r="J1698" s="6">
        <v>0.79374999999999996</v>
      </c>
      <c r="K1698" s="7" t="s">
        <v>26</v>
      </c>
      <c r="L1698" s="7" t="s">
        <v>14</v>
      </c>
      <c r="M1698" s="7" t="s">
        <v>15</v>
      </c>
      <c r="N1698" s="7">
        <f>COUNTIFS(A:A,A1698,D:D,D1698,E:E,I1698)</f>
        <v>0</v>
      </c>
    </row>
    <row r="1699" spans="1:14" x14ac:dyDescent="0.3">
      <c r="A1699" s="7" t="s">
        <v>112</v>
      </c>
      <c r="B1699" s="7" t="s">
        <v>113</v>
      </c>
      <c r="C1699" s="7" t="s">
        <v>42</v>
      </c>
      <c r="D1699" s="8">
        <v>45341</v>
      </c>
      <c r="E1699" s="8" t="str">
        <f t="shared" si="103"/>
        <v>February</v>
      </c>
      <c r="F1699">
        <f t="shared" si="104"/>
        <v>2024</v>
      </c>
      <c r="G1699">
        <f t="shared" si="105"/>
        <v>1</v>
      </c>
      <c r="H1699">
        <f t="shared" si="106"/>
        <v>0</v>
      </c>
      <c r="I1699" s="6">
        <v>0.45208333333333334</v>
      </c>
      <c r="J1699" s="6">
        <v>0.68194444444444446</v>
      </c>
      <c r="K1699" s="7" t="s">
        <v>20</v>
      </c>
      <c r="L1699" s="7" t="s">
        <v>14</v>
      </c>
      <c r="M1699" s="7" t="s">
        <v>15</v>
      </c>
      <c r="N1699" s="7">
        <f>COUNTIFS(A:A,A1699,D:D,D1699,E:E,I1699)</f>
        <v>0</v>
      </c>
    </row>
    <row r="1700" spans="1:14" x14ac:dyDescent="0.3">
      <c r="A1700" s="7" t="s">
        <v>119</v>
      </c>
      <c r="B1700" s="7" t="s">
        <v>120</v>
      </c>
      <c r="C1700" s="7" t="s">
        <v>64</v>
      </c>
      <c r="D1700" s="8">
        <v>45338</v>
      </c>
      <c r="E1700" s="8" t="str">
        <f t="shared" si="103"/>
        <v>February</v>
      </c>
      <c r="F1700">
        <f t="shared" si="104"/>
        <v>2024</v>
      </c>
      <c r="G1700">
        <f t="shared" si="105"/>
        <v>1</v>
      </c>
      <c r="H1700">
        <f t="shared" si="106"/>
        <v>0</v>
      </c>
      <c r="I1700" s="6">
        <v>0.37361111111111112</v>
      </c>
      <c r="J1700" s="6">
        <v>0.76180555555555551</v>
      </c>
      <c r="K1700" s="7" t="s">
        <v>20</v>
      </c>
      <c r="L1700" s="7" t="s">
        <v>27</v>
      </c>
      <c r="M1700" s="7" t="s">
        <v>21</v>
      </c>
      <c r="N1700" s="7">
        <f>COUNTIFS(A:A,A1700,D:D,D1700,E:E,I1700)</f>
        <v>0</v>
      </c>
    </row>
    <row r="1701" spans="1:14" x14ac:dyDescent="0.3">
      <c r="A1701" s="7" t="s">
        <v>93</v>
      </c>
      <c r="B1701" s="7" t="s">
        <v>94</v>
      </c>
      <c r="C1701" s="7" t="s">
        <v>425</v>
      </c>
      <c r="D1701" s="8">
        <v>45474</v>
      </c>
      <c r="E1701" s="8" t="str">
        <f t="shared" si="103"/>
        <v>July</v>
      </c>
      <c r="F1701">
        <f t="shared" si="104"/>
        <v>2024</v>
      </c>
      <c r="G1701">
        <f t="shared" si="105"/>
        <v>0</v>
      </c>
      <c r="H1701">
        <f t="shared" si="106"/>
        <v>0</v>
      </c>
      <c r="I1701" s="6"/>
      <c r="J1701" s="6"/>
      <c r="K1701" s="7" t="s">
        <v>44</v>
      </c>
      <c r="L1701" s="7" t="s">
        <v>27</v>
      </c>
      <c r="M1701" s="7" t="s">
        <v>15</v>
      </c>
      <c r="N1701" s="7">
        <f>COUNTIFS(A:A,A1701,D:D,D1701,E:E,I1701)</f>
        <v>0</v>
      </c>
    </row>
    <row r="1702" spans="1:14" x14ac:dyDescent="0.3">
      <c r="A1702" s="7" t="s">
        <v>31</v>
      </c>
      <c r="B1702" s="7" t="s">
        <v>32</v>
      </c>
      <c r="C1702" s="7" t="s">
        <v>60</v>
      </c>
      <c r="D1702" s="8">
        <v>45345</v>
      </c>
      <c r="E1702" s="8" t="str">
        <f t="shared" si="103"/>
        <v>February</v>
      </c>
      <c r="F1702">
        <f t="shared" si="104"/>
        <v>2024</v>
      </c>
      <c r="G1702">
        <f t="shared" si="105"/>
        <v>1</v>
      </c>
      <c r="H1702">
        <f t="shared" si="106"/>
        <v>0</v>
      </c>
      <c r="I1702" s="6">
        <v>0.44930555555555557</v>
      </c>
      <c r="J1702" s="6">
        <v>0.71597222222222223</v>
      </c>
      <c r="K1702" s="7" t="s">
        <v>13</v>
      </c>
      <c r="L1702" s="7" t="s">
        <v>14</v>
      </c>
      <c r="M1702" s="7" t="s">
        <v>15</v>
      </c>
      <c r="N1702" s="7">
        <f>COUNTIFS(A:A,A1702,D:D,D1702,E:E,I1702)</f>
        <v>0</v>
      </c>
    </row>
    <row r="1703" spans="1:14" x14ac:dyDescent="0.3">
      <c r="A1703" s="7" t="s">
        <v>191</v>
      </c>
      <c r="B1703" s="7" t="s">
        <v>192</v>
      </c>
      <c r="C1703" s="7" t="s">
        <v>60</v>
      </c>
      <c r="D1703" s="8">
        <v>45375</v>
      </c>
      <c r="E1703" s="8" t="str">
        <f t="shared" si="103"/>
        <v>March</v>
      </c>
      <c r="F1703">
        <f t="shared" si="104"/>
        <v>2024</v>
      </c>
      <c r="G1703">
        <f t="shared" si="105"/>
        <v>1</v>
      </c>
      <c r="H1703">
        <f t="shared" si="106"/>
        <v>1</v>
      </c>
      <c r="I1703" s="6">
        <v>0.4236111111111111</v>
      </c>
      <c r="J1703" s="6">
        <v>0.75277777777777777</v>
      </c>
      <c r="K1703" s="7" t="s">
        <v>26</v>
      </c>
      <c r="L1703" s="7" t="s">
        <v>14</v>
      </c>
      <c r="M1703" s="7" t="s">
        <v>21</v>
      </c>
      <c r="N1703" s="7">
        <f>COUNTIFS(A:A,A1703,D:D,D1703,E:E,I1703)</f>
        <v>0</v>
      </c>
    </row>
    <row r="1704" spans="1:14" x14ac:dyDescent="0.3">
      <c r="A1704" s="7" t="s">
        <v>34</v>
      </c>
      <c r="B1704" s="7" t="s">
        <v>35</v>
      </c>
      <c r="C1704" s="7" t="s">
        <v>425</v>
      </c>
      <c r="D1704" s="8">
        <v>45324</v>
      </c>
      <c r="E1704" s="8" t="str">
        <f t="shared" si="103"/>
        <v>February</v>
      </c>
      <c r="F1704">
        <f t="shared" si="104"/>
        <v>2024</v>
      </c>
      <c r="G1704">
        <f t="shared" si="105"/>
        <v>1</v>
      </c>
      <c r="H1704">
        <f t="shared" si="106"/>
        <v>0</v>
      </c>
      <c r="I1704" s="6">
        <v>0.41458333333333336</v>
      </c>
      <c r="J1704" s="6">
        <v>0.69861111111111107</v>
      </c>
      <c r="K1704" s="7" t="s">
        <v>13</v>
      </c>
      <c r="L1704" s="7" t="s">
        <v>14</v>
      </c>
      <c r="M1704" s="7" t="s">
        <v>21</v>
      </c>
      <c r="N1704" s="7">
        <f>COUNTIFS(A:A,A1704,D:D,D1704,E:E,I1704)</f>
        <v>0</v>
      </c>
    </row>
    <row r="1705" spans="1:14" x14ac:dyDescent="0.3">
      <c r="A1705" s="7" t="s">
        <v>115</v>
      </c>
      <c r="B1705" s="7" t="s">
        <v>116</v>
      </c>
      <c r="C1705" s="7" t="s">
        <v>426</v>
      </c>
      <c r="D1705" s="8">
        <v>45323</v>
      </c>
      <c r="E1705" s="8" t="str">
        <f t="shared" si="103"/>
        <v>February</v>
      </c>
      <c r="F1705">
        <f t="shared" si="104"/>
        <v>2024</v>
      </c>
      <c r="G1705">
        <f t="shared" si="105"/>
        <v>1</v>
      </c>
      <c r="H1705">
        <f t="shared" si="106"/>
        <v>0</v>
      </c>
      <c r="I1705" s="6">
        <v>0.37013888888888891</v>
      </c>
      <c r="J1705" s="6">
        <v>0.8041666666666667</v>
      </c>
      <c r="K1705" s="7" t="s">
        <v>13</v>
      </c>
      <c r="L1705" s="7" t="s">
        <v>27</v>
      </c>
      <c r="M1705" s="7" t="s">
        <v>15</v>
      </c>
      <c r="N1705" s="7">
        <f>COUNTIFS(A:A,A1705,D:D,D1705,E:E,I1705)</f>
        <v>0</v>
      </c>
    </row>
    <row r="1706" spans="1:14" x14ac:dyDescent="0.3">
      <c r="A1706" s="7" t="s">
        <v>213</v>
      </c>
      <c r="B1706" s="7" t="s">
        <v>214</v>
      </c>
      <c r="C1706" s="7" t="s">
        <v>60</v>
      </c>
      <c r="D1706" s="8">
        <v>45306</v>
      </c>
      <c r="E1706" s="8" t="str">
        <f t="shared" si="103"/>
        <v>January</v>
      </c>
      <c r="F1706">
        <f t="shared" si="104"/>
        <v>2024</v>
      </c>
      <c r="G1706">
        <f t="shared" si="105"/>
        <v>1</v>
      </c>
      <c r="H1706">
        <f t="shared" si="106"/>
        <v>0</v>
      </c>
      <c r="I1706" s="6">
        <v>0.39166666666666666</v>
      </c>
      <c r="J1706" s="6">
        <v>0.72638888888888886</v>
      </c>
      <c r="K1706" s="7" t="s">
        <v>20</v>
      </c>
      <c r="L1706" s="7" t="s">
        <v>27</v>
      </c>
      <c r="M1706" s="7" t="s">
        <v>21</v>
      </c>
      <c r="N1706" s="7">
        <f>COUNTIFS(A:A,A1706,D:D,D1706,E:E,I1706)</f>
        <v>0</v>
      </c>
    </row>
    <row r="1707" spans="1:14" x14ac:dyDescent="0.3">
      <c r="A1707" s="7" t="s">
        <v>55</v>
      </c>
      <c r="B1707" s="7" t="s">
        <v>56</v>
      </c>
      <c r="C1707" s="7" t="s">
        <v>426</v>
      </c>
      <c r="D1707" s="8">
        <v>45315</v>
      </c>
      <c r="E1707" s="8" t="str">
        <f t="shared" si="103"/>
        <v>January</v>
      </c>
      <c r="F1707">
        <f t="shared" si="104"/>
        <v>2024</v>
      </c>
      <c r="G1707">
        <f t="shared" si="105"/>
        <v>0</v>
      </c>
      <c r="H1707">
        <f t="shared" si="106"/>
        <v>0</v>
      </c>
      <c r="I1707" s="6"/>
      <c r="J1707" s="6"/>
      <c r="K1707" s="7" t="s">
        <v>44</v>
      </c>
      <c r="L1707" s="7" t="s">
        <v>27</v>
      </c>
      <c r="M1707" s="7" t="s">
        <v>21</v>
      </c>
      <c r="N1707" s="7">
        <f>COUNTIFS(A:A,A1707,D:D,D1707,E:E,I1707)</f>
        <v>0</v>
      </c>
    </row>
    <row r="1708" spans="1:14" x14ac:dyDescent="0.3">
      <c r="A1708" s="7" t="s">
        <v>62</v>
      </c>
      <c r="B1708" s="7" t="s">
        <v>63</v>
      </c>
      <c r="C1708" s="7" t="s">
        <v>42</v>
      </c>
      <c r="D1708" s="8">
        <v>45599</v>
      </c>
      <c r="E1708" s="8" t="str">
        <f t="shared" si="103"/>
        <v>November</v>
      </c>
      <c r="F1708">
        <f t="shared" si="104"/>
        <v>2024</v>
      </c>
      <c r="G1708">
        <f t="shared" si="105"/>
        <v>0</v>
      </c>
      <c r="H1708">
        <f t="shared" si="106"/>
        <v>0</v>
      </c>
      <c r="I1708" s="6"/>
      <c r="J1708" s="6"/>
      <c r="K1708" s="7" t="s">
        <v>44</v>
      </c>
      <c r="L1708" s="7" t="s">
        <v>14</v>
      </c>
      <c r="M1708" s="7" t="s">
        <v>15</v>
      </c>
      <c r="N1708" s="7">
        <f>COUNTIFS(A:A,A1708,D:D,D1708,E:E,I1708)</f>
        <v>0</v>
      </c>
    </row>
    <row r="1709" spans="1:14" x14ac:dyDescent="0.3">
      <c r="A1709" s="7" t="s">
        <v>150</v>
      </c>
      <c r="B1709" s="7" t="s">
        <v>151</v>
      </c>
      <c r="C1709" s="7" t="s">
        <v>425</v>
      </c>
      <c r="D1709" s="8">
        <v>45370</v>
      </c>
      <c r="E1709" s="8" t="str">
        <f t="shared" si="103"/>
        <v>March</v>
      </c>
      <c r="F1709">
        <f t="shared" si="104"/>
        <v>2024</v>
      </c>
      <c r="G1709">
        <f t="shared" si="105"/>
        <v>1</v>
      </c>
      <c r="H1709">
        <f t="shared" si="106"/>
        <v>0</v>
      </c>
      <c r="I1709" s="6">
        <v>0.39583333333333331</v>
      </c>
      <c r="J1709" s="6">
        <v>0.68680555555555556</v>
      </c>
      <c r="K1709" s="7" t="s">
        <v>13</v>
      </c>
      <c r="L1709" s="7" t="s">
        <v>27</v>
      </c>
      <c r="M1709" s="7" t="s">
        <v>21</v>
      </c>
      <c r="N1709" s="7">
        <f>COUNTIFS(A:A,A1709,D:D,D1709,E:E,I1709)</f>
        <v>0</v>
      </c>
    </row>
    <row r="1710" spans="1:14" x14ac:dyDescent="0.3">
      <c r="A1710" s="7" t="s">
        <v>96</v>
      </c>
      <c r="B1710" s="7" t="s">
        <v>97</v>
      </c>
      <c r="C1710" s="7" t="s">
        <v>425</v>
      </c>
      <c r="D1710" s="8">
        <v>45319</v>
      </c>
      <c r="E1710" s="8" t="str">
        <f t="shared" si="103"/>
        <v>January</v>
      </c>
      <c r="F1710">
        <f t="shared" si="104"/>
        <v>2024</v>
      </c>
      <c r="G1710">
        <f t="shared" si="105"/>
        <v>1</v>
      </c>
      <c r="H1710">
        <f t="shared" si="106"/>
        <v>1</v>
      </c>
      <c r="I1710" s="6">
        <v>0.33958333333333335</v>
      </c>
      <c r="J1710" s="6">
        <v>0.77708333333333335</v>
      </c>
      <c r="K1710" s="7" t="s">
        <v>26</v>
      </c>
      <c r="L1710" s="7" t="s">
        <v>27</v>
      </c>
      <c r="M1710" s="7" t="s">
        <v>21</v>
      </c>
      <c r="N1710" s="7">
        <f>COUNTIFS(A:A,A1710,D:D,D1710,E:E,I1710)</f>
        <v>0</v>
      </c>
    </row>
    <row r="1711" spans="1:14" x14ac:dyDescent="0.3">
      <c r="A1711" s="7" t="s">
        <v>291</v>
      </c>
      <c r="B1711" s="7" t="s">
        <v>292</v>
      </c>
      <c r="C1711" s="7" t="s">
        <v>42</v>
      </c>
      <c r="D1711" s="8">
        <v>45368</v>
      </c>
      <c r="E1711" s="8" t="str">
        <f t="shared" si="103"/>
        <v>March</v>
      </c>
      <c r="F1711">
        <f t="shared" si="104"/>
        <v>2024</v>
      </c>
      <c r="G1711">
        <f t="shared" si="105"/>
        <v>1</v>
      </c>
      <c r="H1711">
        <f t="shared" si="106"/>
        <v>0</v>
      </c>
      <c r="I1711" s="6">
        <v>0.38333333333333336</v>
      </c>
      <c r="J1711" s="6">
        <v>0.73055555555555551</v>
      </c>
      <c r="K1711" s="7" t="s">
        <v>20</v>
      </c>
      <c r="L1711" s="7" t="s">
        <v>14</v>
      </c>
      <c r="M1711" s="7" t="s">
        <v>21</v>
      </c>
      <c r="N1711" s="7">
        <f>COUNTIFS(A:A,A1711,D:D,D1711,E:E,I1711)</f>
        <v>0</v>
      </c>
    </row>
    <row r="1712" spans="1:14" x14ac:dyDescent="0.3">
      <c r="A1712" s="7" t="s">
        <v>90</v>
      </c>
      <c r="B1712" s="7" t="s">
        <v>91</v>
      </c>
      <c r="C1712" s="7" t="s">
        <v>425</v>
      </c>
      <c r="D1712" s="8">
        <v>45377</v>
      </c>
      <c r="E1712" s="8" t="str">
        <f t="shared" si="103"/>
        <v>March</v>
      </c>
      <c r="F1712">
        <f t="shared" si="104"/>
        <v>2024</v>
      </c>
      <c r="G1712">
        <f t="shared" si="105"/>
        <v>1</v>
      </c>
      <c r="H1712">
        <f t="shared" si="106"/>
        <v>0</v>
      </c>
      <c r="I1712" s="6">
        <v>0.33958333333333335</v>
      </c>
      <c r="J1712" s="6">
        <v>0.84236111111111112</v>
      </c>
      <c r="K1712" s="7" t="s">
        <v>13</v>
      </c>
      <c r="L1712" s="7" t="s">
        <v>27</v>
      </c>
      <c r="M1712" s="7" t="s">
        <v>15</v>
      </c>
      <c r="N1712" s="7">
        <f>COUNTIFS(A:A,A1712,D:D,D1712,E:E,I1712)</f>
        <v>0</v>
      </c>
    </row>
    <row r="1713" spans="1:14" x14ac:dyDescent="0.3">
      <c r="A1713" s="7" t="s">
        <v>69</v>
      </c>
      <c r="B1713" s="7" t="s">
        <v>70</v>
      </c>
      <c r="C1713" s="7" t="s">
        <v>64</v>
      </c>
      <c r="D1713" s="8">
        <v>45377</v>
      </c>
      <c r="E1713" s="8" t="str">
        <f t="shared" si="103"/>
        <v>March</v>
      </c>
      <c r="F1713">
        <f t="shared" si="104"/>
        <v>2024</v>
      </c>
      <c r="G1713">
        <f t="shared" si="105"/>
        <v>1</v>
      </c>
      <c r="H1713">
        <f t="shared" si="106"/>
        <v>0</v>
      </c>
      <c r="I1713" s="6">
        <v>0.47430555555555554</v>
      </c>
      <c r="J1713" s="6">
        <v>0.74722222222222223</v>
      </c>
      <c r="K1713" s="7" t="s">
        <v>13</v>
      </c>
      <c r="L1713" s="7" t="s">
        <v>14</v>
      </c>
      <c r="M1713" s="7" t="s">
        <v>21</v>
      </c>
      <c r="N1713" s="7">
        <f>COUNTIFS(A:A,A1713,D:D,D1713,E:E,I1713)</f>
        <v>0</v>
      </c>
    </row>
    <row r="1714" spans="1:14" x14ac:dyDescent="0.3">
      <c r="A1714" s="7" t="s">
        <v>213</v>
      </c>
      <c r="B1714" s="7" t="s">
        <v>214</v>
      </c>
      <c r="C1714" s="7" t="s">
        <v>60</v>
      </c>
      <c r="D1714" s="8">
        <v>45307</v>
      </c>
      <c r="E1714" s="8" t="str">
        <f t="shared" si="103"/>
        <v>January</v>
      </c>
      <c r="F1714">
        <f t="shared" si="104"/>
        <v>2024</v>
      </c>
      <c r="G1714">
        <f t="shared" si="105"/>
        <v>1</v>
      </c>
      <c r="H1714">
        <f t="shared" si="106"/>
        <v>0</v>
      </c>
      <c r="I1714" s="6">
        <v>0.3840277777777778</v>
      </c>
      <c r="J1714" s="6">
        <v>0.79861111111111116</v>
      </c>
      <c r="K1714" s="7" t="s">
        <v>13</v>
      </c>
      <c r="L1714" s="7" t="s">
        <v>27</v>
      </c>
      <c r="M1714" s="7" t="s">
        <v>15</v>
      </c>
      <c r="N1714" s="7">
        <f>COUNTIFS(A:A,A1714,D:D,D1714,E:E,I1714)</f>
        <v>0</v>
      </c>
    </row>
    <row r="1715" spans="1:14" x14ac:dyDescent="0.3">
      <c r="A1715" s="7" t="s">
        <v>81</v>
      </c>
      <c r="B1715" s="7" t="s">
        <v>82</v>
      </c>
      <c r="C1715" s="7" t="s">
        <v>425</v>
      </c>
      <c r="D1715" s="8">
        <v>45377</v>
      </c>
      <c r="E1715" s="8" t="str">
        <f t="shared" si="103"/>
        <v>March</v>
      </c>
      <c r="F1715">
        <f t="shared" si="104"/>
        <v>2024</v>
      </c>
      <c r="G1715">
        <f t="shared" si="105"/>
        <v>1</v>
      </c>
      <c r="H1715">
        <f t="shared" si="106"/>
        <v>0</v>
      </c>
      <c r="I1715" s="6">
        <v>0.39583333333333331</v>
      </c>
      <c r="J1715" s="6">
        <v>0.83263888888888893</v>
      </c>
      <c r="K1715" s="7" t="s">
        <v>13</v>
      </c>
      <c r="L1715" s="7" t="s">
        <v>27</v>
      </c>
      <c r="M1715" s="7" t="s">
        <v>21</v>
      </c>
      <c r="N1715" s="7">
        <f>COUNTIFS(A:A,A1715,D:D,D1715,E:E,I1715)</f>
        <v>0</v>
      </c>
    </row>
    <row r="1716" spans="1:14" x14ac:dyDescent="0.3">
      <c r="A1716" s="7" t="s">
        <v>93</v>
      </c>
      <c r="B1716" s="7" t="s">
        <v>94</v>
      </c>
      <c r="C1716" s="7" t="s">
        <v>42</v>
      </c>
      <c r="D1716" s="8">
        <v>45415</v>
      </c>
      <c r="E1716" s="8" t="str">
        <f t="shared" si="103"/>
        <v>May</v>
      </c>
      <c r="F1716">
        <f t="shared" si="104"/>
        <v>2024</v>
      </c>
      <c r="G1716">
        <f t="shared" si="105"/>
        <v>1</v>
      </c>
      <c r="H1716">
        <f t="shared" si="106"/>
        <v>1</v>
      </c>
      <c r="I1716" s="6">
        <v>0.40277777777777779</v>
      </c>
      <c r="J1716" s="6">
        <v>0.68402777777777779</v>
      </c>
      <c r="K1716" s="7" t="s">
        <v>26</v>
      </c>
      <c r="L1716" s="7" t="s">
        <v>14</v>
      </c>
      <c r="M1716" s="7" t="s">
        <v>15</v>
      </c>
      <c r="N1716" s="7">
        <f>COUNTIFS(A:A,A1716,D:D,D1716,E:E,I1716)</f>
        <v>0</v>
      </c>
    </row>
    <row r="1717" spans="1:14" x14ac:dyDescent="0.3">
      <c r="A1717" s="7" t="s">
        <v>134</v>
      </c>
      <c r="B1717" s="7" t="s">
        <v>135</v>
      </c>
      <c r="C1717" s="7" t="s">
        <v>425</v>
      </c>
      <c r="D1717" s="8">
        <v>45309</v>
      </c>
      <c r="E1717" s="8" t="str">
        <f t="shared" si="103"/>
        <v>January</v>
      </c>
      <c r="F1717">
        <f t="shared" si="104"/>
        <v>2024</v>
      </c>
      <c r="G1717">
        <f t="shared" si="105"/>
        <v>1</v>
      </c>
      <c r="H1717">
        <f t="shared" si="106"/>
        <v>0</v>
      </c>
      <c r="I1717" s="6">
        <v>0.37083333333333335</v>
      </c>
      <c r="J1717" s="6">
        <v>0.68541666666666667</v>
      </c>
      <c r="K1717" s="7" t="s">
        <v>20</v>
      </c>
      <c r="L1717" s="7" t="s">
        <v>27</v>
      </c>
      <c r="M1717" s="7" t="s">
        <v>21</v>
      </c>
      <c r="N1717" s="7">
        <f>COUNTIFS(A:A,A1717,D:D,D1717,E:E,I1717)</f>
        <v>0</v>
      </c>
    </row>
    <row r="1718" spans="1:14" x14ac:dyDescent="0.3">
      <c r="A1718" s="7" t="s">
        <v>96</v>
      </c>
      <c r="B1718" s="7" t="s">
        <v>97</v>
      </c>
      <c r="C1718" s="7" t="s">
        <v>425</v>
      </c>
      <c r="D1718" s="8">
        <v>45381</v>
      </c>
      <c r="E1718" s="8" t="str">
        <f t="shared" si="103"/>
        <v>March</v>
      </c>
      <c r="F1718">
        <f t="shared" si="104"/>
        <v>2024</v>
      </c>
      <c r="G1718">
        <f t="shared" si="105"/>
        <v>1</v>
      </c>
      <c r="H1718">
        <f t="shared" si="106"/>
        <v>1</v>
      </c>
      <c r="I1718" s="6">
        <v>0.34444444444444444</v>
      </c>
      <c r="J1718" s="6">
        <v>0.80277777777777781</v>
      </c>
      <c r="K1718" s="7" t="s">
        <v>26</v>
      </c>
      <c r="L1718" s="7" t="s">
        <v>14</v>
      </c>
      <c r="M1718" s="7" t="s">
        <v>21</v>
      </c>
      <c r="N1718" s="7">
        <f>COUNTIFS(A:A,A1718,D:D,D1718,E:E,I1718)</f>
        <v>0</v>
      </c>
    </row>
    <row r="1719" spans="1:14" x14ac:dyDescent="0.3">
      <c r="A1719" s="7" t="s">
        <v>62</v>
      </c>
      <c r="B1719" s="7" t="s">
        <v>63</v>
      </c>
      <c r="C1719" s="7" t="s">
        <v>426</v>
      </c>
      <c r="D1719" s="8">
        <v>45376</v>
      </c>
      <c r="E1719" s="8" t="str">
        <f t="shared" si="103"/>
        <v>March</v>
      </c>
      <c r="F1719">
        <f t="shared" si="104"/>
        <v>2024</v>
      </c>
      <c r="G1719">
        <f t="shared" si="105"/>
        <v>1</v>
      </c>
      <c r="H1719">
        <f t="shared" si="106"/>
        <v>0</v>
      </c>
      <c r="I1719" s="6">
        <v>0.4284722222222222</v>
      </c>
      <c r="J1719" s="6">
        <v>0.81736111111111109</v>
      </c>
      <c r="K1719" s="7" t="s">
        <v>13</v>
      </c>
      <c r="L1719" s="7" t="s">
        <v>14</v>
      </c>
      <c r="M1719" s="7" t="s">
        <v>15</v>
      </c>
      <c r="N1719" s="7">
        <f>COUNTIFS(A:A,A1719,D:D,D1719,E:E,I1719)</f>
        <v>0</v>
      </c>
    </row>
    <row r="1720" spans="1:14" x14ac:dyDescent="0.3">
      <c r="A1720" s="7" t="s">
        <v>291</v>
      </c>
      <c r="B1720" s="7" t="s">
        <v>292</v>
      </c>
      <c r="C1720" s="7" t="s">
        <v>42</v>
      </c>
      <c r="D1720" s="8">
        <v>45294</v>
      </c>
      <c r="E1720" s="8" t="str">
        <f t="shared" si="103"/>
        <v>January</v>
      </c>
      <c r="F1720">
        <f t="shared" si="104"/>
        <v>2024</v>
      </c>
      <c r="G1720">
        <f t="shared" si="105"/>
        <v>1</v>
      </c>
      <c r="H1720">
        <f t="shared" si="106"/>
        <v>0</v>
      </c>
      <c r="I1720" s="6">
        <v>0.48125000000000001</v>
      </c>
      <c r="J1720" s="6">
        <v>0.7</v>
      </c>
      <c r="K1720" s="7" t="s">
        <v>20</v>
      </c>
      <c r="L1720" s="7" t="s">
        <v>27</v>
      </c>
      <c r="M1720" s="7" t="s">
        <v>15</v>
      </c>
      <c r="N1720" s="7">
        <f>COUNTIFS(A:A,A1720,D:D,D1720,E:E,I1720)</f>
        <v>0</v>
      </c>
    </row>
    <row r="1721" spans="1:14" x14ac:dyDescent="0.3">
      <c r="A1721" s="7" t="s">
        <v>175</v>
      </c>
      <c r="B1721" s="7" t="s">
        <v>176</v>
      </c>
      <c r="C1721" s="7" t="s">
        <v>42</v>
      </c>
      <c r="D1721" s="8">
        <v>45349</v>
      </c>
      <c r="E1721" s="8" t="str">
        <f t="shared" si="103"/>
        <v>February</v>
      </c>
      <c r="F1721">
        <f t="shared" si="104"/>
        <v>2024</v>
      </c>
      <c r="G1721">
        <f t="shared" si="105"/>
        <v>1</v>
      </c>
      <c r="H1721">
        <f t="shared" si="106"/>
        <v>0</v>
      </c>
      <c r="I1721" s="6">
        <v>0.33402777777777776</v>
      </c>
      <c r="J1721" s="6">
        <v>0.7680555555555556</v>
      </c>
      <c r="K1721" s="7" t="s">
        <v>13</v>
      </c>
      <c r="L1721" s="7" t="s">
        <v>14</v>
      </c>
      <c r="M1721" s="7" t="s">
        <v>21</v>
      </c>
      <c r="N1721" s="7">
        <f>COUNTIFS(A:A,A1721,D:D,D1721,E:E,I1721)</f>
        <v>0</v>
      </c>
    </row>
    <row r="1722" spans="1:14" x14ac:dyDescent="0.3">
      <c r="A1722" s="7" t="s">
        <v>45</v>
      </c>
      <c r="B1722" s="7" t="s">
        <v>46</v>
      </c>
      <c r="C1722" s="7" t="s">
        <v>60</v>
      </c>
      <c r="D1722" s="8">
        <v>45357</v>
      </c>
      <c r="E1722" s="8" t="str">
        <f t="shared" si="103"/>
        <v>March</v>
      </c>
      <c r="F1722">
        <f t="shared" si="104"/>
        <v>2024</v>
      </c>
      <c r="G1722">
        <f t="shared" si="105"/>
        <v>1</v>
      </c>
      <c r="H1722">
        <f t="shared" si="106"/>
        <v>0</v>
      </c>
      <c r="I1722" s="6">
        <v>0.46458333333333335</v>
      </c>
      <c r="J1722" s="6">
        <v>0.85347222222222219</v>
      </c>
      <c r="K1722" s="7" t="s">
        <v>20</v>
      </c>
      <c r="L1722" s="7" t="s">
        <v>27</v>
      </c>
      <c r="M1722" s="7" t="s">
        <v>21</v>
      </c>
      <c r="N1722" s="7">
        <f>COUNTIFS(A:A,A1722,D:D,D1722,E:E,I1722)</f>
        <v>0</v>
      </c>
    </row>
    <row r="1723" spans="1:14" x14ac:dyDescent="0.3">
      <c r="A1723" s="7" t="s">
        <v>204</v>
      </c>
      <c r="B1723" s="7" t="s">
        <v>205</v>
      </c>
      <c r="C1723" s="7" t="s">
        <v>60</v>
      </c>
      <c r="D1723" s="8">
        <v>45627</v>
      </c>
      <c r="E1723" s="8" t="str">
        <f t="shared" si="103"/>
        <v>December</v>
      </c>
      <c r="F1723">
        <f t="shared" si="104"/>
        <v>2024</v>
      </c>
      <c r="G1723">
        <f t="shared" si="105"/>
        <v>0</v>
      </c>
      <c r="H1723">
        <f t="shared" si="106"/>
        <v>0</v>
      </c>
      <c r="I1723" s="6"/>
      <c r="J1723" s="6"/>
      <c r="K1723" s="7" t="s">
        <v>44</v>
      </c>
      <c r="L1723" s="7" t="s">
        <v>27</v>
      </c>
      <c r="M1723" s="7" t="s">
        <v>15</v>
      </c>
      <c r="N1723" s="7">
        <f>COUNTIFS(A:A,A1723,D:D,D1723,E:E,I1723)</f>
        <v>0</v>
      </c>
    </row>
    <row r="1724" spans="1:14" x14ac:dyDescent="0.3">
      <c r="A1724" s="7" t="s">
        <v>224</v>
      </c>
      <c r="B1724" s="7" t="s">
        <v>225</v>
      </c>
      <c r="C1724" s="7" t="s">
        <v>64</v>
      </c>
      <c r="D1724" s="8">
        <v>45366</v>
      </c>
      <c r="E1724" s="8" t="str">
        <f t="shared" si="103"/>
        <v>March</v>
      </c>
      <c r="F1724">
        <f t="shared" si="104"/>
        <v>2024</v>
      </c>
      <c r="G1724">
        <f t="shared" si="105"/>
        <v>1</v>
      </c>
      <c r="H1724">
        <f t="shared" si="106"/>
        <v>0</v>
      </c>
      <c r="I1724" s="6">
        <v>0.3659722222222222</v>
      </c>
      <c r="J1724" s="6">
        <v>0.85347222222222219</v>
      </c>
      <c r="K1724" s="7" t="s">
        <v>13</v>
      </c>
      <c r="L1724" s="7" t="s">
        <v>27</v>
      </c>
      <c r="M1724" s="7" t="s">
        <v>21</v>
      </c>
      <c r="N1724" s="7">
        <f>COUNTIFS(A:A,A1724,D:D,D1724,E:E,I1724)</f>
        <v>0</v>
      </c>
    </row>
    <row r="1725" spans="1:14" x14ac:dyDescent="0.3">
      <c r="A1725" s="7" t="s">
        <v>150</v>
      </c>
      <c r="B1725" s="7" t="s">
        <v>151</v>
      </c>
      <c r="C1725" s="7" t="s">
        <v>426</v>
      </c>
      <c r="D1725" s="8">
        <v>45317</v>
      </c>
      <c r="E1725" s="8" t="str">
        <f t="shared" si="103"/>
        <v>January</v>
      </c>
      <c r="F1725">
        <f t="shared" si="104"/>
        <v>2024</v>
      </c>
      <c r="G1725">
        <f t="shared" si="105"/>
        <v>1</v>
      </c>
      <c r="H1725">
        <f t="shared" si="106"/>
        <v>0</v>
      </c>
      <c r="I1725" s="6">
        <v>0.42638888888888887</v>
      </c>
      <c r="J1725" s="6">
        <v>0.75347222222222221</v>
      </c>
      <c r="K1725" s="7" t="s">
        <v>13</v>
      </c>
      <c r="L1725" s="7" t="s">
        <v>27</v>
      </c>
      <c r="M1725" s="7" t="s">
        <v>21</v>
      </c>
      <c r="N1725" s="7">
        <f>COUNTIFS(A:A,A1725,D:D,D1725,E:E,I1725)</f>
        <v>0</v>
      </c>
    </row>
    <row r="1726" spans="1:14" x14ac:dyDescent="0.3">
      <c r="A1726" s="7" t="s">
        <v>40</v>
      </c>
      <c r="B1726" s="7" t="s">
        <v>41</v>
      </c>
      <c r="C1726" s="7" t="s">
        <v>425</v>
      </c>
      <c r="D1726" s="8">
        <v>45336</v>
      </c>
      <c r="E1726" s="8" t="str">
        <f t="shared" si="103"/>
        <v>February</v>
      </c>
      <c r="F1726">
        <f t="shared" si="104"/>
        <v>2024</v>
      </c>
      <c r="G1726">
        <f t="shared" si="105"/>
        <v>1</v>
      </c>
      <c r="H1726">
        <f t="shared" si="106"/>
        <v>0</v>
      </c>
      <c r="I1726" s="6">
        <v>0.34583333333333333</v>
      </c>
      <c r="J1726" s="6">
        <v>0.87152777777777779</v>
      </c>
      <c r="K1726" s="7" t="s">
        <v>20</v>
      </c>
      <c r="L1726" s="7" t="s">
        <v>14</v>
      </c>
      <c r="M1726" s="7" t="s">
        <v>21</v>
      </c>
      <c r="N1726" s="7">
        <f>COUNTIFS(A:A,A1726,D:D,D1726,E:E,I1726)</f>
        <v>0</v>
      </c>
    </row>
    <row r="1727" spans="1:14" x14ac:dyDescent="0.3">
      <c r="A1727" s="7" t="s">
        <v>216</v>
      </c>
      <c r="B1727" s="7" t="s">
        <v>217</v>
      </c>
      <c r="C1727" s="7" t="s">
        <v>64</v>
      </c>
      <c r="D1727" s="8">
        <v>45379</v>
      </c>
      <c r="E1727" s="8" t="str">
        <f t="shared" si="103"/>
        <v>March</v>
      </c>
      <c r="F1727">
        <f t="shared" si="104"/>
        <v>2024</v>
      </c>
      <c r="G1727">
        <f t="shared" si="105"/>
        <v>1</v>
      </c>
      <c r="H1727">
        <f t="shared" si="106"/>
        <v>1</v>
      </c>
      <c r="I1727" s="6">
        <v>0.42916666666666664</v>
      </c>
      <c r="J1727" s="6">
        <v>0.82430555555555551</v>
      </c>
      <c r="K1727" s="7" t="s">
        <v>26</v>
      </c>
      <c r="L1727" s="7" t="s">
        <v>14</v>
      </c>
      <c r="M1727" s="7" t="s">
        <v>21</v>
      </c>
      <c r="N1727" s="7">
        <f>COUNTIFS(A:A,A1727,D:D,D1727,E:E,I1727)</f>
        <v>0</v>
      </c>
    </row>
    <row r="1728" spans="1:14" x14ac:dyDescent="0.3">
      <c r="A1728" s="7" t="s">
        <v>175</v>
      </c>
      <c r="B1728" s="7" t="s">
        <v>176</v>
      </c>
      <c r="C1728" s="7" t="s">
        <v>60</v>
      </c>
      <c r="D1728" s="8">
        <v>45302</v>
      </c>
      <c r="E1728" s="8" t="str">
        <f t="shared" si="103"/>
        <v>January</v>
      </c>
      <c r="F1728">
        <f t="shared" si="104"/>
        <v>2024</v>
      </c>
      <c r="G1728">
        <f t="shared" si="105"/>
        <v>0</v>
      </c>
      <c r="H1728">
        <f t="shared" si="106"/>
        <v>0</v>
      </c>
      <c r="I1728" s="6"/>
      <c r="J1728" s="6"/>
      <c r="K1728" s="7" t="s">
        <v>44</v>
      </c>
      <c r="L1728" s="7" t="s">
        <v>14</v>
      </c>
      <c r="M1728" s="7" t="s">
        <v>21</v>
      </c>
      <c r="N1728" s="7">
        <f>COUNTIFS(A:A,A1728,D:D,D1728,E:E,I1728)</f>
        <v>0</v>
      </c>
    </row>
    <row r="1729" spans="1:14" x14ac:dyDescent="0.3">
      <c r="A1729" s="7" t="s">
        <v>78</v>
      </c>
      <c r="B1729" s="7" t="s">
        <v>79</v>
      </c>
      <c r="C1729" s="7" t="s">
        <v>426</v>
      </c>
      <c r="D1729" s="8">
        <v>45322</v>
      </c>
      <c r="E1729" s="8" t="str">
        <f t="shared" si="103"/>
        <v>January</v>
      </c>
      <c r="F1729">
        <f t="shared" si="104"/>
        <v>2024</v>
      </c>
      <c r="G1729">
        <f t="shared" si="105"/>
        <v>1</v>
      </c>
      <c r="H1729">
        <f t="shared" si="106"/>
        <v>1</v>
      </c>
      <c r="I1729" s="6">
        <v>0.40555555555555556</v>
      </c>
      <c r="J1729" s="6">
        <v>0.76666666666666672</v>
      </c>
      <c r="K1729" s="7" t="s">
        <v>26</v>
      </c>
      <c r="L1729" s="7" t="s">
        <v>14</v>
      </c>
      <c r="M1729" s="7" t="s">
        <v>21</v>
      </c>
      <c r="N1729" s="7">
        <f>COUNTIFS(A:A,A1729,D:D,D1729,E:E,I1729)</f>
        <v>0</v>
      </c>
    </row>
    <row r="1730" spans="1:14" x14ac:dyDescent="0.3">
      <c r="A1730" s="7" t="s">
        <v>69</v>
      </c>
      <c r="B1730" s="7" t="s">
        <v>70</v>
      </c>
      <c r="C1730" s="7" t="s">
        <v>426</v>
      </c>
      <c r="D1730" s="8">
        <v>45413</v>
      </c>
      <c r="E1730" s="8" t="str">
        <f t="shared" ref="E1730:E1793" si="107">TEXT(D1730,"mmmm")</f>
        <v>May</v>
      </c>
      <c r="F1730">
        <f t="shared" ref="F1730:F1793" si="108">YEAR(D1730)</f>
        <v>2024</v>
      </c>
      <c r="G1730">
        <f t="shared" ref="G1730:G1793" si="109">IF(LOWER(K1730)="absent",0,1)</f>
        <v>0</v>
      </c>
      <c r="H1730">
        <f t="shared" ref="H1730:H1793" si="110">IF(K1730="Late",1,0)</f>
        <v>0</v>
      </c>
      <c r="I1730" s="6"/>
      <c r="J1730" s="6"/>
      <c r="K1730" s="7" t="s">
        <v>44</v>
      </c>
      <c r="L1730" s="7" t="s">
        <v>14</v>
      </c>
      <c r="M1730" s="7" t="s">
        <v>15</v>
      </c>
      <c r="N1730" s="7">
        <f>COUNTIFS(A:A,A1730,D:D,D1730,E:E,I1730)</f>
        <v>0</v>
      </c>
    </row>
    <row r="1731" spans="1:14" x14ac:dyDescent="0.3">
      <c r="A1731" s="7" t="s">
        <v>119</v>
      </c>
      <c r="B1731" s="7" t="s">
        <v>120</v>
      </c>
      <c r="C1731" s="7" t="s">
        <v>425</v>
      </c>
      <c r="D1731" s="8">
        <v>45309</v>
      </c>
      <c r="E1731" s="8" t="str">
        <f t="shared" si="107"/>
        <v>January</v>
      </c>
      <c r="F1731">
        <f t="shared" si="108"/>
        <v>2024</v>
      </c>
      <c r="G1731">
        <f t="shared" si="109"/>
        <v>0</v>
      </c>
      <c r="H1731">
        <f t="shared" si="110"/>
        <v>0</v>
      </c>
      <c r="I1731" s="6"/>
      <c r="J1731" s="6"/>
      <c r="K1731" s="7" t="s">
        <v>44</v>
      </c>
      <c r="L1731" s="7" t="s">
        <v>27</v>
      </c>
      <c r="M1731" s="7" t="s">
        <v>15</v>
      </c>
      <c r="N1731" s="7">
        <f>COUNTIFS(A:A,A1731,D:D,D1731,E:E,I1731)</f>
        <v>0</v>
      </c>
    </row>
    <row r="1732" spans="1:14" x14ac:dyDescent="0.3">
      <c r="A1732" s="7" t="s">
        <v>9</v>
      </c>
      <c r="B1732" s="7" t="s">
        <v>10</v>
      </c>
      <c r="C1732" s="7" t="s">
        <v>64</v>
      </c>
      <c r="D1732" s="8">
        <v>45628</v>
      </c>
      <c r="E1732" s="8" t="str">
        <f t="shared" si="107"/>
        <v>December</v>
      </c>
      <c r="F1732">
        <f t="shared" si="108"/>
        <v>2024</v>
      </c>
      <c r="G1732">
        <f t="shared" si="109"/>
        <v>1</v>
      </c>
      <c r="H1732">
        <f t="shared" si="110"/>
        <v>0</v>
      </c>
      <c r="I1732" s="6">
        <v>0.48888888888888887</v>
      </c>
      <c r="J1732" s="6">
        <v>0.70277777777777772</v>
      </c>
      <c r="K1732" s="7" t="s">
        <v>13</v>
      </c>
      <c r="L1732" s="7" t="s">
        <v>14</v>
      </c>
      <c r="M1732" s="7" t="s">
        <v>15</v>
      </c>
      <c r="N1732" s="7">
        <f>COUNTIFS(A:A,A1732,D:D,D1732,E:E,I1732)</f>
        <v>0</v>
      </c>
    </row>
    <row r="1733" spans="1:14" x14ac:dyDescent="0.3">
      <c r="A1733" s="7" t="s">
        <v>224</v>
      </c>
      <c r="B1733" s="7" t="s">
        <v>225</v>
      </c>
      <c r="C1733" s="7" t="s">
        <v>42</v>
      </c>
      <c r="D1733" s="8">
        <v>45475</v>
      </c>
      <c r="E1733" s="8" t="str">
        <f t="shared" si="107"/>
        <v>July</v>
      </c>
      <c r="F1733">
        <f t="shared" si="108"/>
        <v>2024</v>
      </c>
      <c r="G1733">
        <f t="shared" si="109"/>
        <v>1</v>
      </c>
      <c r="H1733">
        <f t="shared" si="110"/>
        <v>0</v>
      </c>
      <c r="I1733" s="6">
        <v>0.40972222222222221</v>
      </c>
      <c r="J1733" s="6">
        <v>0.7416666666666667</v>
      </c>
      <c r="K1733" s="7" t="s">
        <v>13</v>
      </c>
      <c r="L1733" s="7" t="s">
        <v>27</v>
      </c>
      <c r="M1733" s="7" t="s">
        <v>15</v>
      </c>
      <c r="N1733" s="7">
        <f>COUNTIFS(A:A,A1733,D:D,D1733,E:E,I1733)</f>
        <v>0</v>
      </c>
    </row>
    <row r="1734" spans="1:14" x14ac:dyDescent="0.3">
      <c r="A1734" s="7" t="s">
        <v>171</v>
      </c>
      <c r="B1734" s="7" t="s">
        <v>172</v>
      </c>
      <c r="C1734" s="7" t="s">
        <v>425</v>
      </c>
      <c r="D1734" s="8">
        <v>45598</v>
      </c>
      <c r="E1734" s="8" t="str">
        <f t="shared" si="107"/>
        <v>November</v>
      </c>
      <c r="F1734">
        <f t="shared" si="108"/>
        <v>2024</v>
      </c>
      <c r="G1734">
        <f t="shared" si="109"/>
        <v>1</v>
      </c>
      <c r="H1734">
        <f t="shared" si="110"/>
        <v>0</v>
      </c>
      <c r="I1734" s="6">
        <v>0.42569444444444443</v>
      </c>
      <c r="J1734" s="6">
        <v>0.69444444444444442</v>
      </c>
      <c r="K1734" s="7" t="s">
        <v>20</v>
      </c>
      <c r="L1734" s="7" t="s">
        <v>14</v>
      </c>
      <c r="M1734" s="7" t="s">
        <v>21</v>
      </c>
      <c r="N1734" s="7">
        <f>COUNTIFS(A:A,A1734,D:D,D1734,E:E,I1734)</f>
        <v>0</v>
      </c>
    </row>
    <row r="1735" spans="1:14" x14ac:dyDescent="0.3">
      <c r="A1735" s="7" t="s">
        <v>48</v>
      </c>
      <c r="B1735" s="7" t="s">
        <v>49</v>
      </c>
      <c r="C1735" s="7" t="s">
        <v>42</v>
      </c>
      <c r="D1735" s="8">
        <v>45368</v>
      </c>
      <c r="E1735" s="8" t="str">
        <f t="shared" si="107"/>
        <v>March</v>
      </c>
      <c r="F1735">
        <f t="shared" si="108"/>
        <v>2024</v>
      </c>
      <c r="G1735">
        <f t="shared" si="109"/>
        <v>0</v>
      </c>
      <c r="H1735">
        <f t="shared" si="110"/>
        <v>0</v>
      </c>
      <c r="I1735" s="6"/>
      <c r="J1735" s="6"/>
      <c r="K1735" s="7" t="s">
        <v>44</v>
      </c>
      <c r="L1735" s="7" t="s">
        <v>27</v>
      </c>
      <c r="M1735" s="7" t="s">
        <v>21</v>
      </c>
      <c r="N1735" s="7">
        <f>COUNTIFS(A:A,A1735,D:D,D1735,E:E,I1735)</f>
        <v>0</v>
      </c>
    </row>
    <row r="1736" spans="1:14" x14ac:dyDescent="0.3">
      <c r="A1736" s="7" t="s">
        <v>69</v>
      </c>
      <c r="B1736" s="7" t="s">
        <v>70</v>
      </c>
      <c r="C1736" s="7" t="s">
        <v>60</v>
      </c>
      <c r="D1736" s="8">
        <v>45336</v>
      </c>
      <c r="E1736" s="8" t="str">
        <f t="shared" si="107"/>
        <v>February</v>
      </c>
      <c r="F1736">
        <f t="shared" si="108"/>
        <v>2024</v>
      </c>
      <c r="G1736">
        <f t="shared" si="109"/>
        <v>0</v>
      </c>
      <c r="H1736">
        <f t="shared" si="110"/>
        <v>0</v>
      </c>
      <c r="I1736" s="6"/>
      <c r="J1736" s="6"/>
      <c r="K1736" s="7" t="s">
        <v>44</v>
      </c>
      <c r="L1736" s="7" t="s">
        <v>27</v>
      </c>
      <c r="M1736" s="7" t="s">
        <v>15</v>
      </c>
      <c r="N1736" s="7">
        <f>COUNTIFS(A:A,A1736,D:D,D1736,E:E,I1736)</f>
        <v>0</v>
      </c>
    </row>
    <row r="1737" spans="1:14" x14ac:dyDescent="0.3">
      <c r="A1737" s="7" t="s">
        <v>62</v>
      </c>
      <c r="B1737" s="7" t="s">
        <v>63</v>
      </c>
      <c r="C1737" s="7" t="s">
        <v>426</v>
      </c>
      <c r="D1737" s="8">
        <v>45374</v>
      </c>
      <c r="E1737" s="8" t="str">
        <f t="shared" si="107"/>
        <v>March</v>
      </c>
      <c r="F1737">
        <f t="shared" si="108"/>
        <v>2024</v>
      </c>
      <c r="G1737">
        <f t="shared" si="109"/>
        <v>0</v>
      </c>
      <c r="H1737">
        <f t="shared" si="110"/>
        <v>0</v>
      </c>
      <c r="I1737" s="6"/>
      <c r="J1737" s="6"/>
      <c r="K1737" s="7" t="s">
        <v>44</v>
      </c>
      <c r="L1737" s="7" t="s">
        <v>27</v>
      </c>
      <c r="M1737" s="7" t="s">
        <v>15</v>
      </c>
      <c r="N1737" s="7">
        <f>COUNTIFS(A:A,A1737,D:D,D1737,E:E,I1737)</f>
        <v>0</v>
      </c>
    </row>
    <row r="1738" spans="1:14" x14ac:dyDescent="0.3">
      <c r="A1738" s="7" t="s">
        <v>165</v>
      </c>
      <c r="B1738" s="7" t="s">
        <v>166</v>
      </c>
      <c r="C1738" s="7" t="s">
        <v>425</v>
      </c>
      <c r="D1738" s="8">
        <v>45347</v>
      </c>
      <c r="E1738" s="8" t="str">
        <f t="shared" si="107"/>
        <v>February</v>
      </c>
      <c r="F1738">
        <f t="shared" si="108"/>
        <v>2024</v>
      </c>
      <c r="G1738">
        <f t="shared" si="109"/>
        <v>1</v>
      </c>
      <c r="H1738">
        <f t="shared" si="110"/>
        <v>1</v>
      </c>
      <c r="I1738" s="6">
        <v>0.46527777777777779</v>
      </c>
      <c r="J1738" s="6">
        <v>0.74791666666666667</v>
      </c>
      <c r="K1738" s="7" t="s">
        <v>26</v>
      </c>
      <c r="L1738" s="7" t="s">
        <v>14</v>
      </c>
      <c r="M1738" s="7" t="s">
        <v>21</v>
      </c>
      <c r="N1738" s="7">
        <f>COUNTIFS(A:A,A1738,D:D,D1738,E:E,I1738)</f>
        <v>0</v>
      </c>
    </row>
    <row r="1739" spans="1:14" x14ac:dyDescent="0.3">
      <c r="A1739" s="7" t="s">
        <v>69</v>
      </c>
      <c r="B1739" s="7" t="s">
        <v>70</v>
      </c>
      <c r="C1739" s="7" t="s">
        <v>425</v>
      </c>
      <c r="D1739" s="8">
        <v>45315</v>
      </c>
      <c r="E1739" s="8" t="str">
        <f t="shared" si="107"/>
        <v>January</v>
      </c>
      <c r="F1739">
        <f t="shared" si="108"/>
        <v>2024</v>
      </c>
      <c r="G1739">
        <f t="shared" si="109"/>
        <v>1</v>
      </c>
      <c r="H1739">
        <f t="shared" si="110"/>
        <v>1</v>
      </c>
      <c r="I1739" s="6">
        <v>0.47638888888888886</v>
      </c>
      <c r="J1739" s="6">
        <v>0.83680555555555558</v>
      </c>
      <c r="K1739" s="7" t="s">
        <v>26</v>
      </c>
      <c r="L1739" s="7" t="s">
        <v>14</v>
      </c>
      <c r="M1739" s="7" t="s">
        <v>15</v>
      </c>
      <c r="N1739" s="7">
        <f>COUNTIFS(A:A,A1739,D:D,D1739,E:E,I1739)</f>
        <v>0</v>
      </c>
    </row>
    <row r="1740" spans="1:14" x14ac:dyDescent="0.3">
      <c r="A1740" s="7" t="s">
        <v>204</v>
      </c>
      <c r="B1740" s="7" t="s">
        <v>205</v>
      </c>
      <c r="C1740" s="7" t="s">
        <v>42</v>
      </c>
      <c r="D1740" s="8">
        <v>45506</v>
      </c>
      <c r="E1740" s="8" t="str">
        <f t="shared" si="107"/>
        <v>August</v>
      </c>
      <c r="F1740">
        <f t="shared" si="108"/>
        <v>2024</v>
      </c>
      <c r="G1740">
        <f t="shared" si="109"/>
        <v>1</v>
      </c>
      <c r="H1740">
        <f t="shared" si="110"/>
        <v>0</v>
      </c>
      <c r="I1740" s="6">
        <v>0.48541666666666666</v>
      </c>
      <c r="J1740" s="6">
        <v>0.71805555555555556</v>
      </c>
      <c r="K1740" s="7" t="s">
        <v>20</v>
      </c>
      <c r="L1740" s="7" t="s">
        <v>27</v>
      </c>
      <c r="M1740" s="7" t="s">
        <v>21</v>
      </c>
      <c r="N1740" s="7">
        <f>COUNTIFS(A:A,A1740,D:D,D1740,E:E,I1740)</f>
        <v>0</v>
      </c>
    </row>
    <row r="1741" spans="1:14" x14ac:dyDescent="0.3">
      <c r="A1741" s="7" t="s">
        <v>84</v>
      </c>
      <c r="B1741" s="7" t="s">
        <v>85</v>
      </c>
      <c r="C1741" s="7" t="s">
        <v>426</v>
      </c>
      <c r="D1741" s="8">
        <v>45367</v>
      </c>
      <c r="E1741" s="8" t="str">
        <f t="shared" si="107"/>
        <v>March</v>
      </c>
      <c r="F1741">
        <f t="shared" si="108"/>
        <v>2024</v>
      </c>
      <c r="G1741">
        <f t="shared" si="109"/>
        <v>1</v>
      </c>
      <c r="H1741">
        <f t="shared" si="110"/>
        <v>0</v>
      </c>
      <c r="I1741" s="6">
        <v>0.34513888888888888</v>
      </c>
      <c r="J1741" s="6">
        <v>0.74791666666666667</v>
      </c>
      <c r="K1741" s="7" t="s">
        <v>20</v>
      </c>
      <c r="L1741" s="7" t="s">
        <v>27</v>
      </c>
      <c r="M1741" s="7" t="s">
        <v>21</v>
      </c>
      <c r="N1741" s="7">
        <f>COUNTIFS(A:A,A1741,D:D,D1741,E:E,I1741)</f>
        <v>0</v>
      </c>
    </row>
    <row r="1742" spans="1:14" x14ac:dyDescent="0.3">
      <c r="A1742" s="7" t="s">
        <v>48</v>
      </c>
      <c r="B1742" s="7" t="s">
        <v>49</v>
      </c>
      <c r="C1742" s="7" t="s">
        <v>60</v>
      </c>
      <c r="D1742" s="8">
        <v>45314</v>
      </c>
      <c r="E1742" s="8" t="str">
        <f t="shared" si="107"/>
        <v>January</v>
      </c>
      <c r="F1742">
        <f t="shared" si="108"/>
        <v>2024</v>
      </c>
      <c r="G1742">
        <f t="shared" si="109"/>
        <v>1</v>
      </c>
      <c r="H1742">
        <f t="shared" si="110"/>
        <v>1</v>
      </c>
      <c r="I1742" s="6">
        <v>0.39097222222222222</v>
      </c>
      <c r="J1742" s="6">
        <v>0.86041666666666672</v>
      </c>
      <c r="K1742" s="7" t="s">
        <v>26</v>
      </c>
      <c r="L1742" s="7" t="s">
        <v>14</v>
      </c>
      <c r="M1742" s="7" t="s">
        <v>21</v>
      </c>
      <c r="N1742" s="7">
        <f>COUNTIFS(A:A,A1742,D:D,D1742,E:E,I1742)</f>
        <v>0</v>
      </c>
    </row>
    <row r="1743" spans="1:14" x14ac:dyDescent="0.3">
      <c r="A1743" s="7" t="s">
        <v>171</v>
      </c>
      <c r="B1743" s="7" t="s">
        <v>172</v>
      </c>
      <c r="C1743" s="7" t="s">
        <v>42</v>
      </c>
      <c r="D1743" s="8">
        <v>45372</v>
      </c>
      <c r="E1743" s="8" t="str">
        <f t="shared" si="107"/>
        <v>March</v>
      </c>
      <c r="F1743">
        <f t="shared" si="108"/>
        <v>2024</v>
      </c>
      <c r="G1743">
        <f t="shared" si="109"/>
        <v>0</v>
      </c>
      <c r="H1743">
        <f t="shared" si="110"/>
        <v>0</v>
      </c>
      <c r="I1743" s="6"/>
      <c r="J1743" s="6"/>
      <c r="K1743" s="7" t="s">
        <v>44</v>
      </c>
      <c r="L1743" s="7" t="s">
        <v>14</v>
      </c>
      <c r="M1743" s="7" t="s">
        <v>15</v>
      </c>
      <c r="N1743" s="7">
        <f>COUNTIFS(A:A,A1743,D:D,D1743,E:E,I1743)</f>
        <v>0</v>
      </c>
    </row>
    <row r="1744" spans="1:14" x14ac:dyDescent="0.3">
      <c r="A1744" s="7" t="s">
        <v>250</v>
      </c>
      <c r="B1744" s="7" t="s">
        <v>251</v>
      </c>
      <c r="C1744" s="7" t="s">
        <v>60</v>
      </c>
      <c r="D1744" s="8">
        <v>45567</v>
      </c>
      <c r="E1744" s="8" t="str">
        <f t="shared" si="107"/>
        <v>October</v>
      </c>
      <c r="F1744">
        <f t="shared" si="108"/>
        <v>2024</v>
      </c>
      <c r="G1744">
        <f t="shared" si="109"/>
        <v>0</v>
      </c>
      <c r="H1744">
        <f t="shared" si="110"/>
        <v>0</v>
      </c>
      <c r="I1744" s="6"/>
      <c r="J1744" s="6"/>
      <c r="K1744" s="7" t="s">
        <v>44</v>
      </c>
      <c r="L1744" s="7" t="s">
        <v>27</v>
      </c>
      <c r="M1744" s="7" t="s">
        <v>21</v>
      </c>
      <c r="N1744" s="7">
        <f>COUNTIFS(A:A,A1744,D:D,D1744,E:E,I1744)</f>
        <v>0</v>
      </c>
    </row>
    <row r="1745" spans="1:14" x14ac:dyDescent="0.3">
      <c r="A1745" s="7" t="s">
        <v>9</v>
      </c>
      <c r="B1745" s="7" t="s">
        <v>10</v>
      </c>
      <c r="C1745" s="7" t="s">
        <v>426</v>
      </c>
      <c r="D1745" s="8">
        <v>45316</v>
      </c>
      <c r="E1745" s="8" t="str">
        <f t="shared" si="107"/>
        <v>January</v>
      </c>
      <c r="F1745">
        <f t="shared" si="108"/>
        <v>2024</v>
      </c>
      <c r="G1745">
        <f t="shared" si="109"/>
        <v>1</v>
      </c>
      <c r="H1745">
        <f t="shared" si="110"/>
        <v>0</v>
      </c>
      <c r="I1745" s="6">
        <v>0.36875000000000002</v>
      </c>
      <c r="J1745" s="6">
        <v>0.81666666666666665</v>
      </c>
      <c r="K1745" s="7" t="s">
        <v>13</v>
      </c>
      <c r="L1745" s="7" t="s">
        <v>14</v>
      </c>
      <c r="M1745" s="7" t="s">
        <v>15</v>
      </c>
      <c r="N1745" s="7">
        <f>COUNTIFS(A:A,A1745,D:D,D1745,E:E,I1745)</f>
        <v>0</v>
      </c>
    </row>
    <row r="1746" spans="1:14" x14ac:dyDescent="0.3">
      <c r="A1746" s="7" t="s">
        <v>171</v>
      </c>
      <c r="B1746" s="7" t="s">
        <v>172</v>
      </c>
      <c r="C1746" s="7" t="s">
        <v>425</v>
      </c>
      <c r="D1746" s="8">
        <v>45368</v>
      </c>
      <c r="E1746" s="8" t="str">
        <f t="shared" si="107"/>
        <v>March</v>
      </c>
      <c r="F1746">
        <f t="shared" si="108"/>
        <v>2024</v>
      </c>
      <c r="G1746">
        <f t="shared" si="109"/>
        <v>1</v>
      </c>
      <c r="H1746">
        <f t="shared" si="110"/>
        <v>0</v>
      </c>
      <c r="I1746" s="6">
        <v>0.45833333333333331</v>
      </c>
      <c r="J1746" s="6">
        <v>0.73472222222222228</v>
      </c>
      <c r="K1746" s="7" t="s">
        <v>20</v>
      </c>
      <c r="L1746" s="7" t="s">
        <v>14</v>
      </c>
      <c r="M1746" s="7" t="s">
        <v>21</v>
      </c>
      <c r="N1746" s="7">
        <f>COUNTIFS(A:A,A1746,D:D,D1746,E:E,I1746)</f>
        <v>0</v>
      </c>
    </row>
    <row r="1747" spans="1:14" x14ac:dyDescent="0.3">
      <c r="A1747" s="7" t="s">
        <v>269</v>
      </c>
      <c r="B1747" s="7" t="s">
        <v>270</v>
      </c>
      <c r="C1747" s="7" t="s">
        <v>425</v>
      </c>
      <c r="D1747" s="8">
        <v>45536</v>
      </c>
      <c r="E1747" s="8" t="str">
        <f t="shared" si="107"/>
        <v>September</v>
      </c>
      <c r="F1747">
        <f t="shared" si="108"/>
        <v>2024</v>
      </c>
      <c r="G1747">
        <f t="shared" si="109"/>
        <v>1</v>
      </c>
      <c r="H1747">
        <f t="shared" si="110"/>
        <v>0</v>
      </c>
      <c r="I1747" s="6">
        <v>0.37361111111111112</v>
      </c>
      <c r="J1747" s="6">
        <v>0.80486111111111114</v>
      </c>
      <c r="K1747" s="7" t="s">
        <v>20</v>
      </c>
      <c r="L1747" s="7" t="s">
        <v>27</v>
      </c>
      <c r="M1747" s="7" t="s">
        <v>21</v>
      </c>
      <c r="N1747" s="7">
        <f>COUNTIFS(A:A,A1747,D:D,D1747,E:E,I1747)</f>
        <v>0</v>
      </c>
    </row>
    <row r="1748" spans="1:14" x14ac:dyDescent="0.3">
      <c r="A1748" s="7" t="s">
        <v>194</v>
      </c>
      <c r="B1748" s="7" t="s">
        <v>195</v>
      </c>
      <c r="C1748" s="7" t="s">
        <v>425</v>
      </c>
      <c r="D1748" s="8">
        <v>45365</v>
      </c>
      <c r="E1748" s="8" t="str">
        <f t="shared" si="107"/>
        <v>March</v>
      </c>
      <c r="F1748">
        <f t="shared" si="108"/>
        <v>2024</v>
      </c>
      <c r="G1748">
        <f t="shared" si="109"/>
        <v>1</v>
      </c>
      <c r="H1748">
        <f t="shared" si="110"/>
        <v>1</v>
      </c>
      <c r="I1748" s="6">
        <v>0.48472222222222222</v>
      </c>
      <c r="J1748" s="6">
        <v>0.74097222222222225</v>
      </c>
      <c r="K1748" s="7" t="s">
        <v>26</v>
      </c>
      <c r="L1748" s="7" t="s">
        <v>27</v>
      </c>
      <c r="M1748" s="7" t="s">
        <v>21</v>
      </c>
      <c r="N1748" s="7">
        <f>COUNTIFS(A:A,A1748,D:D,D1748,E:E,I1748)</f>
        <v>0</v>
      </c>
    </row>
    <row r="1749" spans="1:14" x14ac:dyDescent="0.3">
      <c r="A1749" s="7" t="s">
        <v>22</v>
      </c>
      <c r="B1749" s="7" t="s">
        <v>23</v>
      </c>
      <c r="C1749" s="7" t="s">
        <v>426</v>
      </c>
      <c r="D1749" s="8">
        <v>45381</v>
      </c>
      <c r="E1749" s="8" t="str">
        <f t="shared" si="107"/>
        <v>March</v>
      </c>
      <c r="F1749">
        <f t="shared" si="108"/>
        <v>2024</v>
      </c>
      <c r="G1749">
        <f t="shared" si="109"/>
        <v>1</v>
      </c>
      <c r="H1749">
        <f t="shared" si="110"/>
        <v>0</v>
      </c>
      <c r="I1749" s="6">
        <v>0.40694444444444444</v>
      </c>
      <c r="J1749" s="6">
        <v>0.71111111111111114</v>
      </c>
      <c r="K1749" s="7" t="s">
        <v>13</v>
      </c>
      <c r="L1749" s="7" t="s">
        <v>14</v>
      </c>
      <c r="M1749" s="7" t="s">
        <v>21</v>
      </c>
      <c r="N1749" s="7">
        <f>COUNTIFS(A:A,A1749,D:D,D1749,E:E,I1749)</f>
        <v>0</v>
      </c>
    </row>
    <row r="1750" spans="1:14" x14ac:dyDescent="0.3">
      <c r="A1750" s="7" t="s">
        <v>40</v>
      </c>
      <c r="B1750" s="7" t="s">
        <v>41</v>
      </c>
      <c r="C1750" s="7" t="s">
        <v>426</v>
      </c>
      <c r="D1750" s="8">
        <v>45340</v>
      </c>
      <c r="E1750" s="8" t="str">
        <f t="shared" si="107"/>
        <v>February</v>
      </c>
      <c r="F1750">
        <f t="shared" si="108"/>
        <v>2024</v>
      </c>
      <c r="G1750">
        <f t="shared" si="109"/>
        <v>1</v>
      </c>
      <c r="H1750">
        <f t="shared" si="110"/>
        <v>0</v>
      </c>
      <c r="I1750" s="6">
        <v>0.39513888888888887</v>
      </c>
      <c r="J1750" s="6">
        <v>0.7006944444444444</v>
      </c>
      <c r="K1750" s="7" t="s">
        <v>13</v>
      </c>
      <c r="L1750" s="7" t="s">
        <v>14</v>
      </c>
      <c r="M1750" s="7" t="s">
        <v>21</v>
      </c>
      <c r="N1750" s="7">
        <f>COUNTIFS(A:A,A1750,D:D,D1750,E:E,I1750)</f>
        <v>0</v>
      </c>
    </row>
    <row r="1751" spans="1:14" x14ac:dyDescent="0.3">
      <c r="A1751" s="7" t="s">
        <v>200</v>
      </c>
      <c r="B1751" s="7" t="s">
        <v>201</v>
      </c>
      <c r="C1751" s="7" t="s">
        <v>60</v>
      </c>
      <c r="D1751" s="8">
        <v>45292</v>
      </c>
      <c r="E1751" s="8" t="str">
        <f t="shared" si="107"/>
        <v>January</v>
      </c>
      <c r="F1751">
        <f t="shared" si="108"/>
        <v>2024</v>
      </c>
      <c r="G1751">
        <f t="shared" si="109"/>
        <v>1</v>
      </c>
      <c r="H1751">
        <f t="shared" si="110"/>
        <v>1</v>
      </c>
      <c r="I1751" s="6">
        <v>0.37013888888888891</v>
      </c>
      <c r="J1751" s="6">
        <v>0.71111111111111114</v>
      </c>
      <c r="K1751" s="7" t="s">
        <v>26</v>
      </c>
      <c r="L1751" s="7" t="s">
        <v>27</v>
      </c>
      <c r="M1751" s="7" t="s">
        <v>21</v>
      </c>
      <c r="N1751" s="7">
        <f>COUNTIFS(A:A,A1751,D:D,D1751,E:E,I1751)</f>
        <v>0</v>
      </c>
    </row>
    <row r="1752" spans="1:14" x14ac:dyDescent="0.3">
      <c r="A1752" s="7" t="s">
        <v>150</v>
      </c>
      <c r="B1752" s="7" t="s">
        <v>151</v>
      </c>
      <c r="C1752" s="7" t="s">
        <v>60</v>
      </c>
      <c r="D1752" s="8">
        <v>45599</v>
      </c>
      <c r="E1752" s="8" t="str">
        <f t="shared" si="107"/>
        <v>November</v>
      </c>
      <c r="F1752">
        <f t="shared" si="108"/>
        <v>2024</v>
      </c>
      <c r="G1752">
        <f t="shared" si="109"/>
        <v>1</v>
      </c>
      <c r="H1752">
        <f t="shared" si="110"/>
        <v>0</v>
      </c>
      <c r="I1752" s="6">
        <v>0.34930555555555554</v>
      </c>
      <c r="J1752" s="6">
        <v>0.69861111111111107</v>
      </c>
      <c r="K1752" s="7" t="s">
        <v>13</v>
      </c>
      <c r="L1752" s="7" t="s">
        <v>27</v>
      </c>
      <c r="M1752" s="7" t="s">
        <v>15</v>
      </c>
      <c r="N1752" s="7">
        <f>COUNTIFS(A:A,A1752,D:D,D1752,E:E,I1752)</f>
        <v>0</v>
      </c>
    </row>
    <row r="1753" spans="1:14" x14ac:dyDescent="0.3">
      <c r="A1753" s="7" t="s">
        <v>72</v>
      </c>
      <c r="B1753" s="7" t="s">
        <v>73</v>
      </c>
      <c r="C1753" s="7" t="s">
        <v>60</v>
      </c>
      <c r="D1753" s="8">
        <v>45379</v>
      </c>
      <c r="E1753" s="8" t="str">
        <f t="shared" si="107"/>
        <v>March</v>
      </c>
      <c r="F1753">
        <f t="shared" si="108"/>
        <v>2024</v>
      </c>
      <c r="G1753">
        <f t="shared" si="109"/>
        <v>0</v>
      </c>
      <c r="H1753">
        <f t="shared" si="110"/>
        <v>0</v>
      </c>
      <c r="I1753" s="6"/>
      <c r="J1753" s="6"/>
      <c r="K1753" s="7" t="s">
        <v>44</v>
      </c>
      <c r="L1753" s="7" t="s">
        <v>14</v>
      </c>
      <c r="M1753" s="7" t="s">
        <v>21</v>
      </c>
      <c r="N1753" s="7">
        <f>COUNTIFS(A:A,A1753,D:D,D1753,E:E,I1753)</f>
        <v>0</v>
      </c>
    </row>
    <row r="1754" spans="1:14" x14ac:dyDescent="0.3">
      <c r="A1754" s="7" t="s">
        <v>141</v>
      </c>
      <c r="B1754" s="7" t="s">
        <v>142</v>
      </c>
      <c r="C1754" s="7" t="s">
        <v>60</v>
      </c>
      <c r="D1754" s="8">
        <v>45339</v>
      </c>
      <c r="E1754" s="8" t="str">
        <f t="shared" si="107"/>
        <v>February</v>
      </c>
      <c r="F1754">
        <f t="shared" si="108"/>
        <v>2024</v>
      </c>
      <c r="G1754">
        <f t="shared" si="109"/>
        <v>0</v>
      </c>
      <c r="H1754">
        <f t="shared" si="110"/>
        <v>0</v>
      </c>
      <c r="I1754" s="6"/>
      <c r="J1754" s="6"/>
      <c r="K1754" s="7" t="s">
        <v>44</v>
      </c>
      <c r="L1754" s="7" t="s">
        <v>27</v>
      </c>
      <c r="M1754" s="7" t="s">
        <v>21</v>
      </c>
      <c r="N1754" s="7">
        <f>COUNTIFS(A:A,A1754,D:D,D1754,E:E,I1754)</f>
        <v>0</v>
      </c>
    </row>
    <row r="1755" spans="1:14" x14ac:dyDescent="0.3">
      <c r="A1755" s="7" t="s">
        <v>138</v>
      </c>
      <c r="B1755" s="7" t="s">
        <v>139</v>
      </c>
      <c r="C1755" s="7" t="s">
        <v>42</v>
      </c>
      <c r="D1755" s="8">
        <v>45318</v>
      </c>
      <c r="E1755" s="8" t="str">
        <f t="shared" si="107"/>
        <v>January</v>
      </c>
      <c r="F1755">
        <f t="shared" si="108"/>
        <v>2024</v>
      </c>
      <c r="G1755">
        <f t="shared" si="109"/>
        <v>1</v>
      </c>
      <c r="H1755">
        <f t="shared" si="110"/>
        <v>1</v>
      </c>
      <c r="I1755" s="6">
        <v>0.45902777777777776</v>
      </c>
      <c r="J1755" s="6">
        <v>0.72499999999999998</v>
      </c>
      <c r="K1755" s="7" t="s">
        <v>26</v>
      </c>
      <c r="L1755" s="7" t="s">
        <v>27</v>
      </c>
      <c r="M1755" s="7" t="s">
        <v>15</v>
      </c>
      <c r="N1755" s="7">
        <f>COUNTIFS(A:A,A1755,D:D,D1755,E:E,I1755)</f>
        <v>0</v>
      </c>
    </row>
    <row r="1756" spans="1:14" x14ac:dyDescent="0.3">
      <c r="A1756" s="7" t="s">
        <v>362</v>
      </c>
      <c r="B1756" s="7" t="s">
        <v>363</v>
      </c>
      <c r="C1756" s="7" t="s">
        <v>60</v>
      </c>
      <c r="D1756" s="8">
        <v>45297</v>
      </c>
      <c r="E1756" s="8" t="str">
        <f t="shared" si="107"/>
        <v>January</v>
      </c>
      <c r="F1756">
        <f t="shared" si="108"/>
        <v>2024</v>
      </c>
      <c r="G1756">
        <f t="shared" si="109"/>
        <v>1</v>
      </c>
      <c r="H1756">
        <f t="shared" si="110"/>
        <v>0</v>
      </c>
      <c r="I1756" s="6">
        <v>0.44166666666666665</v>
      </c>
      <c r="J1756" s="6">
        <v>0.67361111111111116</v>
      </c>
      <c r="K1756" s="7" t="s">
        <v>13</v>
      </c>
      <c r="L1756" s="7" t="s">
        <v>14</v>
      </c>
      <c r="M1756" s="7" t="s">
        <v>21</v>
      </c>
      <c r="N1756" s="7">
        <f>COUNTIFS(A:A,A1756,D:D,D1756,E:E,I1756)</f>
        <v>0</v>
      </c>
    </row>
    <row r="1757" spans="1:14" x14ac:dyDescent="0.3">
      <c r="A1757" s="7" t="s">
        <v>130</v>
      </c>
      <c r="B1757" s="7" t="s">
        <v>131</v>
      </c>
      <c r="C1757" s="7" t="s">
        <v>60</v>
      </c>
      <c r="D1757" s="8">
        <v>45371</v>
      </c>
      <c r="E1757" s="8" t="str">
        <f t="shared" si="107"/>
        <v>March</v>
      </c>
      <c r="F1757">
        <f t="shared" si="108"/>
        <v>2024</v>
      </c>
      <c r="G1757">
        <f t="shared" si="109"/>
        <v>1</v>
      </c>
      <c r="H1757">
        <f t="shared" si="110"/>
        <v>0</v>
      </c>
      <c r="I1757" s="6">
        <v>0.36666666666666664</v>
      </c>
      <c r="J1757" s="6">
        <v>0.68055555555555558</v>
      </c>
      <c r="K1757" s="7" t="s">
        <v>13</v>
      </c>
      <c r="L1757" s="7" t="s">
        <v>27</v>
      </c>
      <c r="M1757" s="7" t="s">
        <v>15</v>
      </c>
      <c r="N1757" s="7">
        <f>COUNTIFS(A:A,A1757,D:D,D1757,E:E,I1757)</f>
        <v>0</v>
      </c>
    </row>
    <row r="1758" spans="1:14" x14ac:dyDescent="0.3">
      <c r="A1758" s="7" t="s">
        <v>194</v>
      </c>
      <c r="B1758" s="7" t="s">
        <v>195</v>
      </c>
      <c r="C1758" s="7" t="s">
        <v>42</v>
      </c>
      <c r="D1758" s="8">
        <v>45346</v>
      </c>
      <c r="E1758" s="8" t="str">
        <f t="shared" si="107"/>
        <v>February</v>
      </c>
      <c r="F1758">
        <f t="shared" si="108"/>
        <v>2024</v>
      </c>
      <c r="G1758">
        <f t="shared" si="109"/>
        <v>1</v>
      </c>
      <c r="H1758">
        <f t="shared" si="110"/>
        <v>0</v>
      </c>
      <c r="I1758" s="6">
        <v>0.45</v>
      </c>
      <c r="J1758" s="6">
        <v>0.78749999999999998</v>
      </c>
      <c r="K1758" s="7" t="s">
        <v>13</v>
      </c>
      <c r="L1758" s="7" t="s">
        <v>14</v>
      </c>
      <c r="M1758" s="7" t="s">
        <v>15</v>
      </c>
      <c r="N1758" s="7">
        <f>COUNTIFS(A:A,A1758,D:D,D1758,E:E,I1758)</f>
        <v>0</v>
      </c>
    </row>
    <row r="1759" spans="1:14" x14ac:dyDescent="0.3">
      <c r="A1759" s="7" t="s">
        <v>22</v>
      </c>
      <c r="B1759" s="7" t="s">
        <v>23</v>
      </c>
      <c r="C1759" s="7" t="s">
        <v>425</v>
      </c>
      <c r="D1759" s="8">
        <v>45307</v>
      </c>
      <c r="E1759" s="8" t="str">
        <f t="shared" si="107"/>
        <v>January</v>
      </c>
      <c r="F1759">
        <f t="shared" si="108"/>
        <v>2024</v>
      </c>
      <c r="G1759">
        <f t="shared" si="109"/>
        <v>1</v>
      </c>
      <c r="H1759">
        <f t="shared" si="110"/>
        <v>0</v>
      </c>
      <c r="I1759" s="6">
        <v>0.46111111111111114</v>
      </c>
      <c r="J1759" s="6">
        <v>0.8125</v>
      </c>
      <c r="K1759" s="7" t="s">
        <v>20</v>
      </c>
      <c r="L1759" s="7" t="s">
        <v>27</v>
      </c>
      <c r="M1759" s="7" t="s">
        <v>21</v>
      </c>
      <c r="N1759" s="7">
        <f>COUNTIFS(A:A,A1759,D:D,D1759,E:E,I1759)</f>
        <v>0</v>
      </c>
    </row>
    <row r="1760" spans="1:14" x14ac:dyDescent="0.3">
      <c r="A1760" s="7" t="s">
        <v>134</v>
      </c>
      <c r="B1760" s="7" t="s">
        <v>135</v>
      </c>
      <c r="C1760" s="7" t="s">
        <v>42</v>
      </c>
      <c r="D1760" s="8">
        <v>45537</v>
      </c>
      <c r="E1760" s="8" t="str">
        <f t="shared" si="107"/>
        <v>September</v>
      </c>
      <c r="F1760">
        <f t="shared" si="108"/>
        <v>2024</v>
      </c>
      <c r="G1760">
        <f t="shared" si="109"/>
        <v>1</v>
      </c>
      <c r="H1760">
        <f t="shared" si="110"/>
        <v>0</v>
      </c>
      <c r="I1760" s="6">
        <v>0.33333333333333331</v>
      </c>
      <c r="J1760" s="6">
        <v>0.69791666666666663</v>
      </c>
      <c r="K1760" s="7" t="s">
        <v>13</v>
      </c>
      <c r="L1760" s="7" t="s">
        <v>27</v>
      </c>
      <c r="M1760" s="7" t="s">
        <v>21</v>
      </c>
      <c r="N1760" s="7">
        <f>COUNTIFS(A:A,A1760,D:D,D1760,E:E,I1760)</f>
        <v>0</v>
      </c>
    </row>
    <row r="1761" spans="1:14" x14ac:dyDescent="0.3">
      <c r="A1761" s="7" t="s">
        <v>175</v>
      </c>
      <c r="B1761" s="7" t="s">
        <v>176</v>
      </c>
      <c r="C1761" s="7" t="s">
        <v>425</v>
      </c>
      <c r="D1761" s="8">
        <v>45373</v>
      </c>
      <c r="E1761" s="8" t="str">
        <f t="shared" si="107"/>
        <v>March</v>
      </c>
      <c r="F1761">
        <f t="shared" si="108"/>
        <v>2024</v>
      </c>
      <c r="G1761">
        <f t="shared" si="109"/>
        <v>1</v>
      </c>
      <c r="H1761">
        <f t="shared" si="110"/>
        <v>0</v>
      </c>
      <c r="I1761" s="6">
        <v>0.40763888888888888</v>
      </c>
      <c r="J1761" s="6">
        <v>0.71805555555555556</v>
      </c>
      <c r="K1761" s="7" t="s">
        <v>13</v>
      </c>
      <c r="L1761" s="7" t="s">
        <v>14</v>
      </c>
      <c r="M1761" s="7" t="s">
        <v>15</v>
      </c>
      <c r="N1761" s="7">
        <f>COUNTIFS(A:A,A1761,D:D,D1761,E:E,I1761)</f>
        <v>0</v>
      </c>
    </row>
    <row r="1762" spans="1:14" x14ac:dyDescent="0.3">
      <c r="A1762" s="7" t="s">
        <v>194</v>
      </c>
      <c r="B1762" s="7" t="s">
        <v>195</v>
      </c>
      <c r="C1762" s="7" t="s">
        <v>64</v>
      </c>
      <c r="D1762" s="8">
        <v>45314</v>
      </c>
      <c r="E1762" s="8" t="str">
        <f t="shared" si="107"/>
        <v>January</v>
      </c>
      <c r="F1762">
        <f t="shared" si="108"/>
        <v>2024</v>
      </c>
      <c r="G1762">
        <f t="shared" si="109"/>
        <v>1</v>
      </c>
      <c r="H1762">
        <f t="shared" si="110"/>
        <v>1</v>
      </c>
      <c r="I1762" s="6">
        <v>0.3576388888888889</v>
      </c>
      <c r="J1762" s="6">
        <v>0.75763888888888886</v>
      </c>
      <c r="K1762" s="7" t="s">
        <v>26</v>
      </c>
      <c r="L1762" s="7" t="s">
        <v>14</v>
      </c>
      <c r="M1762" s="7" t="s">
        <v>21</v>
      </c>
      <c r="N1762" s="7">
        <f>COUNTIFS(A:A,A1762,D:D,D1762,E:E,I1762)</f>
        <v>0</v>
      </c>
    </row>
    <row r="1763" spans="1:14" x14ac:dyDescent="0.3">
      <c r="A1763" s="7" t="s">
        <v>157</v>
      </c>
      <c r="B1763" s="7" t="s">
        <v>158</v>
      </c>
      <c r="C1763" s="7" t="s">
        <v>60</v>
      </c>
      <c r="D1763" s="8">
        <v>45380</v>
      </c>
      <c r="E1763" s="8" t="str">
        <f t="shared" si="107"/>
        <v>March</v>
      </c>
      <c r="F1763">
        <f t="shared" si="108"/>
        <v>2024</v>
      </c>
      <c r="G1763">
        <f t="shared" si="109"/>
        <v>1</v>
      </c>
      <c r="H1763">
        <f t="shared" si="110"/>
        <v>0</v>
      </c>
      <c r="I1763" s="6">
        <v>0.48541666666666666</v>
      </c>
      <c r="J1763" s="6">
        <v>0.68263888888888891</v>
      </c>
      <c r="K1763" s="7" t="s">
        <v>20</v>
      </c>
      <c r="L1763" s="7" t="s">
        <v>27</v>
      </c>
      <c r="M1763" s="7" t="s">
        <v>15</v>
      </c>
      <c r="N1763" s="7">
        <f>COUNTIFS(A:A,A1763,D:D,D1763,E:E,I1763)</f>
        <v>0</v>
      </c>
    </row>
    <row r="1764" spans="1:14" x14ac:dyDescent="0.3">
      <c r="A1764" s="7" t="s">
        <v>81</v>
      </c>
      <c r="B1764" s="7" t="s">
        <v>82</v>
      </c>
      <c r="C1764" s="7" t="s">
        <v>60</v>
      </c>
      <c r="D1764" s="8">
        <v>45354</v>
      </c>
      <c r="E1764" s="8" t="str">
        <f t="shared" si="107"/>
        <v>March</v>
      </c>
      <c r="F1764">
        <f t="shared" si="108"/>
        <v>2024</v>
      </c>
      <c r="G1764">
        <f t="shared" si="109"/>
        <v>0</v>
      </c>
      <c r="H1764">
        <f t="shared" si="110"/>
        <v>0</v>
      </c>
      <c r="I1764" s="6"/>
      <c r="J1764" s="6"/>
      <c r="K1764" s="7" t="s">
        <v>44</v>
      </c>
      <c r="L1764" s="7" t="s">
        <v>27</v>
      </c>
      <c r="M1764" s="7" t="s">
        <v>21</v>
      </c>
      <c r="N1764" s="7">
        <f>COUNTIFS(A:A,A1764,D:D,D1764,E:E,I1764)</f>
        <v>0</v>
      </c>
    </row>
    <row r="1765" spans="1:14" x14ac:dyDescent="0.3">
      <c r="A1765" s="7" t="s">
        <v>115</v>
      </c>
      <c r="B1765" s="7" t="s">
        <v>116</v>
      </c>
      <c r="C1765" s="7" t="s">
        <v>426</v>
      </c>
      <c r="D1765" s="8">
        <v>45365</v>
      </c>
      <c r="E1765" s="8" t="str">
        <f t="shared" si="107"/>
        <v>March</v>
      </c>
      <c r="F1765">
        <f t="shared" si="108"/>
        <v>2024</v>
      </c>
      <c r="G1765">
        <f t="shared" si="109"/>
        <v>0</v>
      </c>
      <c r="H1765">
        <f t="shared" si="110"/>
        <v>0</v>
      </c>
      <c r="I1765" s="6"/>
      <c r="J1765" s="6"/>
      <c r="K1765" s="7" t="s">
        <v>44</v>
      </c>
      <c r="L1765" s="7" t="s">
        <v>27</v>
      </c>
      <c r="M1765" s="7" t="s">
        <v>15</v>
      </c>
      <c r="N1765" s="7">
        <f>COUNTIFS(A:A,A1765,D:D,D1765,E:E,I1765)</f>
        <v>0</v>
      </c>
    </row>
    <row r="1766" spans="1:14" x14ac:dyDescent="0.3">
      <c r="A1766" s="7" t="s">
        <v>55</v>
      </c>
      <c r="B1766" s="7" t="s">
        <v>56</v>
      </c>
      <c r="C1766" s="7" t="s">
        <v>64</v>
      </c>
      <c r="D1766" s="8">
        <v>45325</v>
      </c>
      <c r="E1766" s="8" t="str">
        <f t="shared" si="107"/>
        <v>February</v>
      </c>
      <c r="F1766">
        <f t="shared" si="108"/>
        <v>2024</v>
      </c>
      <c r="G1766">
        <f t="shared" si="109"/>
        <v>1</v>
      </c>
      <c r="H1766">
        <f t="shared" si="110"/>
        <v>0</v>
      </c>
      <c r="I1766" s="6">
        <v>0.41597222222222224</v>
      </c>
      <c r="J1766" s="6">
        <v>0.78125</v>
      </c>
      <c r="K1766" s="7" t="s">
        <v>20</v>
      </c>
      <c r="L1766" s="7" t="s">
        <v>27</v>
      </c>
      <c r="M1766" s="7" t="s">
        <v>21</v>
      </c>
      <c r="N1766" s="7">
        <f>COUNTIFS(A:A,A1766,D:D,D1766,E:E,I1766)</f>
        <v>0</v>
      </c>
    </row>
    <row r="1767" spans="1:14" x14ac:dyDescent="0.3">
      <c r="A1767" s="7" t="s">
        <v>194</v>
      </c>
      <c r="B1767" s="7" t="s">
        <v>195</v>
      </c>
      <c r="C1767" s="7" t="s">
        <v>425</v>
      </c>
      <c r="D1767" s="8">
        <v>45363</v>
      </c>
      <c r="E1767" s="8" t="str">
        <f t="shared" si="107"/>
        <v>March</v>
      </c>
      <c r="F1767">
        <f t="shared" si="108"/>
        <v>2024</v>
      </c>
      <c r="G1767">
        <f t="shared" si="109"/>
        <v>1</v>
      </c>
      <c r="H1767">
        <f t="shared" si="110"/>
        <v>0</v>
      </c>
      <c r="I1767" s="6">
        <v>0.37847222222222221</v>
      </c>
      <c r="J1767" s="6">
        <v>0.8041666666666667</v>
      </c>
      <c r="K1767" s="7" t="s">
        <v>20</v>
      </c>
      <c r="L1767" s="7" t="s">
        <v>14</v>
      </c>
      <c r="M1767" s="7" t="s">
        <v>21</v>
      </c>
      <c r="N1767" s="7">
        <f>COUNTIFS(A:A,A1767,D:D,D1767,E:E,I1767)</f>
        <v>0</v>
      </c>
    </row>
    <row r="1768" spans="1:14" x14ac:dyDescent="0.3">
      <c r="A1768" s="7" t="s">
        <v>338</v>
      </c>
      <c r="B1768" s="7" t="s">
        <v>339</v>
      </c>
      <c r="C1768" s="7" t="s">
        <v>60</v>
      </c>
      <c r="D1768" s="8">
        <v>45628</v>
      </c>
      <c r="E1768" s="8" t="str">
        <f t="shared" si="107"/>
        <v>December</v>
      </c>
      <c r="F1768">
        <f t="shared" si="108"/>
        <v>2024</v>
      </c>
      <c r="G1768">
        <f t="shared" si="109"/>
        <v>1</v>
      </c>
      <c r="H1768">
        <f t="shared" si="110"/>
        <v>0</v>
      </c>
      <c r="I1768" s="6">
        <v>0.47222222222222221</v>
      </c>
      <c r="J1768" s="6">
        <v>0.70902777777777781</v>
      </c>
      <c r="K1768" s="7" t="s">
        <v>13</v>
      </c>
      <c r="L1768" s="7" t="s">
        <v>14</v>
      </c>
      <c r="M1768" s="7" t="s">
        <v>21</v>
      </c>
      <c r="N1768" s="7">
        <f>COUNTIFS(A:A,A1768,D:D,D1768,E:E,I1768)</f>
        <v>0</v>
      </c>
    </row>
    <row r="1769" spans="1:14" x14ac:dyDescent="0.3">
      <c r="A1769" s="7" t="s">
        <v>31</v>
      </c>
      <c r="B1769" s="7" t="s">
        <v>32</v>
      </c>
      <c r="C1769" s="7" t="s">
        <v>425</v>
      </c>
      <c r="D1769" s="8">
        <v>45349</v>
      </c>
      <c r="E1769" s="8" t="str">
        <f t="shared" si="107"/>
        <v>February</v>
      </c>
      <c r="F1769">
        <f t="shared" si="108"/>
        <v>2024</v>
      </c>
      <c r="G1769">
        <f t="shared" si="109"/>
        <v>1</v>
      </c>
      <c r="H1769">
        <f t="shared" si="110"/>
        <v>1</v>
      </c>
      <c r="I1769" s="6">
        <v>0.36944444444444446</v>
      </c>
      <c r="J1769" s="6">
        <v>0.78125</v>
      </c>
      <c r="K1769" s="7" t="s">
        <v>26</v>
      </c>
      <c r="L1769" s="7" t="s">
        <v>14</v>
      </c>
      <c r="M1769" s="7" t="s">
        <v>15</v>
      </c>
      <c r="N1769" s="7">
        <f>COUNTIFS(A:A,A1769,D:D,D1769,E:E,I1769)</f>
        <v>0</v>
      </c>
    </row>
    <row r="1770" spans="1:14" x14ac:dyDescent="0.3">
      <c r="A1770" s="7" t="s">
        <v>72</v>
      </c>
      <c r="B1770" s="7" t="s">
        <v>73</v>
      </c>
      <c r="C1770" s="7" t="s">
        <v>426</v>
      </c>
      <c r="D1770" s="8">
        <v>45341</v>
      </c>
      <c r="E1770" s="8" t="str">
        <f t="shared" si="107"/>
        <v>February</v>
      </c>
      <c r="F1770">
        <f t="shared" si="108"/>
        <v>2024</v>
      </c>
      <c r="G1770">
        <f t="shared" si="109"/>
        <v>1</v>
      </c>
      <c r="H1770">
        <f t="shared" si="110"/>
        <v>0</v>
      </c>
      <c r="I1770" s="6">
        <v>0.41249999999999998</v>
      </c>
      <c r="J1770" s="6">
        <v>0.85902777777777772</v>
      </c>
      <c r="K1770" s="7" t="s">
        <v>20</v>
      </c>
      <c r="L1770" s="7" t="s">
        <v>27</v>
      </c>
      <c r="M1770" s="7" t="s">
        <v>21</v>
      </c>
      <c r="N1770" s="7">
        <f>COUNTIFS(A:A,A1770,D:D,D1770,E:E,I1770)</f>
        <v>0</v>
      </c>
    </row>
    <row r="1771" spans="1:14" x14ac:dyDescent="0.3">
      <c r="A1771" s="7" t="s">
        <v>96</v>
      </c>
      <c r="B1771" s="7" t="s">
        <v>97</v>
      </c>
      <c r="C1771" s="7" t="s">
        <v>60</v>
      </c>
      <c r="D1771" s="8">
        <v>45366</v>
      </c>
      <c r="E1771" s="8" t="str">
        <f t="shared" si="107"/>
        <v>March</v>
      </c>
      <c r="F1771">
        <f t="shared" si="108"/>
        <v>2024</v>
      </c>
      <c r="G1771">
        <f t="shared" si="109"/>
        <v>1</v>
      </c>
      <c r="H1771">
        <f t="shared" si="110"/>
        <v>0</v>
      </c>
      <c r="I1771" s="6">
        <v>0.45277777777777778</v>
      </c>
      <c r="J1771" s="6">
        <v>0.6791666666666667</v>
      </c>
      <c r="K1771" s="7" t="s">
        <v>13</v>
      </c>
      <c r="L1771" s="7" t="s">
        <v>14</v>
      </c>
      <c r="M1771" s="7" t="s">
        <v>21</v>
      </c>
      <c r="N1771" s="7">
        <f>COUNTIFS(A:A,A1771,D:D,D1771,E:E,I1771)</f>
        <v>0</v>
      </c>
    </row>
    <row r="1772" spans="1:14" x14ac:dyDescent="0.3">
      <c r="A1772" s="7" t="s">
        <v>165</v>
      </c>
      <c r="B1772" s="7" t="s">
        <v>166</v>
      </c>
      <c r="C1772" s="7" t="s">
        <v>426</v>
      </c>
      <c r="D1772" s="8">
        <v>45357</v>
      </c>
      <c r="E1772" s="8" t="str">
        <f t="shared" si="107"/>
        <v>March</v>
      </c>
      <c r="F1772">
        <f t="shared" si="108"/>
        <v>2024</v>
      </c>
      <c r="G1772">
        <f t="shared" si="109"/>
        <v>1</v>
      </c>
      <c r="H1772">
        <f t="shared" si="110"/>
        <v>0</v>
      </c>
      <c r="I1772" s="6">
        <v>0.49722222222222223</v>
      </c>
      <c r="J1772" s="6">
        <v>0.70416666666666672</v>
      </c>
      <c r="K1772" s="7" t="s">
        <v>20</v>
      </c>
      <c r="L1772" s="7" t="s">
        <v>27</v>
      </c>
      <c r="M1772" s="7" t="s">
        <v>15</v>
      </c>
      <c r="N1772" s="7">
        <f>COUNTIFS(A:A,A1772,D:D,D1772,E:E,I1772)</f>
        <v>0</v>
      </c>
    </row>
    <row r="1773" spans="1:14" x14ac:dyDescent="0.3">
      <c r="A1773" s="7" t="s">
        <v>37</v>
      </c>
      <c r="B1773" s="7" t="s">
        <v>38</v>
      </c>
      <c r="C1773" s="7" t="s">
        <v>42</v>
      </c>
      <c r="D1773" s="8">
        <v>45323</v>
      </c>
      <c r="E1773" s="8" t="str">
        <f t="shared" si="107"/>
        <v>February</v>
      </c>
      <c r="F1773">
        <f t="shared" si="108"/>
        <v>2024</v>
      </c>
      <c r="G1773">
        <f t="shared" si="109"/>
        <v>1</v>
      </c>
      <c r="H1773">
        <f t="shared" si="110"/>
        <v>0</v>
      </c>
      <c r="I1773" s="6">
        <v>0.41111111111111109</v>
      </c>
      <c r="J1773" s="6">
        <v>0.82291666666666663</v>
      </c>
      <c r="K1773" s="7" t="s">
        <v>13</v>
      </c>
      <c r="L1773" s="7" t="s">
        <v>14</v>
      </c>
      <c r="M1773" s="7" t="s">
        <v>15</v>
      </c>
      <c r="N1773" s="7">
        <f>COUNTIFS(A:A,A1773,D:D,D1773,E:E,I1773)</f>
        <v>0</v>
      </c>
    </row>
    <row r="1774" spans="1:14" x14ac:dyDescent="0.3">
      <c r="A1774" s="7" t="s">
        <v>28</v>
      </c>
      <c r="B1774" s="7" t="s">
        <v>29</v>
      </c>
      <c r="C1774" s="7" t="s">
        <v>60</v>
      </c>
      <c r="D1774" s="8">
        <v>45351</v>
      </c>
      <c r="E1774" s="8" t="str">
        <f t="shared" si="107"/>
        <v>February</v>
      </c>
      <c r="F1774">
        <f t="shared" si="108"/>
        <v>2024</v>
      </c>
      <c r="G1774">
        <f t="shared" si="109"/>
        <v>1</v>
      </c>
      <c r="H1774">
        <f t="shared" si="110"/>
        <v>0</v>
      </c>
      <c r="I1774" s="6">
        <v>0.39374999999999999</v>
      </c>
      <c r="J1774" s="6">
        <v>0.66805555555555551</v>
      </c>
      <c r="K1774" s="7" t="s">
        <v>13</v>
      </c>
      <c r="L1774" s="7" t="s">
        <v>14</v>
      </c>
      <c r="M1774" s="7" t="s">
        <v>15</v>
      </c>
      <c r="N1774" s="7">
        <f>COUNTIFS(A:A,A1774,D:D,D1774,E:E,I1774)</f>
        <v>0</v>
      </c>
    </row>
    <row r="1775" spans="1:14" x14ac:dyDescent="0.3">
      <c r="A1775" s="7" t="s">
        <v>78</v>
      </c>
      <c r="B1775" s="7" t="s">
        <v>79</v>
      </c>
      <c r="C1775" s="7" t="s">
        <v>425</v>
      </c>
      <c r="D1775" s="8">
        <v>45597</v>
      </c>
      <c r="E1775" s="8" t="str">
        <f t="shared" si="107"/>
        <v>November</v>
      </c>
      <c r="F1775">
        <f t="shared" si="108"/>
        <v>2024</v>
      </c>
      <c r="G1775">
        <f t="shared" si="109"/>
        <v>1</v>
      </c>
      <c r="H1775">
        <f t="shared" si="110"/>
        <v>1</v>
      </c>
      <c r="I1775" s="6">
        <v>0.3888888888888889</v>
      </c>
      <c r="J1775" s="6">
        <v>0.6743055555555556</v>
      </c>
      <c r="K1775" s="7" t="s">
        <v>26</v>
      </c>
      <c r="L1775" s="7" t="s">
        <v>27</v>
      </c>
      <c r="M1775" s="7" t="s">
        <v>15</v>
      </c>
      <c r="N1775" s="7">
        <f>COUNTIFS(A:A,A1775,D:D,D1775,E:E,I1775)</f>
        <v>0</v>
      </c>
    </row>
    <row r="1776" spans="1:14" x14ac:dyDescent="0.3">
      <c r="A1776" s="7" t="s">
        <v>72</v>
      </c>
      <c r="B1776" s="7" t="s">
        <v>73</v>
      </c>
      <c r="C1776" s="7" t="s">
        <v>425</v>
      </c>
      <c r="D1776" s="8">
        <v>45345</v>
      </c>
      <c r="E1776" s="8" t="str">
        <f t="shared" si="107"/>
        <v>February</v>
      </c>
      <c r="F1776">
        <f t="shared" si="108"/>
        <v>2024</v>
      </c>
      <c r="G1776">
        <f t="shared" si="109"/>
        <v>1</v>
      </c>
      <c r="H1776">
        <f t="shared" si="110"/>
        <v>0</v>
      </c>
      <c r="I1776" s="6">
        <v>0.39583333333333331</v>
      </c>
      <c r="J1776" s="6">
        <v>0.77361111111111114</v>
      </c>
      <c r="K1776" s="7" t="s">
        <v>20</v>
      </c>
      <c r="L1776" s="7" t="s">
        <v>14</v>
      </c>
      <c r="M1776" s="7" t="s">
        <v>21</v>
      </c>
      <c r="N1776" s="7">
        <f>COUNTIFS(A:A,A1776,D:D,D1776,E:E,I1776)</f>
        <v>0</v>
      </c>
    </row>
    <row r="1777" spans="1:14" x14ac:dyDescent="0.3">
      <c r="A1777" s="7" t="s">
        <v>197</v>
      </c>
      <c r="B1777" s="7" t="s">
        <v>198</v>
      </c>
      <c r="C1777" s="7" t="s">
        <v>64</v>
      </c>
      <c r="D1777" s="8">
        <v>45346</v>
      </c>
      <c r="E1777" s="8" t="str">
        <f t="shared" si="107"/>
        <v>February</v>
      </c>
      <c r="F1777">
        <f t="shared" si="108"/>
        <v>2024</v>
      </c>
      <c r="G1777">
        <f t="shared" si="109"/>
        <v>1</v>
      </c>
      <c r="H1777">
        <f t="shared" si="110"/>
        <v>0</v>
      </c>
      <c r="I1777" s="6">
        <v>0.40625</v>
      </c>
      <c r="J1777" s="6">
        <v>0.78680555555555554</v>
      </c>
      <c r="K1777" s="7" t="s">
        <v>13</v>
      </c>
      <c r="L1777" s="7" t="s">
        <v>14</v>
      </c>
      <c r="M1777" s="7" t="s">
        <v>21</v>
      </c>
      <c r="N1777" s="7">
        <f>COUNTIFS(A:A,A1777,D:D,D1777,E:E,I1777)</f>
        <v>0</v>
      </c>
    </row>
    <row r="1778" spans="1:14" x14ac:dyDescent="0.3">
      <c r="A1778" s="7" t="s">
        <v>87</v>
      </c>
      <c r="B1778" s="7" t="s">
        <v>88</v>
      </c>
      <c r="C1778" s="7" t="s">
        <v>42</v>
      </c>
      <c r="D1778" s="8">
        <v>45303</v>
      </c>
      <c r="E1778" s="8" t="str">
        <f t="shared" si="107"/>
        <v>January</v>
      </c>
      <c r="F1778">
        <f t="shared" si="108"/>
        <v>2024</v>
      </c>
      <c r="G1778">
        <f t="shared" si="109"/>
        <v>0</v>
      </c>
      <c r="H1778">
        <f t="shared" si="110"/>
        <v>0</v>
      </c>
      <c r="I1778" s="6"/>
      <c r="J1778" s="6"/>
      <c r="K1778" s="7" t="s">
        <v>44</v>
      </c>
      <c r="L1778" s="7" t="s">
        <v>27</v>
      </c>
      <c r="M1778" s="7" t="s">
        <v>21</v>
      </c>
      <c r="N1778" s="7">
        <f>COUNTIFS(A:A,A1778,D:D,D1778,E:E,I1778)</f>
        <v>0</v>
      </c>
    </row>
    <row r="1779" spans="1:14" x14ac:dyDescent="0.3">
      <c r="A1779" s="7" t="s">
        <v>224</v>
      </c>
      <c r="B1779" s="7" t="s">
        <v>225</v>
      </c>
      <c r="C1779" s="7" t="s">
        <v>64</v>
      </c>
      <c r="D1779" s="8">
        <v>45536</v>
      </c>
      <c r="E1779" s="8" t="str">
        <f t="shared" si="107"/>
        <v>September</v>
      </c>
      <c r="F1779">
        <f t="shared" si="108"/>
        <v>2024</v>
      </c>
      <c r="G1779">
        <f t="shared" si="109"/>
        <v>1</v>
      </c>
      <c r="H1779">
        <f t="shared" si="110"/>
        <v>0</v>
      </c>
      <c r="I1779" s="6">
        <v>0.34930555555555554</v>
      </c>
      <c r="J1779" s="6">
        <v>0.8666666666666667</v>
      </c>
      <c r="K1779" s="7" t="s">
        <v>13</v>
      </c>
      <c r="L1779" s="7" t="s">
        <v>14</v>
      </c>
      <c r="M1779" s="7" t="s">
        <v>21</v>
      </c>
      <c r="N1779" s="7">
        <f>COUNTIFS(A:A,A1779,D:D,D1779,E:E,I1779)</f>
        <v>0</v>
      </c>
    </row>
    <row r="1780" spans="1:14" x14ac:dyDescent="0.3">
      <c r="A1780" s="7" t="s">
        <v>28</v>
      </c>
      <c r="B1780" s="7" t="s">
        <v>29</v>
      </c>
      <c r="C1780" s="7" t="s">
        <v>60</v>
      </c>
      <c r="D1780" s="8">
        <v>45341</v>
      </c>
      <c r="E1780" s="8" t="str">
        <f t="shared" si="107"/>
        <v>February</v>
      </c>
      <c r="F1780">
        <f t="shared" si="108"/>
        <v>2024</v>
      </c>
      <c r="G1780">
        <f t="shared" si="109"/>
        <v>0</v>
      </c>
      <c r="H1780">
        <f t="shared" si="110"/>
        <v>0</v>
      </c>
      <c r="I1780" s="6"/>
      <c r="J1780" s="6"/>
      <c r="K1780" s="7" t="s">
        <v>44</v>
      </c>
      <c r="L1780" s="7" t="s">
        <v>27</v>
      </c>
      <c r="M1780" s="7" t="s">
        <v>15</v>
      </c>
      <c r="N1780" s="7">
        <f>COUNTIFS(A:A,A1780,D:D,D1780,E:E,I1780)</f>
        <v>0</v>
      </c>
    </row>
    <row r="1781" spans="1:14" x14ac:dyDescent="0.3">
      <c r="A1781" s="7" t="s">
        <v>213</v>
      </c>
      <c r="B1781" s="7" t="s">
        <v>214</v>
      </c>
      <c r="C1781" s="7" t="s">
        <v>42</v>
      </c>
      <c r="D1781" s="8">
        <v>45318</v>
      </c>
      <c r="E1781" s="8" t="str">
        <f t="shared" si="107"/>
        <v>January</v>
      </c>
      <c r="F1781">
        <f t="shared" si="108"/>
        <v>2024</v>
      </c>
      <c r="G1781">
        <f t="shared" si="109"/>
        <v>0</v>
      </c>
      <c r="H1781">
        <f t="shared" si="110"/>
        <v>0</v>
      </c>
      <c r="I1781" s="6"/>
      <c r="J1781" s="6"/>
      <c r="K1781" s="7" t="s">
        <v>44</v>
      </c>
      <c r="L1781" s="7" t="s">
        <v>27</v>
      </c>
      <c r="M1781" s="7" t="s">
        <v>21</v>
      </c>
      <c r="N1781" s="7">
        <f>COUNTIFS(A:A,A1781,D:D,D1781,E:E,I1781)</f>
        <v>0</v>
      </c>
    </row>
    <row r="1782" spans="1:14" x14ac:dyDescent="0.3">
      <c r="A1782" s="7" t="s">
        <v>96</v>
      </c>
      <c r="B1782" s="7" t="s">
        <v>97</v>
      </c>
      <c r="C1782" s="7" t="s">
        <v>60</v>
      </c>
      <c r="D1782" s="8">
        <v>45355</v>
      </c>
      <c r="E1782" s="8" t="str">
        <f t="shared" si="107"/>
        <v>March</v>
      </c>
      <c r="F1782">
        <f t="shared" si="108"/>
        <v>2024</v>
      </c>
      <c r="G1782">
        <f t="shared" si="109"/>
        <v>0</v>
      </c>
      <c r="H1782">
        <f t="shared" si="110"/>
        <v>0</v>
      </c>
      <c r="I1782" s="6"/>
      <c r="J1782" s="6"/>
      <c r="K1782" s="7" t="s">
        <v>44</v>
      </c>
      <c r="L1782" s="7" t="s">
        <v>14</v>
      </c>
      <c r="M1782" s="7" t="s">
        <v>21</v>
      </c>
      <c r="N1782" s="7">
        <f>COUNTIFS(A:A,A1782,D:D,D1782,E:E,I1782)</f>
        <v>0</v>
      </c>
    </row>
    <row r="1783" spans="1:14" x14ac:dyDescent="0.3">
      <c r="A1783" s="7" t="s">
        <v>141</v>
      </c>
      <c r="B1783" s="7" t="s">
        <v>142</v>
      </c>
      <c r="C1783" s="7" t="s">
        <v>42</v>
      </c>
      <c r="D1783" s="8">
        <v>45476</v>
      </c>
      <c r="E1783" s="8" t="str">
        <f t="shared" si="107"/>
        <v>July</v>
      </c>
      <c r="F1783">
        <f t="shared" si="108"/>
        <v>2024</v>
      </c>
      <c r="G1783">
        <f t="shared" si="109"/>
        <v>1</v>
      </c>
      <c r="H1783">
        <f t="shared" si="110"/>
        <v>1</v>
      </c>
      <c r="I1783" s="6">
        <v>0.3611111111111111</v>
      </c>
      <c r="J1783" s="6">
        <v>0.71736111111111112</v>
      </c>
      <c r="K1783" s="7" t="s">
        <v>26</v>
      </c>
      <c r="L1783" s="7" t="s">
        <v>27</v>
      </c>
      <c r="M1783" s="7" t="s">
        <v>21</v>
      </c>
      <c r="N1783" s="7">
        <f>COUNTIFS(A:A,A1783,D:D,D1783,E:E,I1783)</f>
        <v>0</v>
      </c>
    </row>
    <row r="1784" spans="1:14" x14ac:dyDescent="0.3">
      <c r="A1784" s="7" t="s">
        <v>99</v>
      </c>
      <c r="B1784" s="7" t="s">
        <v>100</v>
      </c>
      <c r="C1784" s="7" t="s">
        <v>426</v>
      </c>
      <c r="D1784" s="8">
        <v>45309</v>
      </c>
      <c r="E1784" s="8" t="str">
        <f t="shared" si="107"/>
        <v>January</v>
      </c>
      <c r="F1784">
        <f t="shared" si="108"/>
        <v>2024</v>
      </c>
      <c r="G1784">
        <f t="shared" si="109"/>
        <v>1</v>
      </c>
      <c r="H1784">
        <f t="shared" si="110"/>
        <v>0</v>
      </c>
      <c r="I1784" s="6">
        <v>0.47222222222222221</v>
      </c>
      <c r="J1784" s="6">
        <v>0.86111111111111116</v>
      </c>
      <c r="K1784" s="7" t="s">
        <v>13</v>
      </c>
      <c r="L1784" s="7" t="s">
        <v>14</v>
      </c>
      <c r="M1784" s="7" t="s">
        <v>15</v>
      </c>
      <c r="N1784" s="7">
        <f>COUNTIFS(A:A,A1784,D:D,D1784,E:E,I1784)</f>
        <v>0</v>
      </c>
    </row>
    <row r="1785" spans="1:14" x14ac:dyDescent="0.3">
      <c r="A1785" s="7" t="s">
        <v>84</v>
      </c>
      <c r="B1785" s="7" t="s">
        <v>85</v>
      </c>
      <c r="C1785" s="7" t="s">
        <v>60</v>
      </c>
      <c r="D1785" s="8">
        <v>45336</v>
      </c>
      <c r="E1785" s="8" t="str">
        <f t="shared" si="107"/>
        <v>February</v>
      </c>
      <c r="F1785">
        <f t="shared" si="108"/>
        <v>2024</v>
      </c>
      <c r="G1785">
        <f t="shared" si="109"/>
        <v>0</v>
      </c>
      <c r="H1785">
        <f t="shared" si="110"/>
        <v>0</v>
      </c>
      <c r="I1785" s="6"/>
      <c r="J1785" s="6"/>
      <c r="K1785" s="7" t="s">
        <v>44</v>
      </c>
      <c r="L1785" s="7" t="s">
        <v>27</v>
      </c>
      <c r="M1785" s="7" t="s">
        <v>21</v>
      </c>
      <c r="N1785" s="7">
        <f>COUNTIFS(A:A,A1785,D:D,D1785,E:E,I1785)</f>
        <v>0</v>
      </c>
    </row>
    <row r="1786" spans="1:14" x14ac:dyDescent="0.3">
      <c r="A1786" s="7" t="s">
        <v>96</v>
      </c>
      <c r="B1786" s="7" t="s">
        <v>97</v>
      </c>
      <c r="C1786" s="7" t="s">
        <v>426</v>
      </c>
      <c r="D1786" s="8">
        <v>45371</v>
      </c>
      <c r="E1786" s="8" t="str">
        <f t="shared" si="107"/>
        <v>March</v>
      </c>
      <c r="F1786">
        <f t="shared" si="108"/>
        <v>2024</v>
      </c>
      <c r="G1786">
        <f t="shared" si="109"/>
        <v>1</v>
      </c>
      <c r="H1786">
        <f t="shared" si="110"/>
        <v>0</v>
      </c>
      <c r="I1786" s="6">
        <v>0.40138888888888891</v>
      </c>
      <c r="J1786" s="6">
        <v>0.83472222222222225</v>
      </c>
      <c r="K1786" s="7" t="s">
        <v>13</v>
      </c>
      <c r="L1786" s="7" t="s">
        <v>27</v>
      </c>
      <c r="M1786" s="7" t="s">
        <v>15</v>
      </c>
      <c r="N1786" s="7">
        <f>COUNTIFS(A:A,A1786,D:D,D1786,E:E,I1786)</f>
        <v>0</v>
      </c>
    </row>
    <row r="1787" spans="1:14" x14ac:dyDescent="0.3">
      <c r="A1787" s="7" t="s">
        <v>99</v>
      </c>
      <c r="B1787" s="7" t="s">
        <v>100</v>
      </c>
      <c r="C1787" s="7" t="s">
        <v>60</v>
      </c>
      <c r="D1787" s="8">
        <v>45474</v>
      </c>
      <c r="E1787" s="8" t="str">
        <f t="shared" si="107"/>
        <v>July</v>
      </c>
      <c r="F1787">
        <f t="shared" si="108"/>
        <v>2024</v>
      </c>
      <c r="G1787">
        <f t="shared" si="109"/>
        <v>1</v>
      </c>
      <c r="H1787">
        <f t="shared" si="110"/>
        <v>1</v>
      </c>
      <c r="I1787" s="6">
        <v>0.44374999999999998</v>
      </c>
      <c r="J1787" s="6">
        <v>0.87361111111111112</v>
      </c>
      <c r="K1787" s="7" t="s">
        <v>26</v>
      </c>
      <c r="L1787" s="7" t="s">
        <v>27</v>
      </c>
      <c r="M1787" s="7" t="s">
        <v>21</v>
      </c>
      <c r="N1787" s="7">
        <f>COUNTIFS(A:A,A1787,D:D,D1787,E:E,I1787)</f>
        <v>0</v>
      </c>
    </row>
    <row r="1788" spans="1:14" x14ac:dyDescent="0.3">
      <c r="A1788" s="7" t="s">
        <v>112</v>
      </c>
      <c r="B1788" s="7" t="s">
        <v>113</v>
      </c>
      <c r="C1788" s="7" t="s">
        <v>60</v>
      </c>
      <c r="D1788" s="8">
        <v>45474</v>
      </c>
      <c r="E1788" s="8" t="str">
        <f t="shared" si="107"/>
        <v>July</v>
      </c>
      <c r="F1788">
        <f t="shared" si="108"/>
        <v>2024</v>
      </c>
      <c r="G1788">
        <f t="shared" si="109"/>
        <v>1</v>
      </c>
      <c r="H1788">
        <f t="shared" si="110"/>
        <v>1</v>
      </c>
      <c r="I1788" s="6">
        <v>0.36458333333333331</v>
      </c>
      <c r="J1788" s="6">
        <v>0.8666666666666667</v>
      </c>
      <c r="K1788" s="7" t="s">
        <v>26</v>
      </c>
      <c r="L1788" s="7" t="s">
        <v>27</v>
      </c>
      <c r="M1788" s="7" t="s">
        <v>21</v>
      </c>
      <c r="N1788" s="7">
        <f>COUNTIFS(A:A,A1788,D:D,D1788,E:E,I1788)</f>
        <v>0</v>
      </c>
    </row>
    <row r="1789" spans="1:14" x14ac:dyDescent="0.3">
      <c r="A1789" s="7" t="s">
        <v>187</v>
      </c>
      <c r="B1789" s="7" t="s">
        <v>188</v>
      </c>
      <c r="C1789" s="7" t="s">
        <v>42</v>
      </c>
      <c r="D1789" s="8">
        <v>45296</v>
      </c>
      <c r="E1789" s="8" t="str">
        <f t="shared" si="107"/>
        <v>January</v>
      </c>
      <c r="F1789">
        <f t="shared" si="108"/>
        <v>2024</v>
      </c>
      <c r="G1789">
        <f t="shared" si="109"/>
        <v>1</v>
      </c>
      <c r="H1789">
        <f t="shared" si="110"/>
        <v>0</v>
      </c>
      <c r="I1789" s="6">
        <v>0.40833333333333333</v>
      </c>
      <c r="J1789" s="6">
        <v>0.79861111111111116</v>
      </c>
      <c r="K1789" s="7" t="s">
        <v>20</v>
      </c>
      <c r="L1789" s="7" t="s">
        <v>14</v>
      </c>
      <c r="M1789" s="7" t="s">
        <v>21</v>
      </c>
      <c r="N1789" s="7">
        <f>COUNTIFS(A:A,A1789,D:D,D1789,E:E,I1789)</f>
        <v>0</v>
      </c>
    </row>
    <row r="1790" spans="1:14" x14ac:dyDescent="0.3">
      <c r="A1790" s="7" t="s">
        <v>119</v>
      </c>
      <c r="B1790" s="7" t="s">
        <v>120</v>
      </c>
      <c r="C1790" s="7" t="s">
        <v>60</v>
      </c>
      <c r="D1790" s="8">
        <v>45297</v>
      </c>
      <c r="E1790" s="8" t="str">
        <f t="shared" si="107"/>
        <v>January</v>
      </c>
      <c r="F1790">
        <f t="shared" si="108"/>
        <v>2024</v>
      </c>
      <c r="G1790">
        <f t="shared" si="109"/>
        <v>1</v>
      </c>
      <c r="H1790">
        <f t="shared" si="110"/>
        <v>1</v>
      </c>
      <c r="I1790" s="6">
        <v>0.37708333333333333</v>
      </c>
      <c r="J1790" s="6">
        <v>0.86111111111111116</v>
      </c>
      <c r="K1790" s="7" t="s">
        <v>26</v>
      </c>
      <c r="L1790" s="7" t="s">
        <v>14</v>
      </c>
      <c r="M1790" s="7" t="s">
        <v>21</v>
      </c>
      <c r="N1790" s="7">
        <f>COUNTIFS(A:A,A1790,D:D,D1790,E:E,I1790)</f>
        <v>0</v>
      </c>
    </row>
    <row r="1791" spans="1:14" x14ac:dyDescent="0.3">
      <c r="A1791" s="7" t="s">
        <v>204</v>
      </c>
      <c r="B1791" s="7" t="s">
        <v>205</v>
      </c>
      <c r="C1791" s="7" t="s">
        <v>60</v>
      </c>
      <c r="D1791" s="8">
        <v>45372</v>
      </c>
      <c r="E1791" s="8" t="str">
        <f t="shared" si="107"/>
        <v>March</v>
      </c>
      <c r="F1791">
        <f t="shared" si="108"/>
        <v>2024</v>
      </c>
      <c r="G1791">
        <f t="shared" si="109"/>
        <v>1</v>
      </c>
      <c r="H1791">
        <f t="shared" si="110"/>
        <v>0</v>
      </c>
      <c r="I1791" s="6">
        <v>0.36527777777777776</v>
      </c>
      <c r="J1791" s="6">
        <v>0.85763888888888884</v>
      </c>
      <c r="K1791" s="7" t="s">
        <v>20</v>
      </c>
      <c r="L1791" s="7" t="s">
        <v>27</v>
      </c>
      <c r="M1791" s="7" t="s">
        <v>21</v>
      </c>
      <c r="N1791" s="7">
        <f>COUNTIFS(A:A,A1791,D:D,D1791,E:E,I1791)</f>
        <v>0</v>
      </c>
    </row>
    <row r="1792" spans="1:14" x14ac:dyDescent="0.3">
      <c r="A1792" s="7" t="s">
        <v>115</v>
      </c>
      <c r="B1792" s="7" t="s">
        <v>116</v>
      </c>
      <c r="C1792" s="7" t="s">
        <v>426</v>
      </c>
      <c r="D1792" s="8">
        <v>45371</v>
      </c>
      <c r="E1792" s="8" t="str">
        <f t="shared" si="107"/>
        <v>March</v>
      </c>
      <c r="F1792">
        <f t="shared" si="108"/>
        <v>2024</v>
      </c>
      <c r="G1792">
        <f t="shared" si="109"/>
        <v>0</v>
      </c>
      <c r="H1792">
        <f t="shared" si="110"/>
        <v>0</v>
      </c>
      <c r="I1792" s="6"/>
      <c r="J1792" s="6"/>
      <c r="K1792" s="7" t="s">
        <v>44</v>
      </c>
      <c r="L1792" s="7" t="s">
        <v>27</v>
      </c>
      <c r="M1792" s="7" t="s">
        <v>21</v>
      </c>
      <c r="N1792" s="7">
        <f>COUNTIFS(A:A,A1792,D:D,D1792,E:E,I1792)</f>
        <v>0</v>
      </c>
    </row>
    <row r="1793" spans="1:14" x14ac:dyDescent="0.3">
      <c r="A1793" s="7" t="s">
        <v>45</v>
      </c>
      <c r="B1793" s="7" t="s">
        <v>46</v>
      </c>
      <c r="C1793" s="7" t="s">
        <v>426</v>
      </c>
      <c r="D1793" s="8">
        <v>45370</v>
      </c>
      <c r="E1793" s="8" t="str">
        <f t="shared" si="107"/>
        <v>March</v>
      </c>
      <c r="F1793">
        <f t="shared" si="108"/>
        <v>2024</v>
      </c>
      <c r="G1793">
        <f t="shared" si="109"/>
        <v>0</v>
      </c>
      <c r="H1793">
        <f t="shared" si="110"/>
        <v>0</v>
      </c>
      <c r="I1793" s="6"/>
      <c r="J1793" s="6"/>
      <c r="K1793" s="7" t="s">
        <v>44</v>
      </c>
      <c r="L1793" s="7" t="s">
        <v>14</v>
      </c>
      <c r="M1793" s="7" t="s">
        <v>21</v>
      </c>
      <c r="N1793" s="7">
        <f>COUNTIFS(A:A,A1793,D:D,D1793,E:E,I1793)</f>
        <v>0</v>
      </c>
    </row>
    <row r="1794" spans="1:14" x14ac:dyDescent="0.3">
      <c r="A1794" s="7" t="s">
        <v>130</v>
      </c>
      <c r="B1794" s="7" t="s">
        <v>131</v>
      </c>
      <c r="C1794" s="7" t="s">
        <v>425</v>
      </c>
      <c r="D1794" s="8">
        <v>45348</v>
      </c>
      <c r="E1794" s="8" t="str">
        <f t="shared" ref="E1794:E1857" si="111">TEXT(D1794,"mmmm")</f>
        <v>February</v>
      </c>
      <c r="F1794">
        <f t="shared" ref="F1794:F1857" si="112">YEAR(D1794)</f>
        <v>2024</v>
      </c>
      <c r="G1794">
        <f t="shared" ref="G1794:G1857" si="113">IF(LOWER(K1794)="absent",0,1)</f>
        <v>1</v>
      </c>
      <c r="H1794">
        <f t="shared" ref="H1794:H1857" si="114">IF(K1794="Late",1,0)</f>
        <v>0</v>
      </c>
      <c r="I1794" s="6">
        <v>0.37916666666666665</v>
      </c>
      <c r="J1794" s="6">
        <v>0.74236111111111114</v>
      </c>
      <c r="K1794" s="7" t="s">
        <v>20</v>
      </c>
      <c r="L1794" s="7" t="s">
        <v>27</v>
      </c>
      <c r="M1794" s="7" t="s">
        <v>21</v>
      </c>
      <c r="N1794" s="7">
        <f>COUNTIFS(A:A,A1794,D:D,D1794,E:E,I1794)</f>
        <v>0</v>
      </c>
    </row>
    <row r="1795" spans="1:14" x14ac:dyDescent="0.3">
      <c r="A1795" s="7" t="s">
        <v>62</v>
      </c>
      <c r="B1795" s="7" t="s">
        <v>63</v>
      </c>
      <c r="C1795" s="7" t="s">
        <v>64</v>
      </c>
      <c r="D1795" s="8">
        <v>45566</v>
      </c>
      <c r="E1795" s="8" t="str">
        <f t="shared" si="111"/>
        <v>October</v>
      </c>
      <c r="F1795">
        <f t="shared" si="112"/>
        <v>2024</v>
      </c>
      <c r="G1795">
        <f t="shared" si="113"/>
        <v>1</v>
      </c>
      <c r="H1795">
        <f t="shared" si="114"/>
        <v>1</v>
      </c>
      <c r="I1795" s="6">
        <v>0.34513888888888888</v>
      </c>
      <c r="J1795" s="6">
        <v>0.68958333333333333</v>
      </c>
      <c r="K1795" s="7" t="s">
        <v>26</v>
      </c>
      <c r="L1795" s="7" t="s">
        <v>14</v>
      </c>
      <c r="M1795" s="7" t="s">
        <v>21</v>
      </c>
      <c r="N1795" s="7">
        <f>COUNTIFS(A:A,A1795,D:D,D1795,E:E,I1795)</f>
        <v>0</v>
      </c>
    </row>
    <row r="1796" spans="1:14" x14ac:dyDescent="0.3">
      <c r="A1796" s="7" t="s">
        <v>22</v>
      </c>
      <c r="B1796" s="7" t="s">
        <v>23</v>
      </c>
      <c r="C1796" s="7" t="s">
        <v>42</v>
      </c>
      <c r="D1796" s="8">
        <v>45369</v>
      </c>
      <c r="E1796" s="8" t="str">
        <f t="shared" si="111"/>
        <v>March</v>
      </c>
      <c r="F1796">
        <f t="shared" si="112"/>
        <v>2024</v>
      </c>
      <c r="G1796">
        <f t="shared" si="113"/>
        <v>0</v>
      </c>
      <c r="H1796">
        <f t="shared" si="114"/>
        <v>0</v>
      </c>
      <c r="I1796" s="6"/>
      <c r="J1796" s="6"/>
      <c r="K1796" s="7" t="s">
        <v>44</v>
      </c>
      <c r="L1796" s="7" t="s">
        <v>27</v>
      </c>
      <c r="M1796" s="7" t="s">
        <v>21</v>
      </c>
      <c r="N1796" s="7">
        <f>COUNTIFS(A:A,A1796,D:D,D1796,E:E,I1796)</f>
        <v>0</v>
      </c>
    </row>
    <row r="1797" spans="1:14" x14ac:dyDescent="0.3">
      <c r="A1797" s="7" t="s">
        <v>28</v>
      </c>
      <c r="B1797" s="7" t="s">
        <v>29</v>
      </c>
      <c r="C1797" s="7" t="s">
        <v>426</v>
      </c>
      <c r="D1797" s="8">
        <v>45295</v>
      </c>
      <c r="E1797" s="8" t="str">
        <f t="shared" si="111"/>
        <v>January</v>
      </c>
      <c r="F1797">
        <f t="shared" si="112"/>
        <v>2024</v>
      </c>
      <c r="G1797">
        <f t="shared" si="113"/>
        <v>1</v>
      </c>
      <c r="H1797">
        <f t="shared" si="114"/>
        <v>0</v>
      </c>
      <c r="I1797" s="6">
        <v>0.41458333333333336</v>
      </c>
      <c r="J1797" s="6">
        <v>0.77083333333333337</v>
      </c>
      <c r="K1797" s="7" t="s">
        <v>13</v>
      </c>
      <c r="L1797" s="7" t="s">
        <v>27</v>
      </c>
      <c r="M1797" s="7" t="s">
        <v>15</v>
      </c>
      <c r="N1797" s="7">
        <f>COUNTIFS(A:A,A1797,D:D,D1797,E:E,I1797)</f>
        <v>0</v>
      </c>
    </row>
    <row r="1798" spans="1:14" x14ac:dyDescent="0.3">
      <c r="A1798" s="7" t="s">
        <v>146</v>
      </c>
      <c r="B1798" s="7" t="s">
        <v>147</v>
      </c>
      <c r="C1798" s="7" t="s">
        <v>426</v>
      </c>
      <c r="D1798" s="8">
        <v>45376</v>
      </c>
      <c r="E1798" s="8" t="str">
        <f t="shared" si="111"/>
        <v>March</v>
      </c>
      <c r="F1798">
        <f t="shared" si="112"/>
        <v>2024</v>
      </c>
      <c r="G1798">
        <f t="shared" si="113"/>
        <v>0</v>
      </c>
      <c r="H1798">
        <f t="shared" si="114"/>
        <v>0</v>
      </c>
      <c r="I1798" s="6"/>
      <c r="J1798" s="6"/>
      <c r="K1798" s="7" t="s">
        <v>44</v>
      </c>
      <c r="L1798" s="7" t="s">
        <v>27</v>
      </c>
      <c r="M1798" s="7" t="s">
        <v>15</v>
      </c>
      <c r="N1798" s="7">
        <f>COUNTIFS(A:A,A1798,D:D,D1798,E:E,I1798)</f>
        <v>0</v>
      </c>
    </row>
    <row r="1799" spans="1:14" x14ac:dyDescent="0.3">
      <c r="A1799" s="7" t="s">
        <v>291</v>
      </c>
      <c r="B1799" s="7" t="s">
        <v>292</v>
      </c>
      <c r="C1799" s="7" t="s">
        <v>426</v>
      </c>
      <c r="D1799" s="8">
        <v>45294</v>
      </c>
      <c r="E1799" s="8" t="str">
        <f t="shared" si="111"/>
        <v>January</v>
      </c>
      <c r="F1799">
        <f t="shared" si="112"/>
        <v>2024</v>
      </c>
      <c r="G1799">
        <f t="shared" si="113"/>
        <v>0</v>
      </c>
      <c r="H1799">
        <f t="shared" si="114"/>
        <v>0</v>
      </c>
      <c r="I1799" s="6"/>
      <c r="J1799" s="6"/>
      <c r="K1799" s="7" t="s">
        <v>44</v>
      </c>
      <c r="L1799" s="7" t="s">
        <v>27</v>
      </c>
      <c r="M1799" s="7" t="s">
        <v>21</v>
      </c>
      <c r="N1799" s="7">
        <f>COUNTIFS(A:A,A1799,D:D,D1799,E:E,I1799)</f>
        <v>0</v>
      </c>
    </row>
    <row r="1800" spans="1:14" x14ac:dyDescent="0.3">
      <c r="A1800" s="7" t="s">
        <v>55</v>
      </c>
      <c r="B1800" s="7" t="s">
        <v>56</v>
      </c>
      <c r="C1800" s="7" t="s">
        <v>426</v>
      </c>
      <c r="D1800" s="8">
        <v>45354</v>
      </c>
      <c r="E1800" s="8" t="str">
        <f t="shared" si="111"/>
        <v>March</v>
      </c>
      <c r="F1800">
        <f t="shared" si="112"/>
        <v>2024</v>
      </c>
      <c r="G1800">
        <f t="shared" si="113"/>
        <v>1</v>
      </c>
      <c r="H1800">
        <f t="shared" si="114"/>
        <v>0</v>
      </c>
      <c r="I1800" s="6">
        <v>0.34652777777777777</v>
      </c>
      <c r="J1800" s="6">
        <v>0.79374999999999996</v>
      </c>
      <c r="K1800" s="7" t="s">
        <v>13</v>
      </c>
      <c r="L1800" s="7" t="s">
        <v>27</v>
      </c>
      <c r="M1800" s="7" t="s">
        <v>15</v>
      </c>
      <c r="N1800" s="7">
        <f>COUNTIFS(A:A,A1800,D:D,D1800,E:E,I1800)</f>
        <v>0</v>
      </c>
    </row>
    <row r="1801" spans="1:14" x14ac:dyDescent="0.3">
      <c r="A1801" s="7" t="s">
        <v>269</v>
      </c>
      <c r="B1801" s="7" t="s">
        <v>270</v>
      </c>
      <c r="C1801" s="7" t="s">
        <v>42</v>
      </c>
      <c r="D1801" s="8">
        <v>45311</v>
      </c>
      <c r="E1801" s="8" t="str">
        <f t="shared" si="111"/>
        <v>January</v>
      </c>
      <c r="F1801">
        <f t="shared" si="112"/>
        <v>2024</v>
      </c>
      <c r="G1801">
        <f t="shared" si="113"/>
        <v>0</v>
      </c>
      <c r="H1801">
        <f t="shared" si="114"/>
        <v>0</v>
      </c>
      <c r="I1801" s="6"/>
      <c r="J1801" s="6"/>
      <c r="K1801" s="7" t="s">
        <v>44</v>
      </c>
      <c r="L1801" s="7" t="s">
        <v>27</v>
      </c>
      <c r="M1801" s="7" t="s">
        <v>21</v>
      </c>
      <c r="N1801" s="7">
        <f>COUNTIFS(A:A,A1801,D:D,D1801,E:E,I1801)</f>
        <v>0</v>
      </c>
    </row>
    <row r="1802" spans="1:14" x14ac:dyDescent="0.3">
      <c r="A1802" s="7" t="s">
        <v>191</v>
      </c>
      <c r="B1802" s="7" t="s">
        <v>192</v>
      </c>
      <c r="C1802" s="7" t="s">
        <v>60</v>
      </c>
      <c r="D1802" s="8">
        <v>45378</v>
      </c>
      <c r="E1802" s="8" t="str">
        <f t="shared" si="111"/>
        <v>March</v>
      </c>
      <c r="F1802">
        <f t="shared" si="112"/>
        <v>2024</v>
      </c>
      <c r="G1802">
        <f t="shared" si="113"/>
        <v>1</v>
      </c>
      <c r="H1802">
        <f t="shared" si="114"/>
        <v>0</v>
      </c>
      <c r="I1802" s="6">
        <v>0.4777777777777778</v>
      </c>
      <c r="J1802" s="6">
        <v>0.85486111111111107</v>
      </c>
      <c r="K1802" s="7" t="s">
        <v>13</v>
      </c>
      <c r="L1802" s="7" t="s">
        <v>14</v>
      </c>
      <c r="M1802" s="7" t="s">
        <v>21</v>
      </c>
      <c r="N1802" s="7">
        <f>COUNTIFS(A:A,A1802,D:D,D1802,E:E,I1802)</f>
        <v>0</v>
      </c>
    </row>
    <row r="1803" spans="1:14" x14ac:dyDescent="0.3">
      <c r="A1803" s="7" t="s">
        <v>112</v>
      </c>
      <c r="B1803" s="7" t="s">
        <v>113</v>
      </c>
      <c r="C1803" s="7" t="s">
        <v>426</v>
      </c>
      <c r="D1803" s="8">
        <v>45413</v>
      </c>
      <c r="E1803" s="8" t="str">
        <f t="shared" si="111"/>
        <v>May</v>
      </c>
      <c r="F1803">
        <f t="shared" si="112"/>
        <v>2024</v>
      </c>
      <c r="G1803">
        <f t="shared" si="113"/>
        <v>1</v>
      </c>
      <c r="H1803">
        <f t="shared" si="114"/>
        <v>0</v>
      </c>
      <c r="I1803" s="6">
        <v>0.44374999999999998</v>
      </c>
      <c r="J1803" s="6">
        <v>0.75972222222222219</v>
      </c>
      <c r="K1803" s="7" t="s">
        <v>20</v>
      </c>
      <c r="L1803" s="7" t="s">
        <v>14</v>
      </c>
      <c r="M1803" s="7" t="s">
        <v>21</v>
      </c>
      <c r="N1803" s="7">
        <f>COUNTIFS(A:A,A1803,D:D,D1803,E:E,I1803)</f>
        <v>0</v>
      </c>
    </row>
    <row r="1804" spans="1:14" x14ac:dyDescent="0.3">
      <c r="A1804" s="7" t="s">
        <v>9</v>
      </c>
      <c r="B1804" s="7" t="s">
        <v>10</v>
      </c>
      <c r="C1804" s="7" t="s">
        <v>64</v>
      </c>
      <c r="D1804" s="8">
        <v>45362</v>
      </c>
      <c r="E1804" s="8" t="str">
        <f t="shared" si="111"/>
        <v>March</v>
      </c>
      <c r="F1804">
        <f t="shared" si="112"/>
        <v>2024</v>
      </c>
      <c r="G1804">
        <f t="shared" si="113"/>
        <v>1</v>
      </c>
      <c r="H1804">
        <f t="shared" si="114"/>
        <v>0</v>
      </c>
      <c r="I1804" s="6">
        <v>0.43402777777777779</v>
      </c>
      <c r="J1804" s="6">
        <v>0.79861111111111116</v>
      </c>
      <c r="K1804" s="7" t="s">
        <v>20</v>
      </c>
      <c r="L1804" s="7" t="s">
        <v>14</v>
      </c>
      <c r="M1804" s="7" t="s">
        <v>15</v>
      </c>
      <c r="N1804" s="7">
        <f>COUNTIFS(A:A,A1804,D:D,D1804,E:E,I1804)</f>
        <v>0</v>
      </c>
    </row>
    <row r="1805" spans="1:14" x14ac:dyDescent="0.3">
      <c r="A1805" s="7" t="s">
        <v>204</v>
      </c>
      <c r="B1805" s="7" t="s">
        <v>205</v>
      </c>
      <c r="C1805" s="7" t="s">
        <v>64</v>
      </c>
      <c r="D1805" s="8">
        <v>45304</v>
      </c>
      <c r="E1805" s="8" t="str">
        <f t="shared" si="111"/>
        <v>January</v>
      </c>
      <c r="F1805">
        <f t="shared" si="112"/>
        <v>2024</v>
      </c>
      <c r="G1805">
        <f t="shared" si="113"/>
        <v>0</v>
      </c>
      <c r="H1805">
        <f t="shared" si="114"/>
        <v>0</v>
      </c>
      <c r="I1805" s="6"/>
      <c r="J1805" s="6"/>
      <c r="K1805" s="7" t="s">
        <v>44</v>
      </c>
      <c r="L1805" s="7" t="s">
        <v>14</v>
      </c>
      <c r="M1805" s="7" t="s">
        <v>15</v>
      </c>
      <c r="N1805" s="7">
        <f>COUNTIFS(A:A,A1805,D:D,D1805,E:E,I1805)</f>
        <v>0</v>
      </c>
    </row>
    <row r="1806" spans="1:14" x14ac:dyDescent="0.3">
      <c r="A1806" s="7" t="s">
        <v>66</v>
      </c>
      <c r="B1806" s="7" t="s">
        <v>67</v>
      </c>
      <c r="C1806" s="7" t="s">
        <v>60</v>
      </c>
      <c r="D1806" s="8">
        <v>45312</v>
      </c>
      <c r="E1806" s="8" t="str">
        <f t="shared" si="111"/>
        <v>January</v>
      </c>
      <c r="F1806">
        <f t="shared" si="112"/>
        <v>2024</v>
      </c>
      <c r="G1806">
        <f t="shared" si="113"/>
        <v>0</v>
      </c>
      <c r="H1806">
        <f t="shared" si="114"/>
        <v>0</v>
      </c>
      <c r="I1806" s="6"/>
      <c r="J1806" s="6"/>
      <c r="K1806" s="7" t="s">
        <v>44</v>
      </c>
      <c r="L1806" s="7" t="s">
        <v>14</v>
      </c>
      <c r="M1806" s="7" t="s">
        <v>21</v>
      </c>
      <c r="N1806" s="7">
        <f>COUNTIFS(A:A,A1806,D:D,D1806,E:E,I1806)</f>
        <v>0</v>
      </c>
    </row>
    <row r="1807" spans="1:14" x14ac:dyDescent="0.3">
      <c r="A1807" s="7" t="s">
        <v>269</v>
      </c>
      <c r="B1807" s="7" t="s">
        <v>270</v>
      </c>
      <c r="C1807" s="7" t="s">
        <v>42</v>
      </c>
      <c r="D1807" s="8">
        <v>45353</v>
      </c>
      <c r="E1807" s="8" t="str">
        <f t="shared" si="111"/>
        <v>March</v>
      </c>
      <c r="F1807">
        <f t="shared" si="112"/>
        <v>2024</v>
      </c>
      <c r="G1807">
        <f t="shared" si="113"/>
        <v>1</v>
      </c>
      <c r="H1807">
        <f t="shared" si="114"/>
        <v>0</v>
      </c>
      <c r="I1807" s="6">
        <v>0.47291666666666665</v>
      </c>
      <c r="J1807" s="6">
        <v>0.68402777777777779</v>
      </c>
      <c r="K1807" s="7" t="s">
        <v>20</v>
      </c>
      <c r="L1807" s="7" t="s">
        <v>14</v>
      </c>
      <c r="M1807" s="7" t="s">
        <v>15</v>
      </c>
      <c r="N1807" s="7">
        <f>COUNTIFS(A:A,A1807,D:D,D1807,E:E,I1807)</f>
        <v>0</v>
      </c>
    </row>
    <row r="1808" spans="1:14" x14ac:dyDescent="0.3">
      <c r="A1808" s="7" t="s">
        <v>115</v>
      </c>
      <c r="B1808" s="7" t="s">
        <v>116</v>
      </c>
      <c r="C1808" s="7" t="s">
        <v>64</v>
      </c>
      <c r="D1808" s="8">
        <v>45313</v>
      </c>
      <c r="E1808" s="8" t="str">
        <f t="shared" si="111"/>
        <v>January</v>
      </c>
      <c r="F1808">
        <f t="shared" si="112"/>
        <v>2024</v>
      </c>
      <c r="G1808">
        <f t="shared" si="113"/>
        <v>1</v>
      </c>
      <c r="H1808">
        <f t="shared" si="114"/>
        <v>0</v>
      </c>
      <c r="I1808" s="6">
        <v>0.4909722222222222</v>
      </c>
      <c r="J1808" s="6">
        <v>0.77500000000000002</v>
      </c>
      <c r="K1808" s="7" t="s">
        <v>20</v>
      </c>
      <c r="L1808" s="7" t="s">
        <v>14</v>
      </c>
      <c r="M1808" s="7" t="s">
        <v>21</v>
      </c>
      <c r="N1808" s="7">
        <f>COUNTIFS(A:A,A1808,D:D,D1808,E:E,I1808)</f>
        <v>0</v>
      </c>
    </row>
    <row r="1809" spans="1:14" x14ac:dyDescent="0.3">
      <c r="A1809" s="7" t="s">
        <v>93</v>
      </c>
      <c r="B1809" s="7" t="s">
        <v>94</v>
      </c>
      <c r="C1809" s="7" t="s">
        <v>60</v>
      </c>
      <c r="D1809" s="8">
        <v>45378</v>
      </c>
      <c r="E1809" s="8" t="str">
        <f t="shared" si="111"/>
        <v>March</v>
      </c>
      <c r="F1809">
        <f t="shared" si="112"/>
        <v>2024</v>
      </c>
      <c r="G1809">
        <f t="shared" si="113"/>
        <v>0</v>
      </c>
      <c r="H1809">
        <f t="shared" si="114"/>
        <v>0</v>
      </c>
      <c r="I1809" s="6"/>
      <c r="J1809" s="6"/>
      <c r="K1809" s="7" t="s">
        <v>44</v>
      </c>
      <c r="L1809" s="7" t="s">
        <v>27</v>
      </c>
      <c r="M1809" s="7" t="s">
        <v>21</v>
      </c>
      <c r="N1809" s="7">
        <f>COUNTIFS(A:A,A1809,D:D,D1809,E:E,I1809)</f>
        <v>0</v>
      </c>
    </row>
    <row r="1810" spans="1:14" x14ac:dyDescent="0.3">
      <c r="A1810" s="7" t="s">
        <v>69</v>
      </c>
      <c r="B1810" s="7" t="s">
        <v>70</v>
      </c>
      <c r="C1810" s="7" t="s">
        <v>42</v>
      </c>
      <c r="D1810" s="8">
        <v>45313</v>
      </c>
      <c r="E1810" s="8" t="str">
        <f t="shared" si="111"/>
        <v>January</v>
      </c>
      <c r="F1810">
        <f t="shared" si="112"/>
        <v>2024</v>
      </c>
      <c r="G1810">
        <f t="shared" si="113"/>
        <v>1</v>
      </c>
      <c r="H1810">
        <f t="shared" si="114"/>
        <v>0</v>
      </c>
      <c r="I1810" s="6">
        <v>0.45277777777777778</v>
      </c>
      <c r="J1810" s="6">
        <v>0.73611111111111116</v>
      </c>
      <c r="K1810" s="7" t="s">
        <v>13</v>
      </c>
      <c r="L1810" s="7" t="s">
        <v>14</v>
      </c>
      <c r="M1810" s="7" t="s">
        <v>15</v>
      </c>
      <c r="N1810" s="7">
        <f>COUNTIFS(A:A,A1810,D:D,D1810,E:E,I1810)</f>
        <v>0</v>
      </c>
    </row>
    <row r="1811" spans="1:14" x14ac:dyDescent="0.3">
      <c r="A1811" s="7" t="s">
        <v>99</v>
      </c>
      <c r="B1811" s="7" t="s">
        <v>100</v>
      </c>
      <c r="C1811" s="7" t="s">
        <v>42</v>
      </c>
      <c r="D1811" s="8">
        <v>45293</v>
      </c>
      <c r="E1811" s="8" t="str">
        <f t="shared" si="111"/>
        <v>January</v>
      </c>
      <c r="F1811">
        <f t="shared" si="112"/>
        <v>2024</v>
      </c>
      <c r="G1811">
        <f t="shared" si="113"/>
        <v>1</v>
      </c>
      <c r="H1811">
        <f t="shared" si="114"/>
        <v>1</v>
      </c>
      <c r="I1811" s="6">
        <v>0.41180555555555554</v>
      </c>
      <c r="J1811" s="6">
        <v>0.77638888888888891</v>
      </c>
      <c r="K1811" s="7" t="s">
        <v>26</v>
      </c>
      <c r="L1811" s="7" t="s">
        <v>27</v>
      </c>
      <c r="M1811" s="7" t="s">
        <v>21</v>
      </c>
      <c r="N1811" s="7">
        <f>COUNTIFS(A:A,A1811,D:D,D1811,E:E,I1811)</f>
        <v>0</v>
      </c>
    </row>
    <row r="1812" spans="1:14" x14ac:dyDescent="0.3">
      <c r="A1812" s="7" t="s">
        <v>115</v>
      </c>
      <c r="B1812" s="7" t="s">
        <v>116</v>
      </c>
      <c r="C1812" s="7" t="s">
        <v>426</v>
      </c>
      <c r="D1812" s="8">
        <v>45327</v>
      </c>
      <c r="E1812" s="8" t="str">
        <f t="shared" si="111"/>
        <v>February</v>
      </c>
      <c r="F1812">
        <f t="shared" si="112"/>
        <v>2024</v>
      </c>
      <c r="G1812">
        <f t="shared" si="113"/>
        <v>1</v>
      </c>
      <c r="H1812">
        <f t="shared" si="114"/>
        <v>0</v>
      </c>
      <c r="I1812" s="6">
        <v>0.42499999999999999</v>
      </c>
      <c r="J1812" s="6">
        <v>0.72847222222222219</v>
      </c>
      <c r="K1812" s="7" t="s">
        <v>13</v>
      </c>
      <c r="L1812" s="7" t="s">
        <v>27</v>
      </c>
      <c r="M1812" s="7" t="s">
        <v>21</v>
      </c>
      <c r="N1812" s="7">
        <f>COUNTIFS(A:A,A1812,D:D,D1812,E:E,I1812)</f>
        <v>0</v>
      </c>
    </row>
    <row r="1813" spans="1:14" x14ac:dyDescent="0.3">
      <c r="A1813" s="7" t="s">
        <v>236</v>
      </c>
      <c r="B1813" s="7" t="s">
        <v>237</v>
      </c>
      <c r="C1813" s="7" t="s">
        <v>64</v>
      </c>
      <c r="D1813" s="8">
        <v>45292</v>
      </c>
      <c r="E1813" s="8" t="str">
        <f t="shared" si="111"/>
        <v>January</v>
      </c>
      <c r="F1813">
        <f t="shared" si="112"/>
        <v>2024</v>
      </c>
      <c r="G1813">
        <f t="shared" si="113"/>
        <v>0</v>
      </c>
      <c r="H1813">
        <f t="shared" si="114"/>
        <v>0</v>
      </c>
      <c r="I1813" s="6"/>
      <c r="J1813" s="6"/>
      <c r="K1813" s="7" t="s">
        <v>44</v>
      </c>
      <c r="L1813" s="7" t="s">
        <v>14</v>
      </c>
      <c r="M1813" s="7" t="s">
        <v>15</v>
      </c>
      <c r="N1813" s="7">
        <f>COUNTIFS(A:A,A1813,D:D,D1813,E:E,I1813)</f>
        <v>0</v>
      </c>
    </row>
    <row r="1814" spans="1:14" x14ac:dyDescent="0.3">
      <c r="A1814" s="7" t="s">
        <v>236</v>
      </c>
      <c r="B1814" s="7" t="s">
        <v>237</v>
      </c>
      <c r="C1814" s="7" t="s">
        <v>60</v>
      </c>
      <c r="D1814" s="8">
        <v>45302</v>
      </c>
      <c r="E1814" s="8" t="str">
        <f t="shared" si="111"/>
        <v>January</v>
      </c>
      <c r="F1814">
        <f t="shared" si="112"/>
        <v>2024</v>
      </c>
      <c r="G1814">
        <f t="shared" si="113"/>
        <v>1</v>
      </c>
      <c r="H1814">
        <f t="shared" si="114"/>
        <v>0</v>
      </c>
      <c r="I1814" s="6">
        <v>0.42986111111111114</v>
      </c>
      <c r="J1814" s="6">
        <v>0.72430555555555554</v>
      </c>
      <c r="K1814" s="7" t="s">
        <v>20</v>
      </c>
      <c r="L1814" s="7" t="s">
        <v>14</v>
      </c>
      <c r="M1814" s="7" t="s">
        <v>21</v>
      </c>
      <c r="N1814" s="7">
        <f>COUNTIFS(A:A,A1814,D:D,D1814,E:E,I1814)</f>
        <v>0</v>
      </c>
    </row>
    <row r="1815" spans="1:14" x14ac:dyDescent="0.3">
      <c r="A1815" s="7" t="s">
        <v>130</v>
      </c>
      <c r="B1815" s="7" t="s">
        <v>131</v>
      </c>
      <c r="C1815" s="7" t="s">
        <v>426</v>
      </c>
      <c r="D1815" s="8">
        <v>45321</v>
      </c>
      <c r="E1815" s="8" t="str">
        <f t="shared" si="111"/>
        <v>January</v>
      </c>
      <c r="F1815">
        <f t="shared" si="112"/>
        <v>2024</v>
      </c>
      <c r="G1815">
        <f t="shared" si="113"/>
        <v>1</v>
      </c>
      <c r="H1815">
        <f t="shared" si="114"/>
        <v>0</v>
      </c>
      <c r="I1815" s="6">
        <v>0.44791666666666669</v>
      </c>
      <c r="J1815" s="6">
        <v>0.6875</v>
      </c>
      <c r="K1815" s="7" t="s">
        <v>20</v>
      </c>
      <c r="L1815" s="7" t="s">
        <v>14</v>
      </c>
      <c r="M1815" s="7" t="s">
        <v>15</v>
      </c>
      <c r="N1815" s="7">
        <f>COUNTIFS(A:A,A1815,D:D,D1815,E:E,I1815)</f>
        <v>0</v>
      </c>
    </row>
    <row r="1816" spans="1:14" x14ac:dyDescent="0.3">
      <c r="A1816" s="7" t="s">
        <v>99</v>
      </c>
      <c r="B1816" s="7" t="s">
        <v>100</v>
      </c>
      <c r="C1816" s="7" t="s">
        <v>426</v>
      </c>
      <c r="D1816" s="8">
        <v>45378</v>
      </c>
      <c r="E1816" s="8" t="str">
        <f t="shared" si="111"/>
        <v>March</v>
      </c>
      <c r="F1816">
        <f t="shared" si="112"/>
        <v>2024</v>
      </c>
      <c r="G1816">
        <f t="shared" si="113"/>
        <v>1</v>
      </c>
      <c r="H1816">
        <f t="shared" si="114"/>
        <v>0</v>
      </c>
      <c r="I1816" s="6">
        <v>0.38333333333333336</v>
      </c>
      <c r="J1816" s="6">
        <v>0.79513888888888884</v>
      </c>
      <c r="K1816" s="7" t="s">
        <v>20</v>
      </c>
      <c r="L1816" s="7" t="s">
        <v>27</v>
      </c>
      <c r="M1816" s="7" t="s">
        <v>15</v>
      </c>
      <c r="N1816" s="7">
        <f>COUNTIFS(A:A,A1816,D:D,D1816,E:E,I1816)</f>
        <v>0</v>
      </c>
    </row>
    <row r="1817" spans="1:14" x14ac:dyDescent="0.3">
      <c r="A1817" s="7" t="s">
        <v>250</v>
      </c>
      <c r="B1817" s="7" t="s">
        <v>251</v>
      </c>
      <c r="C1817" s="7" t="s">
        <v>42</v>
      </c>
      <c r="D1817" s="8">
        <v>45320</v>
      </c>
      <c r="E1817" s="8" t="str">
        <f t="shared" si="111"/>
        <v>January</v>
      </c>
      <c r="F1817">
        <f t="shared" si="112"/>
        <v>2024</v>
      </c>
      <c r="G1817">
        <f t="shared" si="113"/>
        <v>0</v>
      </c>
      <c r="H1817">
        <f t="shared" si="114"/>
        <v>0</v>
      </c>
      <c r="I1817" s="6"/>
      <c r="J1817" s="6"/>
      <c r="K1817" s="7" t="s">
        <v>44</v>
      </c>
      <c r="L1817" s="7" t="s">
        <v>14</v>
      </c>
      <c r="M1817" s="7" t="s">
        <v>21</v>
      </c>
      <c r="N1817" s="7">
        <f>COUNTIFS(A:A,A1817,D:D,D1817,E:E,I1817)</f>
        <v>0</v>
      </c>
    </row>
    <row r="1818" spans="1:14" x14ac:dyDescent="0.3">
      <c r="A1818" s="7" t="s">
        <v>75</v>
      </c>
      <c r="B1818" s="7" t="s">
        <v>76</v>
      </c>
      <c r="C1818" s="7" t="s">
        <v>425</v>
      </c>
      <c r="D1818" s="8">
        <v>45415</v>
      </c>
      <c r="E1818" s="8" t="str">
        <f t="shared" si="111"/>
        <v>May</v>
      </c>
      <c r="F1818">
        <f t="shared" si="112"/>
        <v>2024</v>
      </c>
      <c r="G1818">
        <f t="shared" si="113"/>
        <v>0</v>
      </c>
      <c r="H1818">
        <f t="shared" si="114"/>
        <v>0</v>
      </c>
      <c r="I1818" s="6"/>
      <c r="J1818" s="6"/>
      <c r="K1818" s="7" t="s">
        <v>44</v>
      </c>
      <c r="L1818" s="7" t="s">
        <v>14</v>
      </c>
      <c r="M1818" s="7" t="s">
        <v>21</v>
      </c>
      <c r="N1818" s="7">
        <f>COUNTIFS(A:A,A1818,D:D,D1818,E:E,I1818)</f>
        <v>0</v>
      </c>
    </row>
    <row r="1819" spans="1:14" x14ac:dyDescent="0.3">
      <c r="A1819" s="7" t="s">
        <v>37</v>
      </c>
      <c r="B1819" s="7" t="s">
        <v>38</v>
      </c>
      <c r="C1819" s="7" t="s">
        <v>426</v>
      </c>
      <c r="D1819" s="8">
        <v>45326</v>
      </c>
      <c r="E1819" s="8" t="str">
        <f t="shared" si="111"/>
        <v>February</v>
      </c>
      <c r="F1819">
        <f t="shared" si="112"/>
        <v>2024</v>
      </c>
      <c r="G1819">
        <f t="shared" si="113"/>
        <v>1</v>
      </c>
      <c r="H1819">
        <f t="shared" si="114"/>
        <v>0</v>
      </c>
      <c r="I1819" s="6">
        <v>0.37777777777777777</v>
      </c>
      <c r="J1819" s="6">
        <v>0.81111111111111112</v>
      </c>
      <c r="K1819" s="7" t="s">
        <v>13</v>
      </c>
      <c r="L1819" s="7" t="s">
        <v>14</v>
      </c>
      <c r="M1819" s="7" t="s">
        <v>15</v>
      </c>
      <c r="N1819" s="7">
        <f>COUNTIFS(A:A,A1819,D:D,D1819,E:E,I1819)</f>
        <v>0</v>
      </c>
    </row>
    <row r="1820" spans="1:14" x14ac:dyDescent="0.3">
      <c r="A1820" s="7" t="s">
        <v>84</v>
      </c>
      <c r="B1820" s="7" t="s">
        <v>85</v>
      </c>
      <c r="C1820" s="7" t="s">
        <v>426</v>
      </c>
      <c r="D1820" s="8">
        <v>45366</v>
      </c>
      <c r="E1820" s="8" t="str">
        <f t="shared" si="111"/>
        <v>March</v>
      </c>
      <c r="F1820">
        <f t="shared" si="112"/>
        <v>2024</v>
      </c>
      <c r="G1820">
        <f t="shared" si="113"/>
        <v>1</v>
      </c>
      <c r="H1820">
        <f t="shared" si="114"/>
        <v>1</v>
      </c>
      <c r="I1820" s="6">
        <v>0.44513888888888886</v>
      </c>
      <c r="J1820" s="6">
        <v>0.86597222222222225</v>
      </c>
      <c r="K1820" s="7" t="s">
        <v>26</v>
      </c>
      <c r="L1820" s="7" t="s">
        <v>27</v>
      </c>
      <c r="M1820" s="7" t="s">
        <v>21</v>
      </c>
      <c r="N1820" s="7">
        <f>COUNTIFS(A:A,A1820,D:D,D1820,E:E,I1820)</f>
        <v>0</v>
      </c>
    </row>
    <row r="1821" spans="1:14" x14ac:dyDescent="0.3">
      <c r="A1821" s="7" t="s">
        <v>191</v>
      </c>
      <c r="B1821" s="7" t="s">
        <v>192</v>
      </c>
      <c r="C1821" s="7" t="s">
        <v>42</v>
      </c>
      <c r="D1821" s="8">
        <v>45309</v>
      </c>
      <c r="E1821" s="8" t="str">
        <f t="shared" si="111"/>
        <v>January</v>
      </c>
      <c r="F1821">
        <f t="shared" si="112"/>
        <v>2024</v>
      </c>
      <c r="G1821">
        <f t="shared" si="113"/>
        <v>1</v>
      </c>
      <c r="H1821">
        <f t="shared" si="114"/>
        <v>1</v>
      </c>
      <c r="I1821" s="6">
        <v>0.34375</v>
      </c>
      <c r="J1821" s="6">
        <v>0.72222222222222221</v>
      </c>
      <c r="K1821" s="7" t="s">
        <v>26</v>
      </c>
      <c r="L1821" s="7" t="s">
        <v>14</v>
      </c>
      <c r="M1821" s="7" t="s">
        <v>21</v>
      </c>
      <c r="N1821" s="7">
        <f>COUNTIFS(A:A,A1821,D:D,D1821,E:E,I1821)</f>
        <v>0</v>
      </c>
    </row>
    <row r="1822" spans="1:14" x14ac:dyDescent="0.3">
      <c r="A1822" s="7" t="s">
        <v>22</v>
      </c>
      <c r="B1822" s="7" t="s">
        <v>23</v>
      </c>
      <c r="C1822" s="7" t="s">
        <v>42</v>
      </c>
      <c r="D1822" s="8">
        <v>45385</v>
      </c>
      <c r="E1822" s="8" t="str">
        <f t="shared" si="111"/>
        <v>April</v>
      </c>
      <c r="F1822">
        <f t="shared" si="112"/>
        <v>2024</v>
      </c>
      <c r="G1822">
        <f t="shared" si="113"/>
        <v>0</v>
      </c>
      <c r="H1822">
        <f t="shared" si="114"/>
        <v>0</v>
      </c>
      <c r="I1822" s="6"/>
      <c r="J1822" s="6"/>
      <c r="K1822" s="7" t="s">
        <v>44</v>
      </c>
      <c r="L1822" s="7" t="s">
        <v>14</v>
      </c>
      <c r="M1822" s="7" t="s">
        <v>21</v>
      </c>
      <c r="N1822" s="7">
        <f>COUNTIFS(A:A,A1822,D:D,D1822,E:E,I1822)</f>
        <v>0</v>
      </c>
    </row>
    <row r="1823" spans="1:14" x14ac:dyDescent="0.3">
      <c r="A1823" s="7" t="s">
        <v>96</v>
      </c>
      <c r="B1823" s="7" t="s">
        <v>97</v>
      </c>
      <c r="C1823" s="7" t="s">
        <v>64</v>
      </c>
      <c r="D1823" s="8">
        <v>45339</v>
      </c>
      <c r="E1823" s="8" t="str">
        <f t="shared" si="111"/>
        <v>February</v>
      </c>
      <c r="F1823">
        <f t="shared" si="112"/>
        <v>2024</v>
      </c>
      <c r="G1823">
        <f t="shared" si="113"/>
        <v>1</v>
      </c>
      <c r="H1823">
        <f t="shared" si="114"/>
        <v>0</v>
      </c>
      <c r="I1823" s="6">
        <v>0.34444444444444444</v>
      </c>
      <c r="J1823" s="6">
        <v>0.77638888888888891</v>
      </c>
      <c r="K1823" s="7" t="s">
        <v>13</v>
      </c>
      <c r="L1823" s="7" t="s">
        <v>14</v>
      </c>
      <c r="M1823" s="7" t="s">
        <v>15</v>
      </c>
      <c r="N1823" s="7">
        <f>COUNTIFS(A:A,A1823,D:D,D1823,E:E,I1823)</f>
        <v>0</v>
      </c>
    </row>
    <row r="1824" spans="1:14" x14ac:dyDescent="0.3">
      <c r="A1824" s="7" t="s">
        <v>130</v>
      </c>
      <c r="B1824" s="7" t="s">
        <v>131</v>
      </c>
      <c r="C1824" s="7" t="s">
        <v>426</v>
      </c>
      <c r="D1824" s="8">
        <v>45353</v>
      </c>
      <c r="E1824" s="8" t="str">
        <f t="shared" si="111"/>
        <v>March</v>
      </c>
      <c r="F1824">
        <f t="shared" si="112"/>
        <v>2024</v>
      </c>
      <c r="G1824">
        <f t="shared" si="113"/>
        <v>0</v>
      </c>
      <c r="H1824">
        <f t="shared" si="114"/>
        <v>0</v>
      </c>
      <c r="I1824" s="6"/>
      <c r="J1824" s="6"/>
      <c r="K1824" s="7" t="s">
        <v>44</v>
      </c>
      <c r="L1824" s="7" t="s">
        <v>27</v>
      </c>
      <c r="M1824" s="7" t="s">
        <v>21</v>
      </c>
      <c r="N1824" s="7">
        <f>COUNTIFS(A:A,A1824,D:D,D1824,E:E,I1824)</f>
        <v>0</v>
      </c>
    </row>
    <row r="1825" spans="1:14" x14ac:dyDescent="0.3">
      <c r="A1825" s="7" t="s">
        <v>246</v>
      </c>
      <c r="B1825" s="7" t="s">
        <v>247</v>
      </c>
      <c r="C1825" s="7" t="s">
        <v>426</v>
      </c>
      <c r="D1825" s="8">
        <v>45445</v>
      </c>
      <c r="E1825" s="8" t="str">
        <f t="shared" si="111"/>
        <v>June</v>
      </c>
      <c r="F1825">
        <f t="shared" si="112"/>
        <v>2024</v>
      </c>
      <c r="G1825">
        <f t="shared" si="113"/>
        <v>0</v>
      </c>
      <c r="H1825">
        <f t="shared" si="114"/>
        <v>0</v>
      </c>
      <c r="I1825" s="6"/>
      <c r="J1825" s="6"/>
      <c r="K1825" s="7" t="s">
        <v>44</v>
      </c>
      <c r="L1825" s="7" t="s">
        <v>14</v>
      </c>
      <c r="M1825" s="7" t="s">
        <v>15</v>
      </c>
      <c r="N1825" s="7">
        <f>COUNTIFS(A:A,A1825,D:D,D1825,E:E,I1825)</f>
        <v>0</v>
      </c>
    </row>
    <row r="1826" spans="1:14" x14ac:dyDescent="0.3">
      <c r="A1826" s="7" t="s">
        <v>315</v>
      </c>
      <c r="B1826" s="7" t="s">
        <v>316</v>
      </c>
      <c r="C1826" s="7" t="s">
        <v>64</v>
      </c>
      <c r="D1826" s="8">
        <v>45318</v>
      </c>
      <c r="E1826" s="8" t="str">
        <f t="shared" si="111"/>
        <v>January</v>
      </c>
      <c r="F1826">
        <f t="shared" si="112"/>
        <v>2024</v>
      </c>
      <c r="G1826">
        <f t="shared" si="113"/>
        <v>0</v>
      </c>
      <c r="H1826">
        <f t="shared" si="114"/>
        <v>0</v>
      </c>
      <c r="I1826" s="6"/>
      <c r="J1826" s="6"/>
      <c r="K1826" s="7" t="s">
        <v>44</v>
      </c>
      <c r="L1826" s="7" t="s">
        <v>14</v>
      </c>
      <c r="M1826" s="7" t="s">
        <v>15</v>
      </c>
      <c r="N1826" s="7">
        <f>COUNTIFS(A:A,A1826,D:D,D1826,E:E,I1826)</f>
        <v>0</v>
      </c>
    </row>
    <row r="1827" spans="1:14" x14ac:dyDescent="0.3">
      <c r="A1827" s="7" t="s">
        <v>146</v>
      </c>
      <c r="B1827" s="7" t="s">
        <v>147</v>
      </c>
      <c r="C1827" s="7" t="s">
        <v>64</v>
      </c>
      <c r="D1827" s="8">
        <v>45371</v>
      </c>
      <c r="E1827" s="8" t="str">
        <f t="shared" si="111"/>
        <v>March</v>
      </c>
      <c r="F1827">
        <f t="shared" si="112"/>
        <v>2024</v>
      </c>
      <c r="G1827">
        <f t="shared" si="113"/>
        <v>0</v>
      </c>
      <c r="H1827">
        <f t="shared" si="114"/>
        <v>0</v>
      </c>
      <c r="I1827" s="6"/>
      <c r="J1827" s="6"/>
      <c r="K1827" s="7" t="s">
        <v>44</v>
      </c>
      <c r="L1827" s="7" t="s">
        <v>27</v>
      </c>
      <c r="M1827" s="7" t="s">
        <v>21</v>
      </c>
      <c r="N1827" s="7">
        <f>COUNTIFS(A:A,A1827,D:D,D1827,E:E,I1827)</f>
        <v>0</v>
      </c>
    </row>
    <row r="1828" spans="1:14" x14ac:dyDescent="0.3">
      <c r="A1828" s="7" t="s">
        <v>134</v>
      </c>
      <c r="B1828" s="7" t="s">
        <v>135</v>
      </c>
      <c r="C1828" s="7" t="s">
        <v>64</v>
      </c>
      <c r="D1828" s="8">
        <v>45326</v>
      </c>
      <c r="E1828" s="8" t="str">
        <f t="shared" si="111"/>
        <v>February</v>
      </c>
      <c r="F1828">
        <f t="shared" si="112"/>
        <v>2024</v>
      </c>
      <c r="G1828">
        <f t="shared" si="113"/>
        <v>1</v>
      </c>
      <c r="H1828">
        <f t="shared" si="114"/>
        <v>0</v>
      </c>
      <c r="I1828" s="6">
        <v>0.44305555555555554</v>
      </c>
      <c r="J1828" s="6">
        <v>0.68680555555555556</v>
      </c>
      <c r="K1828" s="7" t="s">
        <v>13</v>
      </c>
      <c r="L1828" s="7" t="s">
        <v>27</v>
      </c>
      <c r="M1828" s="7" t="s">
        <v>21</v>
      </c>
      <c r="N1828" s="7">
        <f>COUNTIFS(A:A,A1828,D:D,D1828,E:E,I1828)</f>
        <v>0</v>
      </c>
    </row>
    <row r="1829" spans="1:14" x14ac:dyDescent="0.3">
      <c r="A1829" s="7" t="s">
        <v>16</v>
      </c>
      <c r="B1829" s="7" t="s">
        <v>17</v>
      </c>
      <c r="C1829" s="7" t="s">
        <v>60</v>
      </c>
      <c r="D1829" s="8">
        <v>45374</v>
      </c>
      <c r="E1829" s="8" t="str">
        <f t="shared" si="111"/>
        <v>March</v>
      </c>
      <c r="F1829">
        <f t="shared" si="112"/>
        <v>2024</v>
      </c>
      <c r="G1829">
        <f t="shared" si="113"/>
        <v>1</v>
      </c>
      <c r="H1829">
        <f t="shared" si="114"/>
        <v>0</v>
      </c>
      <c r="I1829" s="6">
        <v>0.34444444444444444</v>
      </c>
      <c r="J1829" s="6">
        <v>0.85</v>
      </c>
      <c r="K1829" s="7" t="s">
        <v>20</v>
      </c>
      <c r="L1829" s="7" t="s">
        <v>27</v>
      </c>
      <c r="M1829" s="7" t="s">
        <v>21</v>
      </c>
      <c r="N1829" s="7">
        <f>COUNTIFS(A:A,A1829,D:D,D1829,E:E,I1829)</f>
        <v>0</v>
      </c>
    </row>
    <row r="1830" spans="1:14" x14ac:dyDescent="0.3">
      <c r="A1830" s="7" t="s">
        <v>62</v>
      </c>
      <c r="B1830" s="7" t="s">
        <v>63</v>
      </c>
      <c r="C1830" s="7" t="s">
        <v>426</v>
      </c>
      <c r="D1830" s="8">
        <v>45568</v>
      </c>
      <c r="E1830" s="8" t="str">
        <f t="shared" si="111"/>
        <v>October</v>
      </c>
      <c r="F1830">
        <f t="shared" si="112"/>
        <v>2024</v>
      </c>
      <c r="G1830">
        <f t="shared" si="113"/>
        <v>1</v>
      </c>
      <c r="H1830">
        <f t="shared" si="114"/>
        <v>0</v>
      </c>
      <c r="I1830" s="6">
        <v>0.40625</v>
      </c>
      <c r="J1830" s="6">
        <v>0.73263888888888884</v>
      </c>
      <c r="K1830" s="7" t="s">
        <v>20</v>
      </c>
      <c r="L1830" s="7" t="s">
        <v>14</v>
      </c>
      <c r="M1830" s="7" t="s">
        <v>21</v>
      </c>
      <c r="N1830" s="7">
        <f>COUNTIFS(A:A,A1830,D:D,D1830,E:E,I1830)</f>
        <v>0</v>
      </c>
    </row>
    <row r="1831" spans="1:14" x14ac:dyDescent="0.3">
      <c r="A1831" s="7" t="s">
        <v>31</v>
      </c>
      <c r="B1831" s="7" t="s">
        <v>32</v>
      </c>
      <c r="C1831" s="7" t="s">
        <v>426</v>
      </c>
      <c r="D1831" s="8">
        <v>45337</v>
      </c>
      <c r="E1831" s="8" t="str">
        <f t="shared" si="111"/>
        <v>February</v>
      </c>
      <c r="F1831">
        <f t="shared" si="112"/>
        <v>2024</v>
      </c>
      <c r="G1831">
        <f t="shared" si="113"/>
        <v>1</v>
      </c>
      <c r="H1831">
        <f t="shared" si="114"/>
        <v>0</v>
      </c>
      <c r="I1831" s="6">
        <v>0.46180555555555558</v>
      </c>
      <c r="J1831" s="6">
        <v>0.72083333333333333</v>
      </c>
      <c r="K1831" s="7" t="s">
        <v>20</v>
      </c>
      <c r="L1831" s="7" t="s">
        <v>14</v>
      </c>
      <c r="M1831" s="7" t="s">
        <v>15</v>
      </c>
      <c r="N1831" s="7">
        <f>COUNTIFS(A:A,A1831,D:D,D1831,E:E,I1831)</f>
        <v>0</v>
      </c>
    </row>
    <row r="1832" spans="1:14" x14ac:dyDescent="0.3">
      <c r="A1832" s="7" t="s">
        <v>362</v>
      </c>
      <c r="B1832" s="7" t="s">
        <v>363</v>
      </c>
      <c r="C1832" s="7" t="s">
        <v>42</v>
      </c>
      <c r="D1832" s="8">
        <v>45339</v>
      </c>
      <c r="E1832" s="8" t="str">
        <f t="shared" si="111"/>
        <v>February</v>
      </c>
      <c r="F1832">
        <f t="shared" si="112"/>
        <v>2024</v>
      </c>
      <c r="G1832">
        <f t="shared" si="113"/>
        <v>1</v>
      </c>
      <c r="H1832">
        <f t="shared" si="114"/>
        <v>0</v>
      </c>
      <c r="I1832" s="6">
        <v>0.40069444444444446</v>
      </c>
      <c r="J1832" s="6">
        <v>0.83333333333333337</v>
      </c>
      <c r="K1832" s="7" t="s">
        <v>20</v>
      </c>
      <c r="L1832" s="7" t="s">
        <v>27</v>
      </c>
      <c r="M1832" s="7" t="s">
        <v>15</v>
      </c>
      <c r="N1832" s="7">
        <f>COUNTIFS(A:A,A1832,D:D,D1832,E:E,I1832)</f>
        <v>0</v>
      </c>
    </row>
    <row r="1833" spans="1:14" x14ac:dyDescent="0.3">
      <c r="A1833" s="7" t="s">
        <v>87</v>
      </c>
      <c r="B1833" s="7" t="s">
        <v>88</v>
      </c>
      <c r="C1833" s="7" t="s">
        <v>42</v>
      </c>
      <c r="D1833" s="8">
        <v>45315</v>
      </c>
      <c r="E1833" s="8" t="str">
        <f t="shared" si="111"/>
        <v>January</v>
      </c>
      <c r="F1833">
        <f t="shared" si="112"/>
        <v>2024</v>
      </c>
      <c r="G1833">
        <f t="shared" si="113"/>
        <v>1</v>
      </c>
      <c r="H1833">
        <f t="shared" si="114"/>
        <v>0</v>
      </c>
      <c r="I1833" s="6">
        <v>0.46805555555555556</v>
      </c>
      <c r="J1833" s="6">
        <v>0.74791666666666667</v>
      </c>
      <c r="K1833" s="7" t="s">
        <v>13</v>
      </c>
      <c r="L1833" s="7" t="s">
        <v>14</v>
      </c>
      <c r="M1833" s="7" t="s">
        <v>21</v>
      </c>
      <c r="N1833" s="7">
        <f>COUNTIFS(A:A,A1833,D:D,D1833,E:E,I1833)</f>
        <v>0</v>
      </c>
    </row>
    <row r="1834" spans="1:14" x14ac:dyDescent="0.3">
      <c r="A1834" s="7" t="s">
        <v>28</v>
      </c>
      <c r="B1834" s="7" t="s">
        <v>29</v>
      </c>
      <c r="C1834" s="7" t="s">
        <v>42</v>
      </c>
      <c r="D1834" s="8">
        <v>45301</v>
      </c>
      <c r="E1834" s="8" t="str">
        <f t="shared" si="111"/>
        <v>January</v>
      </c>
      <c r="F1834">
        <f t="shared" si="112"/>
        <v>2024</v>
      </c>
      <c r="G1834">
        <f t="shared" si="113"/>
        <v>1</v>
      </c>
      <c r="H1834">
        <f t="shared" si="114"/>
        <v>0</v>
      </c>
      <c r="I1834" s="6">
        <v>0.47152777777777777</v>
      </c>
      <c r="J1834" s="6">
        <v>0.72777777777777775</v>
      </c>
      <c r="K1834" s="7" t="s">
        <v>13</v>
      </c>
      <c r="L1834" s="7" t="s">
        <v>27</v>
      </c>
      <c r="M1834" s="7" t="s">
        <v>15</v>
      </c>
      <c r="N1834" s="7">
        <f>COUNTIFS(A:A,A1834,D:D,D1834,E:E,I1834)</f>
        <v>0</v>
      </c>
    </row>
    <row r="1835" spans="1:14" x14ac:dyDescent="0.3">
      <c r="A1835" s="7" t="s">
        <v>175</v>
      </c>
      <c r="B1835" s="7" t="s">
        <v>176</v>
      </c>
      <c r="C1835" s="7" t="s">
        <v>426</v>
      </c>
      <c r="D1835" s="8">
        <v>45324</v>
      </c>
      <c r="E1835" s="8" t="str">
        <f t="shared" si="111"/>
        <v>February</v>
      </c>
      <c r="F1835">
        <f t="shared" si="112"/>
        <v>2024</v>
      </c>
      <c r="G1835">
        <f t="shared" si="113"/>
        <v>1</v>
      </c>
      <c r="H1835">
        <f t="shared" si="114"/>
        <v>1</v>
      </c>
      <c r="I1835" s="6">
        <v>0.3659722222222222</v>
      </c>
      <c r="J1835" s="6">
        <v>0.67083333333333328</v>
      </c>
      <c r="K1835" s="7" t="s">
        <v>26</v>
      </c>
      <c r="L1835" s="7" t="s">
        <v>27</v>
      </c>
      <c r="M1835" s="7" t="s">
        <v>15</v>
      </c>
      <c r="N1835" s="7">
        <f>COUNTIFS(A:A,A1835,D:D,D1835,E:E,I1835)</f>
        <v>0</v>
      </c>
    </row>
    <row r="1836" spans="1:14" x14ac:dyDescent="0.3">
      <c r="A1836" s="7" t="s">
        <v>45</v>
      </c>
      <c r="B1836" s="7" t="s">
        <v>46</v>
      </c>
      <c r="C1836" s="7" t="s">
        <v>64</v>
      </c>
      <c r="D1836" s="8">
        <v>45599</v>
      </c>
      <c r="E1836" s="8" t="str">
        <f t="shared" si="111"/>
        <v>November</v>
      </c>
      <c r="F1836">
        <f t="shared" si="112"/>
        <v>2024</v>
      </c>
      <c r="G1836">
        <f t="shared" si="113"/>
        <v>1</v>
      </c>
      <c r="H1836">
        <f t="shared" si="114"/>
        <v>0</v>
      </c>
      <c r="I1836" s="6">
        <v>0.43333333333333335</v>
      </c>
      <c r="J1836" s="6">
        <v>0.72430555555555554</v>
      </c>
      <c r="K1836" s="7" t="s">
        <v>20</v>
      </c>
      <c r="L1836" s="7" t="s">
        <v>27</v>
      </c>
      <c r="M1836" s="7" t="s">
        <v>21</v>
      </c>
      <c r="N1836" s="7">
        <f>COUNTIFS(A:A,A1836,D:D,D1836,E:E,I1836)</f>
        <v>0</v>
      </c>
    </row>
    <row r="1837" spans="1:14" x14ac:dyDescent="0.3">
      <c r="A1837" s="7" t="s">
        <v>269</v>
      </c>
      <c r="B1837" s="7" t="s">
        <v>270</v>
      </c>
      <c r="C1837" s="7" t="s">
        <v>64</v>
      </c>
      <c r="D1837" s="8">
        <v>45355</v>
      </c>
      <c r="E1837" s="8" t="str">
        <f t="shared" si="111"/>
        <v>March</v>
      </c>
      <c r="F1837">
        <f t="shared" si="112"/>
        <v>2024</v>
      </c>
      <c r="G1837">
        <f t="shared" si="113"/>
        <v>1</v>
      </c>
      <c r="H1837">
        <f t="shared" si="114"/>
        <v>0</v>
      </c>
      <c r="I1837" s="6">
        <v>0.46041666666666664</v>
      </c>
      <c r="J1837" s="6">
        <v>0.81874999999999998</v>
      </c>
      <c r="K1837" s="7" t="s">
        <v>20</v>
      </c>
      <c r="L1837" s="7" t="s">
        <v>27</v>
      </c>
      <c r="M1837" s="7" t="s">
        <v>15</v>
      </c>
      <c r="N1837" s="7">
        <f>COUNTIFS(A:A,A1837,D:D,D1837,E:E,I1837)</f>
        <v>0</v>
      </c>
    </row>
    <row r="1838" spans="1:14" x14ac:dyDescent="0.3">
      <c r="A1838" s="7" t="s">
        <v>165</v>
      </c>
      <c r="B1838" s="7" t="s">
        <v>166</v>
      </c>
      <c r="C1838" s="7" t="s">
        <v>60</v>
      </c>
      <c r="D1838" s="8">
        <v>45304</v>
      </c>
      <c r="E1838" s="8" t="str">
        <f t="shared" si="111"/>
        <v>January</v>
      </c>
      <c r="F1838">
        <f t="shared" si="112"/>
        <v>2024</v>
      </c>
      <c r="G1838">
        <f t="shared" si="113"/>
        <v>1</v>
      </c>
      <c r="H1838">
        <f t="shared" si="114"/>
        <v>0</v>
      </c>
      <c r="I1838" s="6">
        <v>0.34097222222222223</v>
      </c>
      <c r="J1838" s="6">
        <v>0.77361111111111114</v>
      </c>
      <c r="K1838" s="7" t="s">
        <v>13</v>
      </c>
      <c r="L1838" s="7" t="s">
        <v>14</v>
      </c>
      <c r="M1838" s="7" t="s">
        <v>15</v>
      </c>
      <c r="N1838" s="7">
        <f>COUNTIFS(A:A,A1838,D:D,D1838,E:E,I1838)</f>
        <v>0</v>
      </c>
    </row>
    <row r="1839" spans="1:14" x14ac:dyDescent="0.3">
      <c r="A1839" s="7" t="s">
        <v>112</v>
      </c>
      <c r="B1839" s="7" t="s">
        <v>113</v>
      </c>
      <c r="C1839" s="7" t="s">
        <v>425</v>
      </c>
      <c r="D1839" s="8">
        <v>45316</v>
      </c>
      <c r="E1839" s="8" t="str">
        <f t="shared" si="111"/>
        <v>January</v>
      </c>
      <c r="F1839">
        <f t="shared" si="112"/>
        <v>2024</v>
      </c>
      <c r="G1839">
        <f t="shared" si="113"/>
        <v>1</v>
      </c>
      <c r="H1839">
        <f t="shared" si="114"/>
        <v>0</v>
      </c>
      <c r="I1839" s="6">
        <v>0.33680555555555558</v>
      </c>
      <c r="J1839" s="6">
        <v>0.84930555555555554</v>
      </c>
      <c r="K1839" s="7" t="s">
        <v>20</v>
      </c>
      <c r="L1839" s="7" t="s">
        <v>14</v>
      </c>
      <c r="M1839" s="7" t="s">
        <v>15</v>
      </c>
      <c r="N1839" s="7">
        <f>COUNTIFS(A:A,A1839,D:D,D1839,E:E,I1839)</f>
        <v>0</v>
      </c>
    </row>
    <row r="1840" spans="1:14" x14ac:dyDescent="0.3">
      <c r="A1840" s="7" t="s">
        <v>269</v>
      </c>
      <c r="B1840" s="7" t="s">
        <v>270</v>
      </c>
      <c r="C1840" s="7" t="s">
        <v>42</v>
      </c>
      <c r="D1840" s="8">
        <v>45312</v>
      </c>
      <c r="E1840" s="8" t="str">
        <f t="shared" si="111"/>
        <v>January</v>
      </c>
      <c r="F1840">
        <f t="shared" si="112"/>
        <v>2024</v>
      </c>
      <c r="G1840">
        <f t="shared" si="113"/>
        <v>0</v>
      </c>
      <c r="H1840">
        <f t="shared" si="114"/>
        <v>0</v>
      </c>
      <c r="I1840" s="6"/>
      <c r="J1840" s="6"/>
      <c r="K1840" s="7" t="s">
        <v>44</v>
      </c>
      <c r="L1840" s="7" t="s">
        <v>14</v>
      </c>
      <c r="M1840" s="7" t="s">
        <v>15</v>
      </c>
      <c r="N1840" s="7">
        <f>COUNTIFS(A:A,A1840,D:D,D1840,E:E,I1840)</f>
        <v>0</v>
      </c>
    </row>
    <row r="1841" spans="1:14" x14ac:dyDescent="0.3">
      <c r="A1841" s="7" t="s">
        <v>269</v>
      </c>
      <c r="B1841" s="7" t="s">
        <v>270</v>
      </c>
      <c r="C1841" s="7" t="s">
        <v>64</v>
      </c>
      <c r="D1841" s="8">
        <v>45350</v>
      </c>
      <c r="E1841" s="8" t="str">
        <f t="shared" si="111"/>
        <v>February</v>
      </c>
      <c r="F1841">
        <f t="shared" si="112"/>
        <v>2024</v>
      </c>
      <c r="G1841">
        <f t="shared" si="113"/>
        <v>1</v>
      </c>
      <c r="H1841">
        <f t="shared" si="114"/>
        <v>0</v>
      </c>
      <c r="I1841" s="6">
        <v>0.43125000000000002</v>
      </c>
      <c r="J1841" s="6">
        <v>0.85763888888888884</v>
      </c>
      <c r="K1841" s="7" t="s">
        <v>20</v>
      </c>
      <c r="L1841" s="7" t="s">
        <v>14</v>
      </c>
      <c r="M1841" s="7" t="s">
        <v>21</v>
      </c>
      <c r="N1841" s="7">
        <f>COUNTIFS(A:A,A1841,D:D,D1841,E:E,I1841)</f>
        <v>0</v>
      </c>
    </row>
    <row r="1842" spans="1:14" x14ac:dyDescent="0.3">
      <c r="A1842" s="7" t="s">
        <v>291</v>
      </c>
      <c r="B1842" s="7" t="s">
        <v>292</v>
      </c>
      <c r="C1842" s="7" t="s">
        <v>64</v>
      </c>
      <c r="D1842" s="8">
        <v>45364</v>
      </c>
      <c r="E1842" s="8" t="str">
        <f t="shared" si="111"/>
        <v>March</v>
      </c>
      <c r="F1842">
        <f t="shared" si="112"/>
        <v>2024</v>
      </c>
      <c r="G1842">
        <f t="shared" si="113"/>
        <v>1</v>
      </c>
      <c r="H1842">
        <f t="shared" si="114"/>
        <v>1</v>
      </c>
      <c r="I1842" s="6">
        <v>0.35902777777777778</v>
      </c>
      <c r="J1842" s="6">
        <v>0.76041666666666663</v>
      </c>
      <c r="K1842" s="7" t="s">
        <v>26</v>
      </c>
      <c r="L1842" s="7" t="s">
        <v>14</v>
      </c>
      <c r="M1842" s="7" t="s">
        <v>21</v>
      </c>
      <c r="N1842" s="7">
        <f>COUNTIFS(A:A,A1842,D:D,D1842,E:E,I1842)</f>
        <v>0</v>
      </c>
    </row>
    <row r="1843" spans="1:14" x14ac:dyDescent="0.3">
      <c r="A1843" s="7" t="s">
        <v>115</v>
      </c>
      <c r="B1843" s="7" t="s">
        <v>116</v>
      </c>
      <c r="C1843" s="7" t="s">
        <v>42</v>
      </c>
      <c r="D1843" s="8">
        <v>45507</v>
      </c>
      <c r="E1843" s="8" t="str">
        <f t="shared" si="111"/>
        <v>August</v>
      </c>
      <c r="F1843">
        <f t="shared" si="112"/>
        <v>2024</v>
      </c>
      <c r="G1843">
        <f t="shared" si="113"/>
        <v>1</v>
      </c>
      <c r="H1843">
        <f t="shared" si="114"/>
        <v>1</v>
      </c>
      <c r="I1843" s="6">
        <v>0.40347222222222223</v>
      </c>
      <c r="J1843" s="6">
        <v>0.7680555555555556</v>
      </c>
      <c r="K1843" s="7" t="s">
        <v>26</v>
      </c>
      <c r="L1843" s="7" t="s">
        <v>14</v>
      </c>
      <c r="M1843" s="7" t="s">
        <v>21</v>
      </c>
      <c r="N1843" s="7">
        <f>COUNTIFS(A:A,A1843,D:D,D1843,E:E,I1843)</f>
        <v>0</v>
      </c>
    </row>
    <row r="1844" spans="1:14" x14ac:dyDescent="0.3">
      <c r="A1844" s="7" t="s">
        <v>187</v>
      </c>
      <c r="B1844" s="7" t="s">
        <v>188</v>
      </c>
      <c r="C1844" s="7" t="s">
        <v>425</v>
      </c>
      <c r="D1844" s="8">
        <v>45324</v>
      </c>
      <c r="E1844" s="8" t="str">
        <f t="shared" si="111"/>
        <v>February</v>
      </c>
      <c r="F1844">
        <f t="shared" si="112"/>
        <v>2024</v>
      </c>
      <c r="G1844">
        <f t="shared" si="113"/>
        <v>0</v>
      </c>
      <c r="H1844">
        <f t="shared" si="114"/>
        <v>0</v>
      </c>
      <c r="I1844" s="6"/>
      <c r="J1844" s="6"/>
      <c r="K1844" s="7" t="s">
        <v>44</v>
      </c>
      <c r="L1844" s="7" t="s">
        <v>27</v>
      </c>
      <c r="M1844" s="7" t="s">
        <v>15</v>
      </c>
      <c r="N1844" s="7">
        <f>COUNTIFS(A:A,A1844,D:D,D1844,E:E,I1844)</f>
        <v>0</v>
      </c>
    </row>
    <row r="1845" spans="1:14" x14ac:dyDescent="0.3">
      <c r="A1845" s="7" t="s">
        <v>157</v>
      </c>
      <c r="B1845" s="7" t="s">
        <v>158</v>
      </c>
      <c r="C1845" s="7" t="s">
        <v>42</v>
      </c>
      <c r="D1845" s="8">
        <v>45349</v>
      </c>
      <c r="E1845" s="8" t="str">
        <f t="shared" si="111"/>
        <v>February</v>
      </c>
      <c r="F1845">
        <f t="shared" si="112"/>
        <v>2024</v>
      </c>
      <c r="G1845">
        <f t="shared" si="113"/>
        <v>0</v>
      </c>
      <c r="H1845">
        <f t="shared" si="114"/>
        <v>0</v>
      </c>
      <c r="I1845" s="6"/>
      <c r="J1845" s="6"/>
      <c r="K1845" s="7" t="s">
        <v>44</v>
      </c>
      <c r="L1845" s="7" t="s">
        <v>27</v>
      </c>
      <c r="M1845" s="7" t="s">
        <v>15</v>
      </c>
      <c r="N1845" s="7">
        <f>COUNTIFS(A:A,A1845,D:D,D1845,E:E,I1845)</f>
        <v>0</v>
      </c>
    </row>
    <row r="1846" spans="1:14" x14ac:dyDescent="0.3">
      <c r="A1846" s="7" t="s">
        <v>171</v>
      </c>
      <c r="B1846" s="7" t="s">
        <v>172</v>
      </c>
      <c r="C1846" s="7" t="s">
        <v>60</v>
      </c>
      <c r="D1846" s="8">
        <v>45335</v>
      </c>
      <c r="E1846" s="8" t="str">
        <f t="shared" si="111"/>
        <v>February</v>
      </c>
      <c r="F1846">
        <f t="shared" si="112"/>
        <v>2024</v>
      </c>
      <c r="G1846">
        <f t="shared" si="113"/>
        <v>0</v>
      </c>
      <c r="H1846">
        <f t="shared" si="114"/>
        <v>0</v>
      </c>
      <c r="I1846" s="6"/>
      <c r="J1846" s="6"/>
      <c r="K1846" s="7" t="s">
        <v>44</v>
      </c>
      <c r="L1846" s="7" t="s">
        <v>14</v>
      </c>
      <c r="M1846" s="7" t="s">
        <v>15</v>
      </c>
      <c r="N1846" s="7">
        <f>COUNTIFS(A:A,A1846,D:D,D1846,E:E,I1846)</f>
        <v>0</v>
      </c>
    </row>
    <row r="1847" spans="1:14" x14ac:dyDescent="0.3">
      <c r="A1847" s="7" t="s">
        <v>62</v>
      </c>
      <c r="B1847" s="7" t="s">
        <v>63</v>
      </c>
      <c r="C1847" s="7" t="s">
        <v>60</v>
      </c>
      <c r="D1847" s="8">
        <v>45376</v>
      </c>
      <c r="E1847" s="8" t="str">
        <f t="shared" si="111"/>
        <v>March</v>
      </c>
      <c r="F1847">
        <f t="shared" si="112"/>
        <v>2024</v>
      </c>
      <c r="G1847">
        <f t="shared" si="113"/>
        <v>1</v>
      </c>
      <c r="H1847">
        <f t="shared" si="114"/>
        <v>0</v>
      </c>
      <c r="I1847" s="6">
        <v>0.41458333333333336</v>
      </c>
      <c r="J1847" s="6">
        <v>0.80972222222222223</v>
      </c>
      <c r="K1847" s="7" t="s">
        <v>20</v>
      </c>
      <c r="L1847" s="7" t="s">
        <v>14</v>
      </c>
      <c r="M1847" s="7" t="s">
        <v>21</v>
      </c>
      <c r="N1847" s="7">
        <f>COUNTIFS(A:A,A1847,D:D,D1847,E:E,I1847)</f>
        <v>0</v>
      </c>
    </row>
    <row r="1848" spans="1:14" x14ac:dyDescent="0.3">
      <c r="A1848" s="7" t="s">
        <v>81</v>
      </c>
      <c r="B1848" s="7" t="s">
        <v>82</v>
      </c>
      <c r="C1848" s="7" t="s">
        <v>64</v>
      </c>
      <c r="D1848" s="8">
        <v>45381</v>
      </c>
      <c r="E1848" s="8" t="str">
        <f t="shared" si="111"/>
        <v>March</v>
      </c>
      <c r="F1848">
        <f t="shared" si="112"/>
        <v>2024</v>
      </c>
      <c r="G1848">
        <f t="shared" si="113"/>
        <v>1</v>
      </c>
      <c r="H1848">
        <f t="shared" si="114"/>
        <v>1</v>
      </c>
      <c r="I1848" s="6">
        <v>0.42499999999999999</v>
      </c>
      <c r="J1848" s="6">
        <v>0.7104166666666667</v>
      </c>
      <c r="K1848" s="7" t="s">
        <v>26</v>
      </c>
      <c r="L1848" s="7" t="s">
        <v>14</v>
      </c>
      <c r="M1848" s="7" t="s">
        <v>21</v>
      </c>
      <c r="N1848" s="7">
        <f>COUNTIFS(A:A,A1848,D:D,D1848,E:E,I1848)</f>
        <v>0</v>
      </c>
    </row>
    <row r="1849" spans="1:14" x14ac:dyDescent="0.3">
      <c r="A1849" s="7" t="s">
        <v>175</v>
      </c>
      <c r="B1849" s="7" t="s">
        <v>176</v>
      </c>
      <c r="C1849" s="7" t="s">
        <v>426</v>
      </c>
      <c r="D1849" s="8">
        <v>45352</v>
      </c>
      <c r="E1849" s="8" t="str">
        <f t="shared" si="111"/>
        <v>March</v>
      </c>
      <c r="F1849">
        <f t="shared" si="112"/>
        <v>2024</v>
      </c>
      <c r="G1849">
        <f t="shared" si="113"/>
        <v>1</v>
      </c>
      <c r="H1849">
        <f t="shared" si="114"/>
        <v>1</v>
      </c>
      <c r="I1849" s="6">
        <v>0.42638888888888887</v>
      </c>
      <c r="J1849" s="6">
        <v>0.70833333333333337</v>
      </c>
      <c r="K1849" s="7" t="s">
        <v>26</v>
      </c>
      <c r="L1849" s="7" t="s">
        <v>27</v>
      </c>
      <c r="M1849" s="7" t="s">
        <v>21</v>
      </c>
      <c r="N1849" s="7">
        <f>COUNTIFS(A:A,A1849,D:D,D1849,E:E,I1849)</f>
        <v>0</v>
      </c>
    </row>
    <row r="1850" spans="1:14" x14ac:dyDescent="0.3">
      <c r="A1850" s="7" t="s">
        <v>194</v>
      </c>
      <c r="B1850" s="7" t="s">
        <v>195</v>
      </c>
      <c r="C1850" s="7" t="s">
        <v>426</v>
      </c>
      <c r="D1850" s="8">
        <v>45321</v>
      </c>
      <c r="E1850" s="8" t="str">
        <f t="shared" si="111"/>
        <v>January</v>
      </c>
      <c r="F1850">
        <f t="shared" si="112"/>
        <v>2024</v>
      </c>
      <c r="G1850">
        <f t="shared" si="113"/>
        <v>1</v>
      </c>
      <c r="H1850">
        <f t="shared" si="114"/>
        <v>1</v>
      </c>
      <c r="I1850" s="6">
        <v>0.38819444444444445</v>
      </c>
      <c r="J1850" s="6">
        <v>0.70347222222222228</v>
      </c>
      <c r="K1850" s="7" t="s">
        <v>26</v>
      </c>
      <c r="L1850" s="7" t="s">
        <v>14</v>
      </c>
      <c r="M1850" s="7" t="s">
        <v>15</v>
      </c>
      <c r="N1850" s="7">
        <f>COUNTIFS(A:A,A1850,D:D,D1850,E:E,I1850)</f>
        <v>0</v>
      </c>
    </row>
    <row r="1851" spans="1:14" x14ac:dyDescent="0.3">
      <c r="A1851" s="7" t="s">
        <v>362</v>
      </c>
      <c r="B1851" s="7" t="s">
        <v>363</v>
      </c>
      <c r="C1851" s="7" t="s">
        <v>425</v>
      </c>
      <c r="D1851" s="8">
        <v>45369</v>
      </c>
      <c r="E1851" s="8" t="str">
        <f t="shared" si="111"/>
        <v>March</v>
      </c>
      <c r="F1851">
        <f t="shared" si="112"/>
        <v>2024</v>
      </c>
      <c r="G1851">
        <f t="shared" si="113"/>
        <v>1</v>
      </c>
      <c r="H1851">
        <f t="shared" si="114"/>
        <v>0</v>
      </c>
      <c r="I1851" s="6">
        <v>0.37361111111111112</v>
      </c>
      <c r="J1851" s="6">
        <v>0.78333333333333333</v>
      </c>
      <c r="K1851" s="7" t="s">
        <v>13</v>
      </c>
      <c r="L1851" s="7" t="s">
        <v>14</v>
      </c>
      <c r="M1851" s="7" t="s">
        <v>15</v>
      </c>
      <c r="N1851" s="7">
        <f>COUNTIFS(A:A,A1851,D:D,D1851,E:E,I1851)</f>
        <v>0</v>
      </c>
    </row>
    <row r="1852" spans="1:14" x14ac:dyDescent="0.3">
      <c r="A1852" s="7" t="s">
        <v>96</v>
      </c>
      <c r="B1852" s="7" t="s">
        <v>97</v>
      </c>
      <c r="C1852" s="7" t="s">
        <v>42</v>
      </c>
      <c r="D1852" s="8">
        <v>45338</v>
      </c>
      <c r="E1852" s="8" t="str">
        <f t="shared" si="111"/>
        <v>February</v>
      </c>
      <c r="F1852">
        <f t="shared" si="112"/>
        <v>2024</v>
      </c>
      <c r="G1852">
        <f t="shared" si="113"/>
        <v>1</v>
      </c>
      <c r="H1852">
        <f t="shared" si="114"/>
        <v>0</v>
      </c>
      <c r="I1852" s="6">
        <v>0.48541666666666666</v>
      </c>
      <c r="J1852" s="6">
        <v>0.76388888888888884</v>
      </c>
      <c r="K1852" s="7" t="s">
        <v>20</v>
      </c>
      <c r="L1852" s="7" t="s">
        <v>14</v>
      </c>
      <c r="M1852" s="7" t="s">
        <v>21</v>
      </c>
      <c r="N1852" s="7">
        <f>COUNTIFS(A:A,A1852,D:D,D1852,E:E,I1852)</f>
        <v>0</v>
      </c>
    </row>
    <row r="1853" spans="1:14" x14ac:dyDescent="0.3">
      <c r="A1853" s="7" t="s">
        <v>130</v>
      </c>
      <c r="B1853" s="7" t="s">
        <v>131</v>
      </c>
      <c r="C1853" s="7" t="s">
        <v>42</v>
      </c>
      <c r="D1853" s="8">
        <v>45369</v>
      </c>
      <c r="E1853" s="8" t="str">
        <f t="shared" si="111"/>
        <v>March</v>
      </c>
      <c r="F1853">
        <f t="shared" si="112"/>
        <v>2024</v>
      </c>
      <c r="G1853">
        <f t="shared" si="113"/>
        <v>1</v>
      </c>
      <c r="H1853">
        <f t="shared" si="114"/>
        <v>1</v>
      </c>
      <c r="I1853" s="6">
        <v>0.46319444444444446</v>
      </c>
      <c r="J1853" s="6">
        <v>0.8618055555555556</v>
      </c>
      <c r="K1853" s="7" t="s">
        <v>26</v>
      </c>
      <c r="L1853" s="7" t="s">
        <v>27</v>
      </c>
      <c r="M1853" s="7" t="s">
        <v>21</v>
      </c>
      <c r="N1853" s="7">
        <f>COUNTIFS(A:A,A1853,D:D,D1853,E:E,I1853)</f>
        <v>0</v>
      </c>
    </row>
    <row r="1854" spans="1:14" x14ac:dyDescent="0.3">
      <c r="A1854" s="7" t="s">
        <v>109</v>
      </c>
      <c r="B1854" s="7" t="s">
        <v>110</v>
      </c>
      <c r="C1854" s="7" t="s">
        <v>425</v>
      </c>
      <c r="D1854" s="8">
        <v>45336</v>
      </c>
      <c r="E1854" s="8" t="str">
        <f t="shared" si="111"/>
        <v>February</v>
      </c>
      <c r="F1854">
        <f t="shared" si="112"/>
        <v>2024</v>
      </c>
      <c r="G1854">
        <f t="shared" si="113"/>
        <v>0</v>
      </c>
      <c r="H1854">
        <f t="shared" si="114"/>
        <v>0</v>
      </c>
      <c r="I1854" s="6"/>
      <c r="J1854" s="6"/>
      <c r="K1854" s="7" t="s">
        <v>44</v>
      </c>
      <c r="L1854" s="7" t="s">
        <v>14</v>
      </c>
      <c r="M1854" s="7" t="s">
        <v>21</v>
      </c>
      <c r="N1854" s="7">
        <f>COUNTIFS(A:A,A1854,D:D,D1854,E:E,I1854)</f>
        <v>0</v>
      </c>
    </row>
    <row r="1855" spans="1:14" x14ac:dyDescent="0.3">
      <c r="A1855" s="7" t="s">
        <v>246</v>
      </c>
      <c r="B1855" s="7" t="s">
        <v>247</v>
      </c>
      <c r="C1855" s="7" t="s">
        <v>426</v>
      </c>
      <c r="D1855" s="8">
        <v>45305</v>
      </c>
      <c r="E1855" s="8" t="str">
        <f t="shared" si="111"/>
        <v>January</v>
      </c>
      <c r="F1855">
        <f t="shared" si="112"/>
        <v>2024</v>
      </c>
      <c r="G1855">
        <f t="shared" si="113"/>
        <v>1</v>
      </c>
      <c r="H1855">
        <f t="shared" si="114"/>
        <v>0</v>
      </c>
      <c r="I1855" s="6">
        <v>0.35972222222222222</v>
      </c>
      <c r="J1855" s="6">
        <v>0.77847222222222223</v>
      </c>
      <c r="K1855" s="7" t="s">
        <v>20</v>
      </c>
      <c r="L1855" s="7" t="s">
        <v>27</v>
      </c>
      <c r="M1855" s="7" t="s">
        <v>21</v>
      </c>
      <c r="N1855" s="7">
        <f>COUNTIFS(A:A,A1855,D:D,D1855,E:E,I1855)</f>
        <v>0</v>
      </c>
    </row>
    <row r="1856" spans="1:14" x14ac:dyDescent="0.3">
      <c r="A1856" s="7" t="s">
        <v>213</v>
      </c>
      <c r="B1856" s="7" t="s">
        <v>214</v>
      </c>
      <c r="C1856" s="7" t="s">
        <v>60</v>
      </c>
      <c r="D1856" s="8">
        <v>45309</v>
      </c>
      <c r="E1856" s="8" t="str">
        <f t="shared" si="111"/>
        <v>January</v>
      </c>
      <c r="F1856">
        <f t="shared" si="112"/>
        <v>2024</v>
      </c>
      <c r="G1856">
        <f t="shared" si="113"/>
        <v>1</v>
      </c>
      <c r="H1856">
        <f t="shared" si="114"/>
        <v>1</v>
      </c>
      <c r="I1856" s="6">
        <v>0.46111111111111114</v>
      </c>
      <c r="J1856" s="6">
        <v>0.68472222222222223</v>
      </c>
      <c r="K1856" s="7" t="s">
        <v>26</v>
      </c>
      <c r="L1856" s="7" t="s">
        <v>27</v>
      </c>
      <c r="M1856" s="7" t="s">
        <v>21</v>
      </c>
      <c r="N1856" s="7">
        <f>COUNTIFS(A:A,A1856,D:D,D1856,E:E,I1856)</f>
        <v>0</v>
      </c>
    </row>
    <row r="1857" spans="1:14" x14ac:dyDescent="0.3">
      <c r="A1857" s="7" t="s">
        <v>194</v>
      </c>
      <c r="B1857" s="7" t="s">
        <v>195</v>
      </c>
      <c r="C1857" s="7" t="s">
        <v>64</v>
      </c>
      <c r="D1857" s="8">
        <v>45413</v>
      </c>
      <c r="E1857" s="8" t="str">
        <f t="shared" si="111"/>
        <v>May</v>
      </c>
      <c r="F1857">
        <f t="shared" si="112"/>
        <v>2024</v>
      </c>
      <c r="G1857">
        <f t="shared" si="113"/>
        <v>1</v>
      </c>
      <c r="H1857">
        <f t="shared" si="114"/>
        <v>0</v>
      </c>
      <c r="I1857" s="6">
        <v>0.34027777777777779</v>
      </c>
      <c r="J1857" s="6">
        <v>0.7944444444444444</v>
      </c>
      <c r="K1857" s="7" t="s">
        <v>13</v>
      </c>
      <c r="L1857" s="7" t="s">
        <v>14</v>
      </c>
      <c r="M1857" s="7" t="s">
        <v>21</v>
      </c>
      <c r="N1857" s="7">
        <f>COUNTIFS(A:A,A1857,D:D,D1857,E:E,I1857)</f>
        <v>0</v>
      </c>
    </row>
    <row r="1858" spans="1:14" x14ac:dyDescent="0.3">
      <c r="A1858" s="7" t="s">
        <v>138</v>
      </c>
      <c r="B1858" s="7" t="s">
        <v>139</v>
      </c>
      <c r="C1858" s="7" t="s">
        <v>60</v>
      </c>
      <c r="D1858" s="8">
        <v>45346</v>
      </c>
      <c r="E1858" s="8" t="str">
        <f t="shared" ref="E1858:E1921" si="115">TEXT(D1858,"mmmm")</f>
        <v>February</v>
      </c>
      <c r="F1858">
        <f t="shared" ref="F1858:F1921" si="116">YEAR(D1858)</f>
        <v>2024</v>
      </c>
      <c r="G1858">
        <f t="shared" ref="G1858:G1921" si="117">IF(LOWER(K1858)="absent",0,1)</f>
        <v>0</v>
      </c>
      <c r="H1858">
        <f t="shared" ref="H1858:H1921" si="118">IF(K1858="Late",1,0)</f>
        <v>0</v>
      </c>
      <c r="I1858" s="6"/>
      <c r="J1858" s="6"/>
      <c r="K1858" s="7" t="s">
        <v>44</v>
      </c>
      <c r="L1858" s="7" t="s">
        <v>27</v>
      </c>
      <c r="M1858" s="7" t="s">
        <v>15</v>
      </c>
      <c r="N1858" s="7">
        <f>COUNTIFS(A:A,A1858,D:D,D1858,E:E,I1858)</f>
        <v>0</v>
      </c>
    </row>
    <row r="1859" spans="1:14" x14ac:dyDescent="0.3">
      <c r="A1859" s="7" t="s">
        <v>236</v>
      </c>
      <c r="B1859" s="7" t="s">
        <v>237</v>
      </c>
      <c r="C1859" s="7" t="s">
        <v>42</v>
      </c>
      <c r="D1859" s="8">
        <v>45292</v>
      </c>
      <c r="E1859" s="8" t="str">
        <f t="shared" si="115"/>
        <v>January</v>
      </c>
      <c r="F1859">
        <f t="shared" si="116"/>
        <v>2024</v>
      </c>
      <c r="G1859">
        <f t="shared" si="117"/>
        <v>1</v>
      </c>
      <c r="H1859">
        <f t="shared" si="118"/>
        <v>0</v>
      </c>
      <c r="I1859" s="6">
        <v>0.48125000000000001</v>
      </c>
      <c r="J1859" s="6">
        <v>0.80208333333333337</v>
      </c>
      <c r="K1859" s="7" t="s">
        <v>20</v>
      </c>
      <c r="L1859" s="7" t="s">
        <v>14</v>
      </c>
      <c r="M1859" s="7" t="s">
        <v>21</v>
      </c>
      <c r="N1859" s="7">
        <f>COUNTIFS(A:A,A1859,D:D,D1859,E:E,I1859)</f>
        <v>0</v>
      </c>
    </row>
    <row r="1860" spans="1:14" x14ac:dyDescent="0.3">
      <c r="A1860" s="7" t="s">
        <v>66</v>
      </c>
      <c r="B1860" s="7" t="s">
        <v>67</v>
      </c>
      <c r="C1860" s="7" t="s">
        <v>64</v>
      </c>
      <c r="D1860" s="8">
        <v>45349</v>
      </c>
      <c r="E1860" s="8" t="str">
        <f t="shared" si="115"/>
        <v>February</v>
      </c>
      <c r="F1860">
        <f t="shared" si="116"/>
        <v>2024</v>
      </c>
      <c r="G1860">
        <f t="shared" si="117"/>
        <v>0</v>
      </c>
      <c r="H1860">
        <f t="shared" si="118"/>
        <v>0</v>
      </c>
      <c r="I1860" s="6"/>
      <c r="J1860" s="6"/>
      <c r="K1860" s="7" t="s">
        <v>44</v>
      </c>
      <c r="L1860" s="7" t="s">
        <v>14</v>
      </c>
      <c r="M1860" s="7" t="s">
        <v>15</v>
      </c>
      <c r="N1860" s="7">
        <f>COUNTIFS(A:A,A1860,D:D,D1860,E:E,I1860)</f>
        <v>0</v>
      </c>
    </row>
    <row r="1861" spans="1:14" x14ac:dyDescent="0.3">
      <c r="A1861" s="7" t="s">
        <v>45</v>
      </c>
      <c r="B1861" s="7" t="s">
        <v>46</v>
      </c>
      <c r="C1861" s="7" t="s">
        <v>64</v>
      </c>
      <c r="D1861" s="8">
        <v>45376</v>
      </c>
      <c r="E1861" s="8" t="str">
        <f t="shared" si="115"/>
        <v>March</v>
      </c>
      <c r="F1861">
        <f t="shared" si="116"/>
        <v>2024</v>
      </c>
      <c r="G1861">
        <f t="shared" si="117"/>
        <v>1</v>
      </c>
      <c r="H1861">
        <f t="shared" si="118"/>
        <v>0</v>
      </c>
      <c r="I1861" s="6">
        <v>0.34722222222222221</v>
      </c>
      <c r="J1861" s="6">
        <v>0.75416666666666665</v>
      </c>
      <c r="K1861" s="7" t="s">
        <v>20</v>
      </c>
      <c r="L1861" s="7" t="s">
        <v>27</v>
      </c>
      <c r="M1861" s="7" t="s">
        <v>21</v>
      </c>
      <c r="N1861" s="7">
        <f>COUNTIFS(A:A,A1861,D:D,D1861,E:E,I1861)</f>
        <v>0</v>
      </c>
    </row>
    <row r="1862" spans="1:14" x14ac:dyDescent="0.3">
      <c r="A1862" s="7" t="s">
        <v>78</v>
      </c>
      <c r="B1862" s="7" t="s">
        <v>79</v>
      </c>
      <c r="C1862" s="7" t="s">
        <v>64</v>
      </c>
      <c r="D1862" s="8">
        <v>45368</v>
      </c>
      <c r="E1862" s="8" t="str">
        <f t="shared" si="115"/>
        <v>March</v>
      </c>
      <c r="F1862">
        <f t="shared" si="116"/>
        <v>2024</v>
      </c>
      <c r="G1862">
        <f t="shared" si="117"/>
        <v>1</v>
      </c>
      <c r="H1862">
        <f t="shared" si="118"/>
        <v>0</v>
      </c>
      <c r="I1862" s="6">
        <v>0.35138888888888886</v>
      </c>
      <c r="J1862" s="6">
        <v>0.78680555555555554</v>
      </c>
      <c r="K1862" s="7" t="s">
        <v>13</v>
      </c>
      <c r="L1862" s="7" t="s">
        <v>14</v>
      </c>
      <c r="M1862" s="7" t="s">
        <v>15</v>
      </c>
      <c r="N1862" s="7">
        <f>COUNTIFS(A:A,A1862,D:D,D1862,E:E,I1862)</f>
        <v>0</v>
      </c>
    </row>
    <row r="1863" spans="1:14" x14ac:dyDescent="0.3">
      <c r="A1863" s="7" t="s">
        <v>96</v>
      </c>
      <c r="B1863" s="7" t="s">
        <v>97</v>
      </c>
      <c r="C1863" s="7" t="s">
        <v>64</v>
      </c>
      <c r="D1863" s="8">
        <v>45304</v>
      </c>
      <c r="E1863" s="8" t="str">
        <f t="shared" si="115"/>
        <v>January</v>
      </c>
      <c r="F1863">
        <f t="shared" si="116"/>
        <v>2024</v>
      </c>
      <c r="G1863">
        <f t="shared" si="117"/>
        <v>0</v>
      </c>
      <c r="H1863">
        <f t="shared" si="118"/>
        <v>0</v>
      </c>
      <c r="I1863" s="6"/>
      <c r="J1863" s="6"/>
      <c r="K1863" s="7" t="s">
        <v>44</v>
      </c>
      <c r="L1863" s="7" t="s">
        <v>27</v>
      </c>
      <c r="M1863" s="7" t="s">
        <v>15</v>
      </c>
      <c r="N1863" s="7">
        <f>COUNTIFS(A:A,A1863,D:D,D1863,E:E,I1863)</f>
        <v>0</v>
      </c>
    </row>
    <row r="1864" spans="1:14" x14ac:dyDescent="0.3">
      <c r="A1864" s="7" t="s">
        <v>200</v>
      </c>
      <c r="B1864" s="7" t="s">
        <v>201</v>
      </c>
      <c r="C1864" s="7" t="s">
        <v>425</v>
      </c>
      <c r="D1864" s="8">
        <v>45350</v>
      </c>
      <c r="E1864" s="8" t="str">
        <f t="shared" si="115"/>
        <v>February</v>
      </c>
      <c r="F1864">
        <f t="shared" si="116"/>
        <v>2024</v>
      </c>
      <c r="G1864">
        <f t="shared" si="117"/>
        <v>1</v>
      </c>
      <c r="H1864">
        <f t="shared" si="118"/>
        <v>0</v>
      </c>
      <c r="I1864" s="6">
        <v>0.40902777777777777</v>
      </c>
      <c r="J1864" s="6">
        <v>0.71180555555555558</v>
      </c>
      <c r="K1864" s="7" t="s">
        <v>13</v>
      </c>
      <c r="L1864" s="7" t="s">
        <v>27</v>
      </c>
      <c r="M1864" s="7" t="s">
        <v>15</v>
      </c>
      <c r="N1864" s="7">
        <f>COUNTIFS(A:A,A1864,D:D,D1864,E:E,I1864)</f>
        <v>0</v>
      </c>
    </row>
    <row r="1865" spans="1:14" x14ac:dyDescent="0.3">
      <c r="A1865" s="7" t="s">
        <v>315</v>
      </c>
      <c r="B1865" s="7" t="s">
        <v>316</v>
      </c>
      <c r="C1865" s="7" t="s">
        <v>426</v>
      </c>
      <c r="D1865" s="8">
        <v>45341</v>
      </c>
      <c r="E1865" s="8" t="str">
        <f t="shared" si="115"/>
        <v>February</v>
      </c>
      <c r="F1865">
        <f t="shared" si="116"/>
        <v>2024</v>
      </c>
      <c r="G1865">
        <f t="shared" si="117"/>
        <v>0</v>
      </c>
      <c r="H1865">
        <f t="shared" si="118"/>
        <v>0</v>
      </c>
      <c r="I1865" s="6"/>
      <c r="J1865" s="6"/>
      <c r="K1865" s="7" t="s">
        <v>44</v>
      </c>
      <c r="L1865" s="7" t="s">
        <v>27</v>
      </c>
      <c r="M1865" s="7" t="s">
        <v>21</v>
      </c>
      <c r="N1865" s="7">
        <f>COUNTIFS(A:A,A1865,D:D,D1865,E:E,I1865)</f>
        <v>0</v>
      </c>
    </row>
    <row r="1866" spans="1:14" x14ac:dyDescent="0.3">
      <c r="A1866" s="7" t="s">
        <v>315</v>
      </c>
      <c r="B1866" s="7" t="s">
        <v>316</v>
      </c>
      <c r="C1866" s="7" t="s">
        <v>42</v>
      </c>
      <c r="D1866" s="8">
        <v>45316</v>
      </c>
      <c r="E1866" s="8" t="str">
        <f t="shared" si="115"/>
        <v>January</v>
      </c>
      <c r="F1866">
        <f t="shared" si="116"/>
        <v>2024</v>
      </c>
      <c r="G1866">
        <f t="shared" si="117"/>
        <v>0</v>
      </c>
      <c r="H1866">
        <f t="shared" si="118"/>
        <v>0</v>
      </c>
      <c r="I1866" s="6"/>
      <c r="J1866" s="6"/>
      <c r="K1866" s="7" t="s">
        <v>44</v>
      </c>
      <c r="L1866" s="7" t="s">
        <v>27</v>
      </c>
      <c r="M1866" s="7" t="s">
        <v>21</v>
      </c>
      <c r="N1866" s="7">
        <f>COUNTIFS(A:A,A1866,D:D,D1866,E:E,I1866)</f>
        <v>0</v>
      </c>
    </row>
    <row r="1867" spans="1:14" x14ac:dyDescent="0.3">
      <c r="A1867" s="7" t="s">
        <v>34</v>
      </c>
      <c r="B1867" s="7" t="s">
        <v>35</v>
      </c>
      <c r="C1867" s="7" t="s">
        <v>426</v>
      </c>
      <c r="D1867" s="8">
        <v>45314</v>
      </c>
      <c r="E1867" s="8" t="str">
        <f t="shared" si="115"/>
        <v>January</v>
      </c>
      <c r="F1867">
        <f t="shared" si="116"/>
        <v>2024</v>
      </c>
      <c r="G1867">
        <f t="shared" si="117"/>
        <v>1</v>
      </c>
      <c r="H1867">
        <f t="shared" si="118"/>
        <v>0</v>
      </c>
      <c r="I1867" s="6">
        <v>0.4861111111111111</v>
      </c>
      <c r="J1867" s="6">
        <v>0.79027777777777775</v>
      </c>
      <c r="K1867" s="7" t="s">
        <v>20</v>
      </c>
      <c r="L1867" s="7" t="s">
        <v>14</v>
      </c>
      <c r="M1867" s="7" t="s">
        <v>21</v>
      </c>
      <c r="N1867" s="7">
        <f>COUNTIFS(A:A,A1867,D:D,D1867,E:E,I1867)</f>
        <v>0</v>
      </c>
    </row>
    <row r="1868" spans="1:14" x14ac:dyDescent="0.3">
      <c r="A1868" s="7" t="s">
        <v>90</v>
      </c>
      <c r="B1868" s="7" t="s">
        <v>91</v>
      </c>
      <c r="C1868" s="7" t="s">
        <v>425</v>
      </c>
      <c r="D1868" s="8">
        <v>45378</v>
      </c>
      <c r="E1868" s="8" t="str">
        <f t="shared" si="115"/>
        <v>March</v>
      </c>
      <c r="F1868">
        <f t="shared" si="116"/>
        <v>2024</v>
      </c>
      <c r="G1868">
        <f t="shared" si="117"/>
        <v>1</v>
      </c>
      <c r="H1868">
        <f t="shared" si="118"/>
        <v>0</v>
      </c>
      <c r="I1868" s="6">
        <v>0.42986111111111114</v>
      </c>
      <c r="J1868" s="6">
        <v>0.67986111111111114</v>
      </c>
      <c r="K1868" s="7" t="s">
        <v>20</v>
      </c>
      <c r="L1868" s="7" t="s">
        <v>14</v>
      </c>
      <c r="M1868" s="7" t="s">
        <v>15</v>
      </c>
      <c r="N1868" s="7">
        <f>COUNTIFS(A:A,A1868,D:D,D1868,E:E,I1868)</f>
        <v>0</v>
      </c>
    </row>
    <row r="1869" spans="1:14" x14ac:dyDescent="0.3">
      <c r="A1869" s="7" t="s">
        <v>224</v>
      </c>
      <c r="B1869" s="7" t="s">
        <v>225</v>
      </c>
      <c r="C1869" s="7" t="s">
        <v>64</v>
      </c>
      <c r="D1869" s="8">
        <v>45294</v>
      </c>
      <c r="E1869" s="8" t="str">
        <f t="shared" si="115"/>
        <v>January</v>
      </c>
      <c r="F1869">
        <f t="shared" si="116"/>
        <v>2024</v>
      </c>
      <c r="G1869">
        <f t="shared" si="117"/>
        <v>1</v>
      </c>
      <c r="H1869">
        <f t="shared" si="118"/>
        <v>0</v>
      </c>
      <c r="I1869" s="6">
        <v>0.40486111111111112</v>
      </c>
      <c r="J1869" s="6">
        <v>0.75624999999999998</v>
      </c>
      <c r="K1869" s="7" t="s">
        <v>13</v>
      </c>
      <c r="L1869" s="7" t="s">
        <v>27</v>
      </c>
      <c r="M1869" s="7" t="s">
        <v>15</v>
      </c>
      <c r="N1869" s="7">
        <f>COUNTIFS(A:A,A1869,D:D,D1869,E:E,I1869)</f>
        <v>0</v>
      </c>
    </row>
    <row r="1870" spans="1:14" x14ac:dyDescent="0.3">
      <c r="A1870" s="7" t="s">
        <v>28</v>
      </c>
      <c r="B1870" s="7" t="s">
        <v>29</v>
      </c>
      <c r="C1870" s="7" t="s">
        <v>426</v>
      </c>
      <c r="D1870" s="8">
        <v>45338</v>
      </c>
      <c r="E1870" s="8" t="str">
        <f t="shared" si="115"/>
        <v>February</v>
      </c>
      <c r="F1870">
        <f t="shared" si="116"/>
        <v>2024</v>
      </c>
      <c r="G1870">
        <f t="shared" si="117"/>
        <v>0</v>
      </c>
      <c r="H1870">
        <f t="shared" si="118"/>
        <v>0</v>
      </c>
      <c r="I1870" s="6"/>
      <c r="J1870" s="6"/>
      <c r="K1870" s="7" t="s">
        <v>44</v>
      </c>
      <c r="L1870" s="7" t="s">
        <v>14</v>
      </c>
      <c r="M1870" s="7" t="s">
        <v>21</v>
      </c>
      <c r="N1870" s="7">
        <f>COUNTIFS(A:A,A1870,D:D,D1870,E:E,I1870)</f>
        <v>0</v>
      </c>
    </row>
    <row r="1871" spans="1:14" x14ac:dyDescent="0.3">
      <c r="A1871" s="7" t="s">
        <v>37</v>
      </c>
      <c r="B1871" s="7" t="s">
        <v>38</v>
      </c>
      <c r="C1871" s="7" t="s">
        <v>60</v>
      </c>
      <c r="D1871" s="8">
        <v>45536</v>
      </c>
      <c r="E1871" s="8" t="str">
        <f t="shared" si="115"/>
        <v>September</v>
      </c>
      <c r="F1871">
        <f t="shared" si="116"/>
        <v>2024</v>
      </c>
      <c r="G1871">
        <f t="shared" si="117"/>
        <v>1</v>
      </c>
      <c r="H1871">
        <f t="shared" si="118"/>
        <v>0</v>
      </c>
      <c r="I1871" s="6">
        <v>0.43611111111111112</v>
      </c>
      <c r="J1871" s="6">
        <v>0.77361111111111114</v>
      </c>
      <c r="K1871" s="7" t="s">
        <v>13</v>
      </c>
      <c r="L1871" s="7" t="s">
        <v>27</v>
      </c>
      <c r="M1871" s="7" t="s">
        <v>15</v>
      </c>
      <c r="N1871" s="7">
        <f>COUNTIFS(A:A,A1871,D:D,D1871,E:E,I1871)</f>
        <v>0</v>
      </c>
    </row>
    <row r="1872" spans="1:14" x14ac:dyDescent="0.3">
      <c r="A1872" s="7" t="s">
        <v>81</v>
      </c>
      <c r="B1872" s="7" t="s">
        <v>82</v>
      </c>
      <c r="C1872" s="7" t="s">
        <v>425</v>
      </c>
      <c r="D1872" s="8">
        <v>45313</v>
      </c>
      <c r="E1872" s="8" t="str">
        <f t="shared" si="115"/>
        <v>January</v>
      </c>
      <c r="F1872">
        <f t="shared" si="116"/>
        <v>2024</v>
      </c>
      <c r="G1872">
        <f t="shared" si="117"/>
        <v>0</v>
      </c>
      <c r="H1872">
        <f t="shared" si="118"/>
        <v>0</v>
      </c>
      <c r="I1872" s="6"/>
      <c r="J1872" s="6"/>
      <c r="K1872" s="7" t="s">
        <v>44</v>
      </c>
      <c r="L1872" s="7" t="s">
        <v>27</v>
      </c>
      <c r="M1872" s="7" t="s">
        <v>21</v>
      </c>
      <c r="N1872" s="7">
        <f>COUNTIFS(A:A,A1872,D:D,D1872,E:E,I1872)</f>
        <v>0</v>
      </c>
    </row>
    <row r="1873" spans="1:14" x14ac:dyDescent="0.3">
      <c r="A1873" s="7" t="s">
        <v>96</v>
      </c>
      <c r="B1873" s="7" t="s">
        <v>97</v>
      </c>
      <c r="C1873" s="7" t="s">
        <v>426</v>
      </c>
      <c r="D1873" s="8">
        <v>45362</v>
      </c>
      <c r="E1873" s="8" t="str">
        <f t="shared" si="115"/>
        <v>March</v>
      </c>
      <c r="F1873">
        <f t="shared" si="116"/>
        <v>2024</v>
      </c>
      <c r="G1873">
        <f t="shared" si="117"/>
        <v>1</v>
      </c>
      <c r="H1873">
        <f t="shared" si="118"/>
        <v>1</v>
      </c>
      <c r="I1873" s="6">
        <v>0.36666666666666664</v>
      </c>
      <c r="J1873" s="6">
        <v>0.70208333333333328</v>
      </c>
      <c r="K1873" s="7" t="s">
        <v>26</v>
      </c>
      <c r="L1873" s="7" t="s">
        <v>27</v>
      </c>
      <c r="M1873" s="7" t="s">
        <v>15</v>
      </c>
      <c r="N1873" s="7">
        <f>COUNTIFS(A:A,A1873,D:D,D1873,E:E,I1873)</f>
        <v>0</v>
      </c>
    </row>
    <row r="1874" spans="1:14" x14ac:dyDescent="0.3">
      <c r="A1874" s="7" t="s">
        <v>69</v>
      </c>
      <c r="B1874" s="7" t="s">
        <v>70</v>
      </c>
      <c r="C1874" s="7" t="s">
        <v>60</v>
      </c>
      <c r="D1874" s="8">
        <v>45320</v>
      </c>
      <c r="E1874" s="8" t="str">
        <f t="shared" si="115"/>
        <v>January</v>
      </c>
      <c r="F1874">
        <f t="shared" si="116"/>
        <v>2024</v>
      </c>
      <c r="G1874">
        <f t="shared" si="117"/>
        <v>1</v>
      </c>
      <c r="H1874">
        <f t="shared" si="118"/>
        <v>0</v>
      </c>
      <c r="I1874" s="6">
        <v>0.49861111111111112</v>
      </c>
      <c r="J1874" s="6">
        <v>0.68611111111111112</v>
      </c>
      <c r="K1874" s="7" t="s">
        <v>13</v>
      </c>
      <c r="L1874" s="7" t="s">
        <v>27</v>
      </c>
      <c r="M1874" s="7" t="s">
        <v>15</v>
      </c>
      <c r="N1874" s="7">
        <f>COUNTIFS(A:A,A1874,D:D,D1874,E:E,I1874)</f>
        <v>0</v>
      </c>
    </row>
    <row r="1875" spans="1:14" x14ac:dyDescent="0.3">
      <c r="A1875" s="7" t="s">
        <v>197</v>
      </c>
      <c r="B1875" s="7" t="s">
        <v>198</v>
      </c>
      <c r="C1875" s="7" t="s">
        <v>60</v>
      </c>
      <c r="D1875" s="8">
        <v>45339</v>
      </c>
      <c r="E1875" s="8" t="str">
        <f t="shared" si="115"/>
        <v>February</v>
      </c>
      <c r="F1875">
        <f t="shared" si="116"/>
        <v>2024</v>
      </c>
      <c r="G1875">
        <f t="shared" si="117"/>
        <v>1</v>
      </c>
      <c r="H1875">
        <f t="shared" si="118"/>
        <v>0</v>
      </c>
      <c r="I1875" s="6">
        <v>0.37361111111111112</v>
      </c>
      <c r="J1875" s="6">
        <v>0.72777777777777775</v>
      </c>
      <c r="K1875" s="7" t="s">
        <v>20</v>
      </c>
      <c r="L1875" s="7" t="s">
        <v>27</v>
      </c>
      <c r="M1875" s="7" t="s">
        <v>15</v>
      </c>
      <c r="N1875" s="7">
        <f>COUNTIFS(A:A,A1875,D:D,D1875,E:E,I1875)</f>
        <v>0</v>
      </c>
    </row>
    <row r="1876" spans="1:14" x14ac:dyDescent="0.3">
      <c r="A1876" s="7" t="s">
        <v>291</v>
      </c>
      <c r="B1876" s="7" t="s">
        <v>292</v>
      </c>
      <c r="C1876" s="7" t="s">
        <v>42</v>
      </c>
      <c r="D1876" s="8">
        <v>45351</v>
      </c>
      <c r="E1876" s="8" t="str">
        <f t="shared" si="115"/>
        <v>February</v>
      </c>
      <c r="F1876">
        <f t="shared" si="116"/>
        <v>2024</v>
      </c>
      <c r="G1876">
        <f t="shared" si="117"/>
        <v>0</v>
      </c>
      <c r="H1876">
        <f t="shared" si="118"/>
        <v>0</v>
      </c>
      <c r="I1876" s="6"/>
      <c r="J1876" s="6"/>
      <c r="K1876" s="7" t="s">
        <v>44</v>
      </c>
      <c r="L1876" s="7" t="s">
        <v>14</v>
      </c>
      <c r="M1876" s="7" t="s">
        <v>15</v>
      </c>
      <c r="N1876" s="7">
        <f>COUNTIFS(A:A,A1876,D:D,D1876,E:E,I1876)</f>
        <v>0</v>
      </c>
    </row>
    <row r="1877" spans="1:14" x14ac:dyDescent="0.3">
      <c r="A1877" s="7" t="s">
        <v>16</v>
      </c>
      <c r="B1877" s="7" t="s">
        <v>17</v>
      </c>
      <c r="C1877" s="7" t="s">
        <v>60</v>
      </c>
      <c r="D1877" s="8">
        <v>45371</v>
      </c>
      <c r="E1877" s="8" t="str">
        <f t="shared" si="115"/>
        <v>March</v>
      </c>
      <c r="F1877">
        <f t="shared" si="116"/>
        <v>2024</v>
      </c>
      <c r="G1877">
        <f t="shared" si="117"/>
        <v>0</v>
      </c>
      <c r="H1877">
        <f t="shared" si="118"/>
        <v>0</v>
      </c>
      <c r="I1877" s="6"/>
      <c r="J1877" s="6"/>
      <c r="K1877" s="7" t="s">
        <v>44</v>
      </c>
      <c r="L1877" s="7" t="s">
        <v>14</v>
      </c>
      <c r="M1877" s="7" t="s">
        <v>15</v>
      </c>
      <c r="N1877" s="7">
        <f>COUNTIFS(A:A,A1877,D:D,D1877,E:E,I1877)</f>
        <v>0</v>
      </c>
    </row>
    <row r="1878" spans="1:14" x14ac:dyDescent="0.3">
      <c r="A1878" s="7" t="s">
        <v>315</v>
      </c>
      <c r="B1878" s="7" t="s">
        <v>316</v>
      </c>
      <c r="C1878" s="7" t="s">
        <v>42</v>
      </c>
      <c r="D1878" s="8">
        <v>45475</v>
      </c>
      <c r="E1878" s="8" t="str">
        <f t="shared" si="115"/>
        <v>July</v>
      </c>
      <c r="F1878">
        <f t="shared" si="116"/>
        <v>2024</v>
      </c>
      <c r="G1878">
        <f t="shared" si="117"/>
        <v>0</v>
      </c>
      <c r="H1878">
        <f t="shared" si="118"/>
        <v>0</v>
      </c>
      <c r="I1878" s="6"/>
      <c r="J1878" s="6"/>
      <c r="K1878" s="7" t="s">
        <v>44</v>
      </c>
      <c r="L1878" s="7" t="s">
        <v>14</v>
      </c>
      <c r="M1878" s="7" t="s">
        <v>15</v>
      </c>
      <c r="N1878" s="7">
        <f>COUNTIFS(A:A,A1878,D:D,D1878,E:E,I1878)</f>
        <v>0</v>
      </c>
    </row>
    <row r="1879" spans="1:14" x14ac:dyDescent="0.3">
      <c r="A1879" s="7" t="s">
        <v>81</v>
      </c>
      <c r="B1879" s="7" t="s">
        <v>82</v>
      </c>
      <c r="C1879" s="7" t="s">
        <v>425</v>
      </c>
      <c r="D1879" s="8">
        <v>45376</v>
      </c>
      <c r="E1879" s="8" t="str">
        <f t="shared" si="115"/>
        <v>March</v>
      </c>
      <c r="F1879">
        <f t="shared" si="116"/>
        <v>2024</v>
      </c>
      <c r="G1879">
        <f t="shared" si="117"/>
        <v>1</v>
      </c>
      <c r="H1879">
        <f t="shared" si="118"/>
        <v>1</v>
      </c>
      <c r="I1879" s="6">
        <v>0.37152777777777779</v>
      </c>
      <c r="J1879" s="6">
        <v>0.82222222222222219</v>
      </c>
      <c r="K1879" s="7" t="s">
        <v>26</v>
      </c>
      <c r="L1879" s="7" t="s">
        <v>14</v>
      </c>
      <c r="M1879" s="7" t="s">
        <v>15</v>
      </c>
      <c r="N1879" s="7">
        <f>COUNTIFS(A:A,A1879,D:D,D1879,E:E,I1879)</f>
        <v>0</v>
      </c>
    </row>
    <row r="1880" spans="1:14" x14ac:dyDescent="0.3">
      <c r="A1880" s="7" t="s">
        <v>16</v>
      </c>
      <c r="B1880" s="7" t="s">
        <v>17</v>
      </c>
      <c r="C1880" s="7" t="s">
        <v>42</v>
      </c>
      <c r="D1880" s="8">
        <v>45375</v>
      </c>
      <c r="E1880" s="8" t="str">
        <f t="shared" si="115"/>
        <v>March</v>
      </c>
      <c r="F1880">
        <f t="shared" si="116"/>
        <v>2024</v>
      </c>
      <c r="G1880">
        <f t="shared" si="117"/>
        <v>1</v>
      </c>
      <c r="H1880">
        <f t="shared" si="118"/>
        <v>0</v>
      </c>
      <c r="I1880" s="6">
        <v>0.46250000000000002</v>
      </c>
      <c r="J1880" s="6">
        <v>0.66666666666666663</v>
      </c>
      <c r="K1880" s="7" t="s">
        <v>20</v>
      </c>
      <c r="L1880" s="7" t="s">
        <v>27</v>
      </c>
      <c r="M1880" s="7" t="s">
        <v>15</v>
      </c>
      <c r="N1880" s="7">
        <f>COUNTIFS(A:A,A1880,D:D,D1880,E:E,I1880)</f>
        <v>0</v>
      </c>
    </row>
    <row r="1881" spans="1:14" x14ac:dyDescent="0.3">
      <c r="A1881" s="7" t="s">
        <v>122</v>
      </c>
      <c r="B1881" s="7" t="s">
        <v>123</v>
      </c>
      <c r="C1881" s="7" t="s">
        <v>425</v>
      </c>
      <c r="D1881" s="8">
        <v>45325</v>
      </c>
      <c r="E1881" s="8" t="str">
        <f t="shared" si="115"/>
        <v>February</v>
      </c>
      <c r="F1881">
        <f t="shared" si="116"/>
        <v>2024</v>
      </c>
      <c r="G1881">
        <f t="shared" si="117"/>
        <v>1</v>
      </c>
      <c r="H1881">
        <f t="shared" si="118"/>
        <v>0</v>
      </c>
      <c r="I1881" s="6">
        <v>0.39513888888888887</v>
      </c>
      <c r="J1881" s="6">
        <v>0.79166666666666663</v>
      </c>
      <c r="K1881" s="7" t="s">
        <v>20</v>
      </c>
      <c r="L1881" s="7" t="s">
        <v>27</v>
      </c>
      <c r="M1881" s="7" t="s">
        <v>21</v>
      </c>
      <c r="N1881" s="7">
        <f>COUNTIFS(A:A,A1881,D:D,D1881,E:E,I1881)</f>
        <v>0</v>
      </c>
    </row>
    <row r="1882" spans="1:14" x14ac:dyDescent="0.3">
      <c r="A1882" s="7" t="s">
        <v>236</v>
      </c>
      <c r="B1882" s="7" t="s">
        <v>237</v>
      </c>
      <c r="C1882" s="7" t="s">
        <v>64</v>
      </c>
      <c r="D1882" s="8">
        <v>45380</v>
      </c>
      <c r="E1882" s="8" t="str">
        <f t="shared" si="115"/>
        <v>March</v>
      </c>
      <c r="F1882">
        <f t="shared" si="116"/>
        <v>2024</v>
      </c>
      <c r="G1882">
        <f t="shared" si="117"/>
        <v>0</v>
      </c>
      <c r="H1882">
        <f t="shared" si="118"/>
        <v>0</v>
      </c>
      <c r="I1882" s="6"/>
      <c r="J1882" s="6"/>
      <c r="K1882" s="7" t="s">
        <v>44</v>
      </c>
      <c r="L1882" s="7" t="s">
        <v>27</v>
      </c>
      <c r="M1882" s="7" t="s">
        <v>15</v>
      </c>
      <c r="N1882" s="7">
        <f>COUNTIFS(A:A,A1882,D:D,D1882,E:E,I1882)</f>
        <v>0</v>
      </c>
    </row>
    <row r="1883" spans="1:14" x14ac:dyDescent="0.3">
      <c r="A1883" s="7" t="s">
        <v>75</v>
      </c>
      <c r="B1883" s="7" t="s">
        <v>76</v>
      </c>
      <c r="C1883" s="7" t="s">
        <v>42</v>
      </c>
      <c r="D1883" s="8">
        <v>45315</v>
      </c>
      <c r="E1883" s="8" t="str">
        <f t="shared" si="115"/>
        <v>January</v>
      </c>
      <c r="F1883">
        <f t="shared" si="116"/>
        <v>2024</v>
      </c>
      <c r="G1883">
        <f t="shared" si="117"/>
        <v>1</v>
      </c>
      <c r="H1883">
        <f t="shared" si="118"/>
        <v>0</v>
      </c>
      <c r="I1883" s="6">
        <v>0.34305555555555556</v>
      </c>
      <c r="J1883" s="6">
        <v>0.72916666666666663</v>
      </c>
      <c r="K1883" s="7" t="s">
        <v>13</v>
      </c>
      <c r="L1883" s="7" t="s">
        <v>14</v>
      </c>
      <c r="M1883" s="7" t="s">
        <v>15</v>
      </c>
      <c r="N1883" s="7">
        <f>COUNTIFS(A:A,A1883,D:D,D1883,E:E,I1883)</f>
        <v>0</v>
      </c>
    </row>
    <row r="1884" spans="1:14" x14ac:dyDescent="0.3">
      <c r="A1884" s="7" t="s">
        <v>200</v>
      </c>
      <c r="B1884" s="7" t="s">
        <v>201</v>
      </c>
      <c r="C1884" s="7" t="s">
        <v>64</v>
      </c>
      <c r="D1884" s="8">
        <v>45335</v>
      </c>
      <c r="E1884" s="8" t="str">
        <f t="shared" si="115"/>
        <v>February</v>
      </c>
      <c r="F1884">
        <f t="shared" si="116"/>
        <v>2024</v>
      </c>
      <c r="G1884">
        <f t="shared" si="117"/>
        <v>1</v>
      </c>
      <c r="H1884">
        <f t="shared" si="118"/>
        <v>0</v>
      </c>
      <c r="I1884" s="6">
        <v>0.45624999999999999</v>
      </c>
      <c r="J1884" s="6">
        <v>0.80555555555555558</v>
      </c>
      <c r="K1884" s="7" t="s">
        <v>13</v>
      </c>
      <c r="L1884" s="7" t="s">
        <v>14</v>
      </c>
      <c r="M1884" s="7" t="s">
        <v>21</v>
      </c>
      <c r="N1884" s="7">
        <f>COUNTIFS(A:A,A1884,D:D,D1884,E:E,I1884)</f>
        <v>0</v>
      </c>
    </row>
    <row r="1885" spans="1:14" x14ac:dyDescent="0.3">
      <c r="A1885" s="7" t="s">
        <v>269</v>
      </c>
      <c r="B1885" s="7" t="s">
        <v>270</v>
      </c>
      <c r="C1885" s="7" t="s">
        <v>426</v>
      </c>
      <c r="D1885" s="8">
        <v>45347</v>
      </c>
      <c r="E1885" s="8" t="str">
        <f t="shared" si="115"/>
        <v>February</v>
      </c>
      <c r="F1885">
        <f t="shared" si="116"/>
        <v>2024</v>
      </c>
      <c r="G1885">
        <f t="shared" si="117"/>
        <v>0</v>
      </c>
      <c r="H1885">
        <f t="shared" si="118"/>
        <v>0</v>
      </c>
      <c r="I1885" s="6"/>
      <c r="J1885" s="6"/>
      <c r="K1885" s="7" t="s">
        <v>44</v>
      </c>
      <c r="L1885" s="7" t="s">
        <v>27</v>
      </c>
      <c r="M1885" s="7" t="s">
        <v>21</v>
      </c>
      <c r="N1885" s="7">
        <f>COUNTIFS(A:A,A1885,D:D,D1885,E:E,I1885)</f>
        <v>0</v>
      </c>
    </row>
    <row r="1886" spans="1:14" x14ac:dyDescent="0.3">
      <c r="A1886" s="7" t="s">
        <v>34</v>
      </c>
      <c r="B1886" s="7" t="s">
        <v>35</v>
      </c>
      <c r="C1886" s="7" t="s">
        <v>64</v>
      </c>
      <c r="D1886" s="8">
        <v>45313</v>
      </c>
      <c r="E1886" s="8" t="str">
        <f t="shared" si="115"/>
        <v>January</v>
      </c>
      <c r="F1886">
        <f t="shared" si="116"/>
        <v>2024</v>
      </c>
      <c r="G1886">
        <f t="shared" si="117"/>
        <v>1</v>
      </c>
      <c r="H1886">
        <f t="shared" si="118"/>
        <v>0</v>
      </c>
      <c r="I1886" s="6">
        <v>0.4</v>
      </c>
      <c r="J1886" s="6">
        <v>0.67847222222222225</v>
      </c>
      <c r="K1886" s="7" t="s">
        <v>13</v>
      </c>
      <c r="L1886" s="7" t="s">
        <v>14</v>
      </c>
      <c r="M1886" s="7" t="s">
        <v>21</v>
      </c>
      <c r="N1886" s="7">
        <f>COUNTIFS(A:A,A1886,D:D,D1886,E:E,I1886)</f>
        <v>0</v>
      </c>
    </row>
    <row r="1887" spans="1:14" x14ac:dyDescent="0.3">
      <c r="A1887" s="7" t="s">
        <v>191</v>
      </c>
      <c r="B1887" s="7" t="s">
        <v>192</v>
      </c>
      <c r="C1887" s="7" t="s">
        <v>425</v>
      </c>
      <c r="D1887" s="8">
        <v>45302</v>
      </c>
      <c r="E1887" s="8" t="str">
        <f t="shared" si="115"/>
        <v>January</v>
      </c>
      <c r="F1887">
        <f t="shared" si="116"/>
        <v>2024</v>
      </c>
      <c r="G1887">
        <f t="shared" si="117"/>
        <v>0</v>
      </c>
      <c r="H1887">
        <f t="shared" si="118"/>
        <v>0</v>
      </c>
      <c r="I1887" s="6"/>
      <c r="J1887" s="6"/>
      <c r="K1887" s="7" t="s">
        <v>44</v>
      </c>
      <c r="L1887" s="7" t="s">
        <v>14</v>
      </c>
      <c r="M1887" s="7" t="s">
        <v>15</v>
      </c>
      <c r="N1887" s="7">
        <f>COUNTIFS(A:A,A1887,D:D,D1887,E:E,I1887)</f>
        <v>0</v>
      </c>
    </row>
    <row r="1888" spans="1:14" x14ac:dyDescent="0.3">
      <c r="A1888" s="7" t="s">
        <v>204</v>
      </c>
      <c r="B1888" s="7" t="s">
        <v>205</v>
      </c>
      <c r="C1888" s="7" t="s">
        <v>42</v>
      </c>
      <c r="D1888" s="8">
        <v>45319</v>
      </c>
      <c r="E1888" s="8" t="str">
        <f t="shared" si="115"/>
        <v>January</v>
      </c>
      <c r="F1888">
        <f t="shared" si="116"/>
        <v>2024</v>
      </c>
      <c r="G1888">
        <f t="shared" si="117"/>
        <v>1</v>
      </c>
      <c r="H1888">
        <f t="shared" si="118"/>
        <v>0</v>
      </c>
      <c r="I1888" s="6">
        <v>0.37569444444444444</v>
      </c>
      <c r="J1888" s="6">
        <v>0.83611111111111114</v>
      </c>
      <c r="K1888" s="7" t="s">
        <v>13</v>
      </c>
      <c r="L1888" s="7" t="s">
        <v>14</v>
      </c>
      <c r="M1888" s="7" t="s">
        <v>15</v>
      </c>
      <c r="N1888" s="7">
        <f>COUNTIFS(A:A,A1888,D:D,D1888,E:E,I1888)</f>
        <v>0</v>
      </c>
    </row>
    <row r="1889" spans="1:14" x14ac:dyDescent="0.3">
      <c r="A1889" s="7" t="s">
        <v>112</v>
      </c>
      <c r="B1889" s="7" t="s">
        <v>113</v>
      </c>
      <c r="C1889" s="7" t="s">
        <v>425</v>
      </c>
      <c r="D1889" s="8">
        <v>45349</v>
      </c>
      <c r="E1889" s="8" t="str">
        <f t="shared" si="115"/>
        <v>February</v>
      </c>
      <c r="F1889">
        <f t="shared" si="116"/>
        <v>2024</v>
      </c>
      <c r="G1889">
        <f t="shared" si="117"/>
        <v>0</v>
      </c>
      <c r="H1889">
        <f t="shared" si="118"/>
        <v>0</v>
      </c>
      <c r="I1889" s="6"/>
      <c r="J1889" s="6"/>
      <c r="K1889" s="7" t="s">
        <v>44</v>
      </c>
      <c r="L1889" s="7" t="s">
        <v>27</v>
      </c>
      <c r="M1889" s="7" t="s">
        <v>15</v>
      </c>
      <c r="N1889" s="7">
        <f>COUNTIFS(A:A,A1889,D:D,D1889,E:E,I1889)</f>
        <v>0</v>
      </c>
    </row>
    <row r="1890" spans="1:14" x14ac:dyDescent="0.3">
      <c r="A1890" s="7" t="s">
        <v>338</v>
      </c>
      <c r="B1890" s="7" t="s">
        <v>339</v>
      </c>
      <c r="C1890" s="7" t="s">
        <v>60</v>
      </c>
      <c r="D1890" s="8">
        <v>45537</v>
      </c>
      <c r="E1890" s="8" t="str">
        <f t="shared" si="115"/>
        <v>September</v>
      </c>
      <c r="F1890">
        <f t="shared" si="116"/>
        <v>2024</v>
      </c>
      <c r="G1890">
        <f t="shared" si="117"/>
        <v>1</v>
      </c>
      <c r="H1890">
        <f t="shared" si="118"/>
        <v>1</v>
      </c>
      <c r="I1890" s="6">
        <v>0.49375000000000002</v>
      </c>
      <c r="J1890" s="6">
        <v>0.74513888888888891</v>
      </c>
      <c r="K1890" s="7" t="s">
        <v>26</v>
      </c>
      <c r="L1890" s="7" t="s">
        <v>14</v>
      </c>
      <c r="M1890" s="7" t="s">
        <v>21</v>
      </c>
      <c r="N1890" s="7">
        <f>COUNTIFS(A:A,A1890,D:D,D1890,E:E,I1890)</f>
        <v>0</v>
      </c>
    </row>
    <row r="1891" spans="1:14" x14ac:dyDescent="0.3">
      <c r="A1891" s="7" t="s">
        <v>9</v>
      </c>
      <c r="B1891" s="7" t="s">
        <v>10</v>
      </c>
      <c r="C1891" s="7" t="s">
        <v>425</v>
      </c>
      <c r="D1891" s="8">
        <v>45414</v>
      </c>
      <c r="E1891" s="8" t="str">
        <f t="shared" si="115"/>
        <v>May</v>
      </c>
      <c r="F1891">
        <f t="shared" si="116"/>
        <v>2024</v>
      </c>
      <c r="G1891">
        <f t="shared" si="117"/>
        <v>1</v>
      </c>
      <c r="H1891">
        <f t="shared" si="118"/>
        <v>0</v>
      </c>
      <c r="I1891" s="6">
        <v>0.48819444444444443</v>
      </c>
      <c r="J1891" s="6">
        <v>0.85624999999999996</v>
      </c>
      <c r="K1891" s="7" t="s">
        <v>13</v>
      </c>
      <c r="L1891" s="7" t="s">
        <v>14</v>
      </c>
      <c r="M1891" s="7" t="s">
        <v>15</v>
      </c>
      <c r="N1891" s="7">
        <f>COUNTIFS(A:A,A1891,D:D,D1891,E:E,I1891)</f>
        <v>0</v>
      </c>
    </row>
    <row r="1892" spans="1:14" x14ac:dyDescent="0.3">
      <c r="A1892" s="7" t="s">
        <v>52</v>
      </c>
      <c r="B1892" s="7" t="s">
        <v>53</v>
      </c>
      <c r="C1892" s="7" t="s">
        <v>64</v>
      </c>
      <c r="D1892" s="8">
        <v>45360</v>
      </c>
      <c r="E1892" s="8" t="str">
        <f t="shared" si="115"/>
        <v>March</v>
      </c>
      <c r="F1892">
        <f t="shared" si="116"/>
        <v>2024</v>
      </c>
      <c r="G1892">
        <f t="shared" si="117"/>
        <v>1</v>
      </c>
      <c r="H1892">
        <f t="shared" si="118"/>
        <v>0</v>
      </c>
      <c r="I1892" s="6">
        <v>0.46250000000000002</v>
      </c>
      <c r="J1892" s="6">
        <v>0.81458333333333333</v>
      </c>
      <c r="K1892" s="7" t="s">
        <v>20</v>
      </c>
      <c r="L1892" s="7" t="s">
        <v>14</v>
      </c>
      <c r="M1892" s="7" t="s">
        <v>21</v>
      </c>
      <c r="N1892" s="7">
        <f>COUNTIFS(A:A,A1892,D:D,D1892,E:E,I1892)</f>
        <v>0</v>
      </c>
    </row>
    <row r="1893" spans="1:14" x14ac:dyDescent="0.3">
      <c r="A1893" s="7" t="s">
        <v>52</v>
      </c>
      <c r="B1893" s="7" t="s">
        <v>53</v>
      </c>
      <c r="C1893" s="7" t="s">
        <v>426</v>
      </c>
      <c r="D1893" s="8">
        <v>45325</v>
      </c>
      <c r="E1893" s="8" t="str">
        <f t="shared" si="115"/>
        <v>February</v>
      </c>
      <c r="F1893">
        <f t="shared" si="116"/>
        <v>2024</v>
      </c>
      <c r="G1893">
        <f t="shared" si="117"/>
        <v>1</v>
      </c>
      <c r="H1893">
        <f t="shared" si="118"/>
        <v>0</v>
      </c>
      <c r="I1893" s="6">
        <v>0.35625000000000001</v>
      </c>
      <c r="J1893" s="6">
        <v>0.80625000000000002</v>
      </c>
      <c r="K1893" s="7" t="s">
        <v>20</v>
      </c>
      <c r="L1893" s="7" t="s">
        <v>27</v>
      </c>
      <c r="M1893" s="7" t="s">
        <v>15</v>
      </c>
      <c r="N1893" s="7">
        <f>COUNTIFS(A:A,A1893,D:D,D1893,E:E,I1893)</f>
        <v>0</v>
      </c>
    </row>
    <row r="1894" spans="1:14" x14ac:dyDescent="0.3">
      <c r="A1894" s="7" t="s">
        <v>171</v>
      </c>
      <c r="B1894" s="7" t="s">
        <v>172</v>
      </c>
      <c r="C1894" s="7" t="s">
        <v>426</v>
      </c>
      <c r="D1894" s="8">
        <v>45321</v>
      </c>
      <c r="E1894" s="8" t="str">
        <f t="shared" si="115"/>
        <v>January</v>
      </c>
      <c r="F1894">
        <f t="shared" si="116"/>
        <v>2024</v>
      </c>
      <c r="G1894">
        <f t="shared" si="117"/>
        <v>1</v>
      </c>
      <c r="H1894">
        <f t="shared" si="118"/>
        <v>0</v>
      </c>
      <c r="I1894" s="6">
        <v>0.45069444444444445</v>
      </c>
      <c r="J1894" s="6">
        <v>0.82916666666666672</v>
      </c>
      <c r="K1894" s="7" t="s">
        <v>13</v>
      </c>
      <c r="L1894" s="7" t="s">
        <v>14</v>
      </c>
      <c r="M1894" s="7" t="s">
        <v>15</v>
      </c>
      <c r="N1894" s="7">
        <f>COUNTIFS(A:A,A1894,D:D,D1894,E:E,I1894)</f>
        <v>0</v>
      </c>
    </row>
    <row r="1895" spans="1:14" x14ac:dyDescent="0.3">
      <c r="A1895" s="7" t="s">
        <v>362</v>
      </c>
      <c r="B1895" s="7" t="s">
        <v>363</v>
      </c>
      <c r="C1895" s="7" t="s">
        <v>64</v>
      </c>
      <c r="D1895" s="8">
        <v>45346</v>
      </c>
      <c r="E1895" s="8" t="str">
        <f t="shared" si="115"/>
        <v>February</v>
      </c>
      <c r="F1895">
        <f t="shared" si="116"/>
        <v>2024</v>
      </c>
      <c r="G1895">
        <f t="shared" si="117"/>
        <v>1</v>
      </c>
      <c r="H1895">
        <f t="shared" si="118"/>
        <v>0</v>
      </c>
      <c r="I1895" s="6">
        <v>0.36666666666666664</v>
      </c>
      <c r="J1895" s="6">
        <v>0.87152777777777779</v>
      </c>
      <c r="K1895" s="7" t="s">
        <v>13</v>
      </c>
      <c r="L1895" s="7" t="s">
        <v>27</v>
      </c>
      <c r="M1895" s="7" t="s">
        <v>15</v>
      </c>
      <c r="N1895" s="7">
        <f>COUNTIFS(A:A,A1895,D:D,D1895,E:E,I1895)</f>
        <v>0</v>
      </c>
    </row>
    <row r="1896" spans="1:14" x14ac:dyDescent="0.3">
      <c r="A1896" s="7" t="s">
        <v>16</v>
      </c>
      <c r="B1896" s="7" t="s">
        <v>17</v>
      </c>
      <c r="C1896" s="7" t="s">
        <v>425</v>
      </c>
      <c r="D1896" s="8">
        <v>45537</v>
      </c>
      <c r="E1896" s="8" t="str">
        <f t="shared" si="115"/>
        <v>September</v>
      </c>
      <c r="F1896">
        <f t="shared" si="116"/>
        <v>2024</v>
      </c>
      <c r="G1896">
        <f t="shared" si="117"/>
        <v>0</v>
      </c>
      <c r="H1896">
        <f t="shared" si="118"/>
        <v>0</v>
      </c>
      <c r="I1896" s="6"/>
      <c r="J1896" s="6"/>
      <c r="K1896" s="7" t="s">
        <v>44</v>
      </c>
      <c r="L1896" s="7" t="s">
        <v>27</v>
      </c>
      <c r="M1896" s="7" t="s">
        <v>15</v>
      </c>
      <c r="N1896" s="7">
        <f>COUNTIFS(A:A,A1896,D:D,D1896,E:E,I1896)</f>
        <v>0</v>
      </c>
    </row>
    <row r="1897" spans="1:14" x14ac:dyDescent="0.3">
      <c r="A1897" s="7" t="s">
        <v>154</v>
      </c>
      <c r="B1897" s="7" t="s">
        <v>155</v>
      </c>
      <c r="C1897" s="7" t="s">
        <v>425</v>
      </c>
      <c r="D1897" s="8">
        <v>45354</v>
      </c>
      <c r="E1897" s="8" t="str">
        <f t="shared" si="115"/>
        <v>March</v>
      </c>
      <c r="F1897">
        <f t="shared" si="116"/>
        <v>2024</v>
      </c>
      <c r="G1897">
        <f t="shared" si="117"/>
        <v>1</v>
      </c>
      <c r="H1897">
        <f t="shared" si="118"/>
        <v>0</v>
      </c>
      <c r="I1897" s="6">
        <v>0.47847222222222224</v>
      </c>
      <c r="J1897" s="6">
        <v>0.86736111111111114</v>
      </c>
      <c r="K1897" s="7" t="s">
        <v>20</v>
      </c>
      <c r="L1897" s="7" t="s">
        <v>27</v>
      </c>
      <c r="M1897" s="7" t="s">
        <v>15</v>
      </c>
      <c r="N1897" s="7">
        <f>COUNTIFS(A:A,A1897,D:D,D1897,E:E,I1897)</f>
        <v>0</v>
      </c>
    </row>
    <row r="1898" spans="1:14" x14ac:dyDescent="0.3">
      <c r="A1898" s="7" t="s">
        <v>45</v>
      </c>
      <c r="B1898" s="7" t="s">
        <v>46</v>
      </c>
      <c r="C1898" s="7" t="s">
        <v>426</v>
      </c>
      <c r="D1898" s="8">
        <v>45381</v>
      </c>
      <c r="E1898" s="8" t="str">
        <f t="shared" si="115"/>
        <v>March</v>
      </c>
      <c r="F1898">
        <f t="shared" si="116"/>
        <v>2024</v>
      </c>
      <c r="G1898">
        <f t="shared" si="117"/>
        <v>0</v>
      </c>
      <c r="H1898">
        <f t="shared" si="118"/>
        <v>0</v>
      </c>
      <c r="I1898" s="6"/>
      <c r="J1898" s="6"/>
      <c r="K1898" s="7" t="s">
        <v>44</v>
      </c>
      <c r="L1898" s="7" t="s">
        <v>27</v>
      </c>
      <c r="M1898" s="7" t="s">
        <v>21</v>
      </c>
      <c r="N1898" s="7">
        <f>COUNTIFS(A:A,A1898,D:D,D1898,E:E,I1898)</f>
        <v>0</v>
      </c>
    </row>
    <row r="1899" spans="1:14" x14ac:dyDescent="0.3">
      <c r="A1899" s="7" t="s">
        <v>141</v>
      </c>
      <c r="B1899" s="7" t="s">
        <v>142</v>
      </c>
      <c r="C1899" s="7" t="s">
        <v>64</v>
      </c>
      <c r="D1899" s="8">
        <v>45375</v>
      </c>
      <c r="E1899" s="8" t="str">
        <f t="shared" si="115"/>
        <v>March</v>
      </c>
      <c r="F1899">
        <f t="shared" si="116"/>
        <v>2024</v>
      </c>
      <c r="G1899">
        <f t="shared" si="117"/>
        <v>1</v>
      </c>
      <c r="H1899">
        <f t="shared" si="118"/>
        <v>1</v>
      </c>
      <c r="I1899" s="6">
        <v>0.4826388888888889</v>
      </c>
      <c r="J1899" s="6">
        <v>0.72847222222222219</v>
      </c>
      <c r="K1899" s="7" t="s">
        <v>26</v>
      </c>
      <c r="L1899" s="7" t="s">
        <v>14</v>
      </c>
      <c r="M1899" s="7" t="s">
        <v>21</v>
      </c>
      <c r="N1899" s="7">
        <f>COUNTIFS(A:A,A1899,D:D,D1899,E:E,I1899)</f>
        <v>0</v>
      </c>
    </row>
    <row r="1900" spans="1:14" x14ac:dyDescent="0.3">
      <c r="A1900" s="7" t="s">
        <v>66</v>
      </c>
      <c r="B1900" s="7" t="s">
        <v>67</v>
      </c>
      <c r="C1900" s="7" t="s">
        <v>426</v>
      </c>
      <c r="D1900" s="8">
        <v>45598</v>
      </c>
      <c r="E1900" s="8" t="str">
        <f t="shared" si="115"/>
        <v>November</v>
      </c>
      <c r="F1900">
        <f t="shared" si="116"/>
        <v>2024</v>
      </c>
      <c r="G1900">
        <f t="shared" si="117"/>
        <v>1</v>
      </c>
      <c r="H1900">
        <f t="shared" si="118"/>
        <v>0</v>
      </c>
      <c r="I1900" s="6">
        <v>0.39027777777777778</v>
      </c>
      <c r="J1900" s="6">
        <v>0.75763888888888886</v>
      </c>
      <c r="K1900" s="7" t="s">
        <v>13</v>
      </c>
      <c r="L1900" s="7" t="s">
        <v>14</v>
      </c>
      <c r="M1900" s="7" t="s">
        <v>15</v>
      </c>
      <c r="N1900" s="7">
        <f>COUNTIFS(A:A,A1900,D:D,D1900,E:E,I1900)</f>
        <v>0</v>
      </c>
    </row>
    <row r="1901" spans="1:14" x14ac:dyDescent="0.3">
      <c r="A1901" s="7" t="s">
        <v>34</v>
      </c>
      <c r="B1901" s="7" t="s">
        <v>35</v>
      </c>
      <c r="C1901" s="7" t="s">
        <v>60</v>
      </c>
      <c r="D1901" s="8">
        <v>45445</v>
      </c>
      <c r="E1901" s="8" t="str">
        <f t="shared" si="115"/>
        <v>June</v>
      </c>
      <c r="F1901">
        <f t="shared" si="116"/>
        <v>2024</v>
      </c>
      <c r="G1901">
        <f t="shared" si="117"/>
        <v>1</v>
      </c>
      <c r="H1901">
        <f t="shared" si="118"/>
        <v>0</v>
      </c>
      <c r="I1901" s="6">
        <v>0.43333333333333335</v>
      </c>
      <c r="J1901" s="6">
        <v>0.81180555555555556</v>
      </c>
      <c r="K1901" s="7" t="s">
        <v>13</v>
      </c>
      <c r="L1901" s="7" t="s">
        <v>27</v>
      </c>
      <c r="M1901" s="7" t="s">
        <v>21</v>
      </c>
      <c r="N1901" s="7">
        <f>COUNTIFS(A:A,A1901,D:D,D1901,E:E,I1901)</f>
        <v>0</v>
      </c>
    </row>
    <row r="1902" spans="1:14" x14ac:dyDescent="0.3">
      <c r="A1902" s="7" t="s">
        <v>48</v>
      </c>
      <c r="B1902" s="7" t="s">
        <v>49</v>
      </c>
      <c r="C1902" s="7" t="s">
        <v>426</v>
      </c>
      <c r="D1902" s="8">
        <v>45324</v>
      </c>
      <c r="E1902" s="8" t="str">
        <f t="shared" si="115"/>
        <v>February</v>
      </c>
      <c r="F1902">
        <f t="shared" si="116"/>
        <v>2024</v>
      </c>
      <c r="G1902">
        <f t="shared" si="117"/>
        <v>1</v>
      </c>
      <c r="H1902">
        <f t="shared" si="118"/>
        <v>1</v>
      </c>
      <c r="I1902" s="6">
        <v>0.44722222222222224</v>
      </c>
      <c r="J1902" s="6">
        <v>0.83125000000000004</v>
      </c>
      <c r="K1902" s="7" t="s">
        <v>26</v>
      </c>
      <c r="L1902" s="7" t="s">
        <v>27</v>
      </c>
      <c r="M1902" s="7" t="s">
        <v>21</v>
      </c>
      <c r="N1902" s="7">
        <f>COUNTIFS(A:A,A1902,D:D,D1902,E:E,I1902)</f>
        <v>0</v>
      </c>
    </row>
    <row r="1903" spans="1:14" x14ac:dyDescent="0.3">
      <c r="A1903" s="7" t="s">
        <v>224</v>
      </c>
      <c r="B1903" s="7" t="s">
        <v>225</v>
      </c>
      <c r="C1903" s="7" t="s">
        <v>64</v>
      </c>
      <c r="D1903" s="8">
        <v>45385</v>
      </c>
      <c r="E1903" s="8" t="str">
        <f t="shared" si="115"/>
        <v>April</v>
      </c>
      <c r="F1903">
        <f t="shared" si="116"/>
        <v>2024</v>
      </c>
      <c r="G1903">
        <f t="shared" si="117"/>
        <v>0</v>
      </c>
      <c r="H1903">
        <f t="shared" si="118"/>
        <v>0</v>
      </c>
      <c r="I1903" s="6"/>
      <c r="J1903" s="6"/>
      <c r="K1903" s="7" t="s">
        <v>44</v>
      </c>
      <c r="L1903" s="7" t="s">
        <v>14</v>
      </c>
      <c r="M1903" s="7" t="s">
        <v>21</v>
      </c>
      <c r="N1903" s="7">
        <f>COUNTIFS(A:A,A1903,D:D,D1903,E:E,I1903)</f>
        <v>0</v>
      </c>
    </row>
    <row r="1904" spans="1:14" x14ac:dyDescent="0.3">
      <c r="A1904" s="7" t="s">
        <v>146</v>
      </c>
      <c r="B1904" s="7" t="s">
        <v>147</v>
      </c>
      <c r="C1904" s="7" t="s">
        <v>426</v>
      </c>
      <c r="D1904" s="8">
        <v>45369</v>
      </c>
      <c r="E1904" s="8" t="str">
        <f t="shared" si="115"/>
        <v>March</v>
      </c>
      <c r="F1904">
        <f t="shared" si="116"/>
        <v>2024</v>
      </c>
      <c r="G1904">
        <f t="shared" si="117"/>
        <v>1</v>
      </c>
      <c r="H1904">
        <f t="shared" si="118"/>
        <v>0</v>
      </c>
      <c r="I1904" s="6">
        <v>0.44374999999999998</v>
      </c>
      <c r="J1904" s="6">
        <v>0.73888888888888893</v>
      </c>
      <c r="K1904" s="7" t="s">
        <v>20</v>
      </c>
      <c r="L1904" s="7" t="s">
        <v>27</v>
      </c>
      <c r="M1904" s="7" t="s">
        <v>21</v>
      </c>
      <c r="N1904" s="7">
        <f>COUNTIFS(A:A,A1904,D:D,D1904,E:E,I1904)</f>
        <v>0</v>
      </c>
    </row>
    <row r="1905" spans="1:14" x14ac:dyDescent="0.3">
      <c r="A1905" s="7" t="s">
        <v>81</v>
      </c>
      <c r="B1905" s="7" t="s">
        <v>82</v>
      </c>
      <c r="C1905" s="7" t="s">
        <v>426</v>
      </c>
      <c r="D1905" s="8">
        <v>45340</v>
      </c>
      <c r="E1905" s="8" t="str">
        <f t="shared" si="115"/>
        <v>February</v>
      </c>
      <c r="F1905">
        <f t="shared" si="116"/>
        <v>2024</v>
      </c>
      <c r="G1905">
        <f t="shared" si="117"/>
        <v>1</v>
      </c>
      <c r="H1905">
        <f t="shared" si="118"/>
        <v>1</v>
      </c>
      <c r="I1905" s="6">
        <v>0.39861111111111114</v>
      </c>
      <c r="J1905" s="6">
        <v>0.72986111111111107</v>
      </c>
      <c r="K1905" s="7" t="s">
        <v>26</v>
      </c>
      <c r="L1905" s="7" t="s">
        <v>27</v>
      </c>
      <c r="M1905" s="7" t="s">
        <v>15</v>
      </c>
      <c r="N1905" s="7">
        <f>COUNTIFS(A:A,A1905,D:D,D1905,E:E,I1905)</f>
        <v>0</v>
      </c>
    </row>
    <row r="1906" spans="1:14" x14ac:dyDescent="0.3">
      <c r="A1906" s="7" t="s">
        <v>216</v>
      </c>
      <c r="B1906" s="7" t="s">
        <v>217</v>
      </c>
      <c r="C1906" s="7" t="s">
        <v>426</v>
      </c>
      <c r="D1906" s="8">
        <v>45335</v>
      </c>
      <c r="E1906" s="8" t="str">
        <f t="shared" si="115"/>
        <v>February</v>
      </c>
      <c r="F1906">
        <f t="shared" si="116"/>
        <v>2024</v>
      </c>
      <c r="G1906">
        <f t="shared" si="117"/>
        <v>1</v>
      </c>
      <c r="H1906">
        <f t="shared" si="118"/>
        <v>1</v>
      </c>
      <c r="I1906" s="6">
        <v>0.39027777777777778</v>
      </c>
      <c r="J1906" s="6">
        <v>0.71458333333333335</v>
      </c>
      <c r="K1906" s="7" t="s">
        <v>26</v>
      </c>
      <c r="L1906" s="7" t="s">
        <v>27</v>
      </c>
      <c r="M1906" s="7" t="s">
        <v>15</v>
      </c>
      <c r="N1906" s="7">
        <f>COUNTIFS(A:A,A1906,D:D,D1906,E:E,I1906)</f>
        <v>0</v>
      </c>
    </row>
    <row r="1907" spans="1:14" x14ac:dyDescent="0.3">
      <c r="A1907" s="7" t="s">
        <v>48</v>
      </c>
      <c r="B1907" s="7" t="s">
        <v>49</v>
      </c>
      <c r="C1907" s="7" t="s">
        <v>425</v>
      </c>
      <c r="D1907" s="8">
        <v>45308</v>
      </c>
      <c r="E1907" s="8" t="str">
        <f t="shared" si="115"/>
        <v>January</v>
      </c>
      <c r="F1907">
        <f t="shared" si="116"/>
        <v>2024</v>
      </c>
      <c r="G1907">
        <f t="shared" si="117"/>
        <v>0</v>
      </c>
      <c r="H1907">
        <f t="shared" si="118"/>
        <v>0</v>
      </c>
      <c r="I1907" s="6"/>
      <c r="J1907" s="6"/>
      <c r="K1907" s="7" t="s">
        <v>44</v>
      </c>
      <c r="L1907" s="7" t="s">
        <v>14</v>
      </c>
      <c r="M1907" s="7" t="s">
        <v>21</v>
      </c>
      <c r="N1907" s="7">
        <f>COUNTIFS(A:A,A1907,D:D,D1907,E:E,I1907)</f>
        <v>0</v>
      </c>
    </row>
    <row r="1908" spans="1:14" x14ac:dyDescent="0.3">
      <c r="A1908" s="7" t="s">
        <v>62</v>
      </c>
      <c r="B1908" s="7" t="s">
        <v>63</v>
      </c>
      <c r="C1908" s="7" t="s">
        <v>425</v>
      </c>
      <c r="D1908" s="8">
        <v>45317</v>
      </c>
      <c r="E1908" s="8" t="str">
        <f t="shared" si="115"/>
        <v>January</v>
      </c>
      <c r="F1908">
        <f t="shared" si="116"/>
        <v>2024</v>
      </c>
      <c r="G1908">
        <f t="shared" si="117"/>
        <v>1</v>
      </c>
      <c r="H1908">
        <f t="shared" si="118"/>
        <v>0</v>
      </c>
      <c r="I1908" s="6">
        <v>0.36527777777777776</v>
      </c>
      <c r="J1908" s="6">
        <v>0.72430555555555554</v>
      </c>
      <c r="K1908" s="7" t="s">
        <v>13</v>
      </c>
      <c r="L1908" s="7" t="s">
        <v>14</v>
      </c>
      <c r="M1908" s="7" t="s">
        <v>21</v>
      </c>
      <c r="N1908" s="7">
        <f>COUNTIFS(A:A,A1908,D:D,D1908,E:E,I1908)</f>
        <v>0</v>
      </c>
    </row>
    <row r="1909" spans="1:14" x14ac:dyDescent="0.3">
      <c r="A1909" s="7" t="s">
        <v>52</v>
      </c>
      <c r="B1909" s="7" t="s">
        <v>53</v>
      </c>
      <c r="C1909" s="7" t="s">
        <v>60</v>
      </c>
      <c r="D1909" s="8">
        <v>45379</v>
      </c>
      <c r="E1909" s="8" t="str">
        <f t="shared" si="115"/>
        <v>March</v>
      </c>
      <c r="F1909">
        <f t="shared" si="116"/>
        <v>2024</v>
      </c>
      <c r="G1909">
        <f t="shared" si="117"/>
        <v>1</v>
      </c>
      <c r="H1909">
        <f t="shared" si="118"/>
        <v>0</v>
      </c>
      <c r="I1909" s="6">
        <v>0.42777777777777776</v>
      </c>
      <c r="J1909" s="6">
        <v>0.77638888888888891</v>
      </c>
      <c r="K1909" s="7" t="s">
        <v>20</v>
      </c>
      <c r="L1909" s="7" t="s">
        <v>14</v>
      </c>
      <c r="M1909" s="7" t="s">
        <v>21</v>
      </c>
      <c r="N1909" s="7">
        <f>COUNTIFS(A:A,A1909,D:D,D1909,E:E,I1909)</f>
        <v>0</v>
      </c>
    </row>
    <row r="1910" spans="1:14" x14ac:dyDescent="0.3">
      <c r="A1910" s="7" t="s">
        <v>138</v>
      </c>
      <c r="B1910" s="7" t="s">
        <v>139</v>
      </c>
      <c r="C1910" s="7" t="s">
        <v>64</v>
      </c>
      <c r="D1910" s="8">
        <v>45378</v>
      </c>
      <c r="E1910" s="8" t="str">
        <f t="shared" si="115"/>
        <v>March</v>
      </c>
      <c r="F1910">
        <f t="shared" si="116"/>
        <v>2024</v>
      </c>
      <c r="G1910">
        <f t="shared" si="117"/>
        <v>1</v>
      </c>
      <c r="H1910">
        <f t="shared" si="118"/>
        <v>1</v>
      </c>
      <c r="I1910" s="6">
        <v>0.4375</v>
      </c>
      <c r="J1910" s="6">
        <v>0.68402777777777779</v>
      </c>
      <c r="K1910" s="7" t="s">
        <v>26</v>
      </c>
      <c r="L1910" s="7" t="s">
        <v>27</v>
      </c>
      <c r="M1910" s="7" t="s">
        <v>15</v>
      </c>
      <c r="N1910" s="7">
        <f>COUNTIFS(A:A,A1910,D:D,D1910,E:E,I1910)</f>
        <v>0</v>
      </c>
    </row>
    <row r="1911" spans="1:14" x14ac:dyDescent="0.3">
      <c r="A1911" s="7" t="s">
        <v>52</v>
      </c>
      <c r="B1911" s="7" t="s">
        <v>53</v>
      </c>
      <c r="C1911" s="7" t="s">
        <v>42</v>
      </c>
      <c r="D1911" s="8">
        <v>45316</v>
      </c>
      <c r="E1911" s="8" t="str">
        <f t="shared" si="115"/>
        <v>January</v>
      </c>
      <c r="F1911">
        <f t="shared" si="116"/>
        <v>2024</v>
      </c>
      <c r="G1911">
        <f t="shared" si="117"/>
        <v>0</v>
      </c>
      <c r="H1911">
        <f t="shared" si="118"/>
        <v>0</v>
      </c>
      <c r="I1911" s="6"/>
      <c r="J1911" s="6"/>
      <c r="K1911" s="7" t="s">
        <v>44</v>
      </c>
      <c r="L1911" s="7" t="s">
        <v>27</v>
      </c>
      <c r="M1911" s="7" t="s">
        <v>21</v>
      </c>
      <c r="N1911" s="7">
        <f>COUNTIFS(A:A,A1911,D:D,D1911,E:E,I1911)</f>
        <v>0</v>
      </c>
    </row>
    <row r="1912" spans="1:14" x14ac:dyDescent="0.3">
      <c r="A1912" s="7" t="s">
        <v>81</v>
      </c>
      <c r="B1912" s="7" t="s">
        <v>82</v>
      </c>
      <c r="C1912" s="7" t="s">
        <v>64</v>
      </c>
      <c r="D1912" s="8">
        <v>45316</v>
      </c>
      <c r="E1912" s="8" t="str">
        <f t="shared" si="115"/>
        <v>January</v>
      </c>
      <c r="F1912">
        <f t="shared" si="116"/>
        <v>2024</v>
      </c>
      <c r="G1912">
        <f t="shared" si="117"/>
        <v>1</v>
      </c>
      <c r="H1912">
        <f t="shared" si="118"/>
        <v>0</v>
      </c>
      <c r="I1912" s="6">
        <v>0.37638888888888888</v>
      </c>
      <c r="J1912" s="6">
        <v>0.74652777777777779</v>
      </c>
      <c r="K1912" s="7" t="s">
        <v>13</v>
      </c>
      <c r="L1912" s="7" t="s">
        <v>27</v>
      </c>
      <c r="M1912" s="7" t="s">
        <v>21</v>
      </c>
      <c r="N1912" s="7">
        <f>COUNTIFS(A:A,A1912,D:D,D1912,E:E,I1912)</f>
        <v>0</v>
      </c>
    </row>
    <row r="1913" spans="1:14" x14ac:dyDescent="0.3">
      <c r="A1913" s="7" t="s">
        <v>122</v>
      </c>
      <c r="B1913" s="7" t="s">
        <v>123</v>
      </c>
      <c r="C1913" s="7" t="s">
        <v>64</v>
      </c>
      <c r="D1913" s="8">
        <v>45356</v>
      </c>
      <c r="E1913" s="8" t="str">
        <f t="shared" si="115"/>
        <v>March</v>
      </c>
      <c r="F1913">
        <f t="shared" si="116"/>
        <v>2024</v>
      </c>
      <c r="G1913">
        <f t="shared" si="117"/>
        <v>1</v>
      </c>
      <c r="H1913">
        <f t="shared" si="118"/>
        <v>0</v>
      </c>
      <c r="I1913" s="6">
        <v>0.40416666666666667</v>
      </c>
      <c r="J1913" s="6">
        <v>0.86597222222222225</v>
      </c>
      <c r="K1913" s="7" t="s">
        <v>13</v>
      </c>
      <c r="L1913" s="7" t="s">
        <v>27</v>
      </c>
      <c r="M1913" s="7" t="s">
        <v>21</v>
      </c>
      <c r="N1913" s="7">
        <f>COUNTIFS(A:A,A1913,D:D,D1913,E:E,I1913)</f>
        <v>0</v>
      </c>
    </row>
    <row r="1914" spans="1:14" x14ac:dyDescent="0.3">
      <c r="A1914" s="7" t="s">
        <v>246</v>
      </c>
      <c r="B1914" s="7" t="s">
        <v>247</v>
      </c>
      <c r="C1914" s="7" t="s">
        <v>60</v>
      </c>
      <c r="D1914" s="8">
        <v>45340</v>
      </c>
      <c r="E1914" s="8" t="str">
        <f t="shared" si="115"/>
        <v>February</v>
      </c>
      <c r="F1914">
        <f t="shared" si="116"/>
        <v>2024</v>
      </c>
      <c r="G1914">
        <f t="shared" si="117"/>
        <v>1</v>
      </c>
      <c r="H1914">
        <f t="shared" si="118"/>
        <v>1</v>
      </c>
      <c r="I1914" s="6">
        <v>0.4861111111111111</v>
      </c>
      <c r="J1914" s="6">
        <v>0.82222222222222219</v>
      </c>
      <c r="K1914" s="7" t="s">
        <v>26</v>
      </c>
      <c r="L1914" s="7" t="s">
        <v>27</v>
      </c>
      <c r="M1914" s="7" t="s">
        <v>21</v>
      </c>
      <c r="N1914" s="7">
        <f>COUNTIFS(A:A,A1914,D:D,D1914,E:E,I1914)</f>
        <v>0</v>
      </c>
    </row>
    <row r="1915" spans="1:14" x14ac:dyDescent="0.3">
      <c r="A1915" s="7" t="s">
        <v>138</v>
      </c>
      <c r="B1915" s="7" t="s">
        <v>139</v>
      </c>
      <c r="C1915" s="7" t="s">
        <v>64</v>
      </c>
      <c r="D1915" s="8">
        <v>45306</v>
      </c>
      <c r="E1915" s="8" t="str">
        <f t="shared" si="115"/>
        <v>January</v>
      </c>
      <c r="F1915">
        <f t="shared" si="116"/>
        <v>2024</v>
      </c>
      <c r="G1915">
        <f t="shared" si="117"/>
        <v>1</v>
      </c>
      <c r="H1915">
        <f t="shared" si="118"/>
        <v>0</v>
      </c>
      <c r="I1915" s="6">
        <v>0.34652777777777777</v>
      </c>
      <c r="J1915" s="6">
        <v>0.86944444444444446</v>
      </c>
      <c r="K1915" s="7" t="s">
        <v>20</v>
      </c>
      <c r="L1915" s="7" t="s">
        <v>14</v>
      </c>
      <c r="M1915" s="7" t="s">
        <v>21</v>
      </c>
      <c r="N1915" s="7">
        <f>COUNTIFS(A:A,A1915,D:D,D1915,E:E,I1915)</f>
        <v>0</v>
      </c>
    </row>
    <row r="1916" spans="1:14" x14ac:dyDescent="0.3">
      <c r="A1916" s="7" t="s">
        <v>28</v>
      </c>
      <c r="B1916" s="7" t="s">
        <v>29</v>
      </c>
      <c r="C1916" s="7" t="s">
        <v>60</v>
      </c>
      <c r="D1916" s="8">
        <v>45446</v>
      </c>
      <c r="E1916" s="8" t="str">
        <f t="shared" si="115"/>
        <v>June</v>
      </c>
      <c r="F1916">
        <f t="shared" si="116"/>
        <v>2024</v>
      </c>
      <c r="G1916">
        <f t="shared" si="117"/>
        <v>1</v>
      </c>
      <c r="H1916">
        <f t="shared" si="118"/>
        <v>0</v>
      </c>
      <c r="I1916" s="6">
        <v>0.42569444444444443</v>
      </c>
      <c r="J1916" s="6">
        <v>0.8569444444444444</v>
      </c>
      <c r="K1916" s="7" t="s">
        <v>13</v>
      </c>
      <c r="L1916" s="7" t="s">
        <v>27</v>
      </c>
      <c r="M1916" s="7" t="s">
        <v>21</v>
      </c>
      <c r="N1916" s="7">
        <f>COUNTIFS(A:A,A1916,D:D,D1916,E:E,I1916)</f>
        <v>0</v>
      </c>
    </row>
    <row r="1917" spans="1:14" x14ac:dyDescent="0.3">
      <c r="A1917" s="7" t="s">
        <v>87</v>
      </c>
      <c r="B1917" s="7" t="s">
        <v>88</v>
      </c>
      <c r="C1917" s="7" t="s">
        <v>60</v>
      </c>
      <c r="D1917" s="8">
        <v>45339</v>
      </c>
      <c r="E1917" s="8" t="str">
        <f t="shared" si="115"/>
        <v>February</v>
      </c>
      <c r="F1917">
        <f t="shared" si="116"/>
        <v>2024</v>
      </c>
      <c r="G1917">
        <f t="shared" si="117"/>
        <v>1</v>
      </c>
      <c r="H1917">
        <f t="shared" si="118"/>
        <v>1</v>
      </c>
      <c r="I1917" s="6">
        <v>0.42986111111111114</v>
      </c>
      <c r="J1917" s="6">
        <v>0.84791666666666665</v>
      </c>
      <c r="K1917" s="7" t="s">
        <v>26</v>
      </c>
      <c r="L1917" s="7" t="s">
        <v>27</v>
      </c>
      <c r="M1917" s="7" t="s">
        <v>15</v>
      </c>
      <c r="N1917" s="7">
        <f>COUNTIFS(A:A,A1917,D:D,D1917,E:E,I1917)</f>
        <v>0</v>
      </c>
    </row>
    <row r="1918" spans="1:14" x14ac:dyDescent="0.3">
      <c r="A1918" s="7" t="s">
        <v>84</v>
      </c>
      <c r="B1918" s="7" t="s">
        <v>85</v>
      </c>
      <c r="C1918" s="7" t="s">
        <v>60</v>
      </c>
      <c r="D1918" s="8">
        <v>45370</v>
      </c>
      <c r="E1918" s="8" t="str">
        <f t="shared" si="115"/>
        <v>March</v>
      </c>
      <c r="F1918">
        <f t="shared" si="116"/>
        <v>2024</v>
      </c>
      <c r="G1918">
        <f t="shared" si="117"/>
        <v>1</v>
      </c>
      <c r="H1918">
        <f t="shared" si="118"/>
        <v>0</v>
      </c>
      <c r="I1918" s="6">
        <v>0.36041666666666666</v>
      </c>
      <c r="J1918" s="6">
        <v>0.7729166666666667</v>
      </c>
      <c r="K1918" s="7" t="s">
        <v>20</v>
      </c>
      <c r="L1918" s="7" t="s">
        <v>14</v>
      </c>
      <c r="M1918" s="7" t="s">
        <v>15</v>
      </c>
      <c r="N1918" s="7">
        <f>COUNTIFS(A:A,A1918,D:D,D1918,E:E,I1918)</f>
        <v>0</v>
      </c>
    </row>
    <row r="1919" spans="1:14" x14ac:dyDescent="0.3">
      <c r="A1919" s="7" t="s">
        <v>66</v>
      </c>
      <c r="B1919" s="7" t="s">
        <v>67</v>
      </c>
      <c r="C1919" s="7" t="s">
        <v>64</v>
      </c>
      <c r="D1919" s="8">
        <v>45366</v>
      </c>
      <c r="E1919" s="8" t="str">
        <f t="shared" si="115"/>
        <v>March</v>
      </c>
      <c r="F1919">
        <f t="shared" si="116"/>
        <v>2024</v>
      </c>
      <c r="G1919">
        <f t="shared" si="117"/>
        <v>1</v>
      </c>
      <c r="H1919">
        <f t="shared" si="118"/>
        <v>1</v>
      </c>
      <c r="I1919" s="6">
        <v>0.43472222222222223</v>
      </c>
      <c r="J1919" s="6">
        <v>0.80486111111111114</v>
      </c>
      <c r="K1919" s="7" t="s">
        <v>26</v>
      </c>
      <c r="L1919" s="7" t="s">
        <v>14</v>
      </c>
      <c r="M1919" s="7" t="s">
        <v>15</v>
      </c>
      <c r="N1919" s="7">
        <f>COUNTIFS(A:A,A1919,D:D,D1919,E:E,I1919)</f>
        <v>0</v>
      </c>
    </row>
    <row r="1920" spans="1:14" x14ac:dyDescent="0.3">
      <c r="A1920" s="7" t="s">
        <v>96</v>
      </c>
      <c r="B1920" s="7" t="s">
        <v>97</v>
      </c>
      <c r="C1920" s="7" t="s">
        <v>60</v>
      </c>
      <c r="D1920" s="8">
        <v>45295</v>
      </c>
      <c r="E1920" s="8" t="str">
        <f t="shared" si="115"/>
        <v>January</v>
      </c>
      <c r="F1920">
        <f t="shared" si="116"/>
        <v>2024</v>
      </c>
      <c r="G1920">
        <f t="shared" si="117"/>
        <v>1</v>
      </c>
      <c r="H1920">
        <f t="shared" si="118"/>
        <v>1</v>
      </c>
      <c r="I1920" s="6">
        <v>0.38819444444444445</v>
      </c>
      <c r="J1920" s="6">
        <v>0.82291666666666663</v>
      </c>
      <c r="K1920" s="7" t="s">
        <v>26</v>
      </c>
      <c r="L1920" s="7" t="s">
        <v>27</v>
      </c>
      <c r="M1920" s="7" t="s">
        <v>15</v>
      </c>
      <c r="N1920" s="7">
        <f>COUNTIFS(A:A,A1920,D:D,D1920,E:E,I1920)</f>
        <v>0</v>
      </c>
    </row>
    <row r="1921" spans="1:14" x14ac:dyDescent="0.3">
      <c r="A1921" s="7" t="s">
        <v>22</v>
      </c>
      <c r="B1921" s="7" t="s">
        <v>23</v>
      </c>
      <c r="C1921" s="7" t="s">
        <v>42</v>
      </c>
      <c r="D1921" s="8">
        <v>45597</v>
      </c>
      <c r="E1921" s="8" t="str">
        <f t="shared" si="115"/>
        <v>November</v>
      </c>
      <c r="F1921">
        <f t="shared" si="116"/>
        <v>2024</v>
      </c>
      <c r="G1921">
        <f t="shared" si="117"/>
        <v>1</v>
      </c>
      <c r="H1921">
        <f t="shared" si="118"/>
        <v>1</v>
      </c>
      <c r="I1921" s="6">
        <v>0.41875000000000001</v>
      </c>
      <c r="J1921" s="6">
        <v>0.85763888888888884</v>
      </c>
      <c r="K1921" s="7" t="s">
        <v>26</v>
      </c>
      <c r="L1921" s="7" t="s">
        <v>27</v>
      </c>
      <c r="M1921" s="7" t="s">
        <v>15</v>
      </c>
      <c r="N1921" s="7">
        <f>COUNTIFS(A:A,A1921,D:D,D1921,E:E,I1921)</f>
        <v>0</v>
      </c>
    </row>
    <row r="1922" spans="1:14" x14ac:dyDescent="0.3">
      <c r="A1922" s="7" t="s">
        <v>22</v>
      </c>
      <c r="B1922" s="7" t="s">
        <v>23</v>
      </c>
      <c r="C1922" s="7" t="s">
        <v>425</v>
      </c>
      <c r="D1922" s="8">
        <v>45342</v>
      </c>
      <c r="E1922" s="8" t="str">
        <f t="shared" ref="E1922:E1985" si="119">TEXT(D1922,"mmmm")</f>
        <v>February</v>
      </c>
      <c r="F1922">
        <f t="shared" ref="F1922:F1985" si="120">YEAR(D1922)</f>
        <v>2024</v>
      </c>
      <c r="G1922">
        <f t="shared" ref="G1922:G1985" si="121">IF(LOWER(K1922)="absent",0,1)</f>
        <v>1</v>
      </c>
      <c r="H1922">
        <f t="shared" ref="H1922:H1985" si="122">IF(K1922="Late",1,0)</f>
        <v>0</v>
      </c>
      <c r="I1922" s="6">
        <v>0.4861111111111111</v>
      </c>
      <c r="J1922" s="6">
        <v>0.77152777777777781</v>
      </c>
      <c r="K1922" s="7" t="s">
        <v>13</v>
      </c>
      <c r="L1922" s="7" t="s">
        <v>27</v>
      </c>
      <c r="M1922" s="7" t="s">
        <v>15</v>
      </c>
      <c r="N1922" s="7">
        <f>COUNTIFS(A:A,A1922,D:D,D1922,E:E,I1922)</f>
        <v>0</v>
      </c>
    </row>
    <row r="1923" spans="1:14" x14ac:dyDescent="0.3">
      <c r="A1923" s="7" t="s">
        <v>246</v>
      </c>
      <c r="B1923" s="7" t="s">
        <v>247</v>
      </c>
      <c r="C1923" s="7" t="s">
        <v>42</v>
      </c>
      <c r="D1923" s="8">
        <v>45323</v>
      </c>
      <c r="E1923" s="8" t="str">
        <f t="shared" si="119"/>
        <v>February</v>
      </c>
      <c r="F1923">
        <f t="shared" si="120"/>
        <v>2024</v>
      </c>
      <c r="G1923">
        <f t="shared" si="121"/>
        <v>1</v>
      </c>
      <c r="H1923">
        <f t="shared" si="122"/>
        <v>1</v>
      </c>
      <c r="I1923" s="6">
        <v>0.48541666666666666</v>
      </c>
      <c r="J1923" s="6">
        <v>0.83472222222222225</v>
      </c>
      <c r="K1923" s="7" t="s">
        <v>26</v>
      </c>
      <c r="L1923" s="7" t="s">
        <v>27</v>
      </c>
      <c r="M1923" s="7" t="s">
        <v>15</v>
      </c>
      <c r="N1923" s="7">
        <f>COUNTIFS(A:A,A1923,D:D,D1923,E:E,I1923)</f>
        <v>0</v>
      </c>
    </row>
    <row r="1924" spans="1:14" x14ac:dyDescent="0.3">
      <c r="A1924" s="7" t="s">
        <v>197</v>
      </c>
      <c r="B1924" s="7" t="s">
        <v>198</v>
      </c>
      <c r="C1924" s="7" t="s">
        <v>64</v>
      </c>
      <c r="D1924" s="8">
        <v>45336</v>
      </c>
      <c r="E1924" s="8" t="str">
        <f t="shared" si="119"/>
        <v>February</v>
      </c>
      <c r="F1924">
        <f t="shared" si="120"/>
        <v>2024</v>
      </c>
      <c r="G1924">
        <f t="shared" si="121"/>
        <v>0</v>
      </c>
      <c r="H1924">
        <f t="shared" si="122"/>
        <v>0</v>
      </c>
      <c r="I1924" s="6"/>
      <c r="J1924" s="6"/>
      <c r="K1924" s="7" t="s">
        <v>44</v>
      </c>
      <c r="L1924" s="7" t="s">
        <v>14</v>
      </c>
      <c r="M1924" s="7" t="s">
        <v>15</v>
      </c>
      <c r="N1924" s="7">
        <f>COUNTIFS(A:A,A1924,D:D,D1924,E:E,I1924)</f>
        <v>0</v>
      </c>
    </row>
    <row r="1925" spans="1:14" x14ac:dyDescent="0.3">
      <c r="A1925" s="7" t="s">
        <v>87</v>
      </c>
      <c r="B1925" s="7" t="s">
        <v>88</v>
      </c>
      <c r="C1925" s="7" t="s">
        <v>64</v>
      </c>
      <c r="D1925" s="8">
        <v>45378</v>
      </c>
      <c r="E1925" s="8" t="str">
        <f t="shared" si="119"/>
        <v>March</v>
      </c>
      <c r="F1925">
        <f t="shared" si="120"/>
        <v>2024</v>
      </c>
      <c r="G1925">
        <f t="shared" si="121"/>
        <v>1</v>
      </c>
      <c r="H1925">
        <f t="shared" si="122"/>
        <v>1</v>
      </c>
      <c r="I1925" s="6">
        <v>0.41388888888888886</v>
      </c>
      <c r="J1925" s="6">
        <v>0.73402777777777772</v>
      </c>
      <c r="K1925" s="7" t="s">
        <v>26</v>
      </c>
      <c r="L1925" s="7" t="s">
        <v>27</v>
      </c>
      <c r="M1925" s="7" t="s">
        <v>21</v>
      </c>
      <c r="N1925" s="7">
        <f>COUNTIFS(A:A,A1925,D:D,D1925,E:E,I1925)</f>
        <v>0</v>
      </c>
    </row>
    <row r="1926" spans="1:14" x14ac:dyDescent="0.3">
      <c r="A1926" s="7" t="s">
        <v>236</v>
      </c>
      <c r="B1926" s="7" t="s">
        <v>237</v>
      </c>
      <c r="C1926" s="7" t="s">
        <v>60</v>
      </c>
      <c r="D1926" s="8">
        <v>45342</v>
      </c>
      <c r="E1926" s="8" t="str">
        <f t="shared" si="119"/>
        <v>February</v>
      </c>
      <c r="F1926">
        <f t="shared" si="120"/>
        <v>2024</v>
      </c>
      <c r="G1926">
        <f t="shared" si="121"/>
        <v>0</v>
      </c>
      <c r="H1926">
        <f t="shared" si="122"/>
        <v>0</v>
      </c>
      <c r="I1926" s="6"/>
      <c r="J1926" s="6"/>
      <c r="K1926" s="7" t="s">
        <v>44</v>
      </c>
      <c r="L1926" s="7" t="s">
        <v>27</v>
      </c>
      <c r="M1926" s="7" t="s">
        <v>15</v>
      </c>
      <c r="N1926" s="7">
        <f>COUNTIFS(A:A,A1926,D:D,D1926,E:E,I1926)</f>
        <v>0</v>
      </c>
    </row>
    <row r="1927" spans="1:14" x14ac:dyDescent="0.3">
      <c r="A1927" s="7" t="s">
        <v>58</v>
      </c>
      <c r="B1927" s="7" t="s">
        <v>59</v>
      </c>
      <c r="C1927" s="7" t="s">
        <v>426</v>
      </c>
      <c r="D1927" s="8">
        <v>45358</v>
      </c>
      <c r="E1927" s="8" t="str">
        <f t="shared" si="119"/>
        <v>March</v>
      </c>
      <c r="F1927">
        <f t="shared" si="120"/>
        <v>2024</v>
      </c>
      <c r="G1927">
        <f t="shared" si="121"/>
        <v>0</v>
      </c>
      <c r="H1927">
        <f t="shared" si="122"/>
        <v>0</v>
      </c>
      <c r="I1927" s="6"/>
      <c r="J1927" s="6"/>
      <c r="K1927" s="7" t="s">
        <v>44</v>
      </c>
      <c r="L1927" s="7" t="s">
        <v>14</v>
      </c>
      <c r="M1927" s="7" t="s">
        <v>21</v>
      </c>
      <c r="N1927" s="7">
        <f>COUNTIFS(A:A,A1927,D:D,D1927,E:E,I1927)</f>
        <v>0</v>
      </c>
    </row>
    <row r="1928" spans="1:14" x14ac:dyDescent="0.3">
      <c r="A1928" s="7" t="s">
        <v>78</v>
      </c>
      <c r="B1928" s="7" t="s">
        <v>79</v>
      </c>
      <c r="C1928" s="7" t="s">
        <v>425</v>
      </c>
      <c r="D1928" s="8">
        <v>45567</v>
      </c>
      <c r="E1928" s="8" t="str">
        <f t="shared" si="119"/>
        <v>October</v>
      </c>
      <c r="F1928">
        <f t="shared" si="120"/>
        <v>2024</v>
      </c>
      <c r="G1928">
        <f t="shared" si="121"/>
        <v>0</v>
      </c>
      <c r="H1928">
        <f t="shared" si="122"/>
        <v>0</v>
      </c>
      <c r="I1928" s="6"/>
      <c r="J1928" s="6"/>
      <c r="K1928" s="7" t="s">
        <v>44</v>
      </c>
      <c r="L1928" s="7" t="s">
        <v>27</v>
      </c>
      <c r="M1928" s="7" t="s">
        <v>21</v>
      </c>
      <c r="N1928" s="7">
        <f>COUNTIFS(A:A,A1928,D:D,D1928,E:E,I1928)</f>
        <v>0</v>
      </c>
    </row>
    <row r="1929" spans="1:14" x14ac:dyDescent="0.3">
      <c r="A1929" s="7" t="s">
        <v>31</v>
      </c>
      <c r="B1929" s="7" t="s">
        <v>32</v>
      </c>
      <c r="C1929" s="7" t="s">
        <v>425</v>
      </c>
      <c r="D1929" s="8">
        <v>45353</v>
      </c>
      <c r="E1929" s="8" t="str">
        <f t="shared" si="119"/>
        <v>March</v>
      </c>
      <c r="F1929">
        <f t="shared" si="120"/>
        <v>2024</v>
      </c>
      <c r="G1929">
        <f t="shared" si="121"/>
        <v>1</v>
      </c>
      <c r="H1929">
        <f t="shared" si="122"/>
        <v>0</v>
      </c>
      <c r="I1929" s="6">
        <v>0.46736111111111112</v>
      </c>
      <c r="J1929" s="6">
        <v>0.72638888888888886</v>
      </c>
      <c r="K1929" s="7" t="s">
        <v>13</v>
      </c>
      <c r="L1929" s="7" t="s">
        <v>27</v>
      </c>
      <c r="M1929" s="7" t="s">
        <v>15</v>
      </c>
      <c r="N1929" s="7">
        <f>COUNTIFS(A:A,A1929,D:D,D1929,E:E,I1929)</f>
        <v>0</v>
      </c>
    </row>
    <row r="1930" spans="1:14" x14ac:dyDescent="0.3">
      <c r="A1930" s="7" t="s">
        <v>204</v>
      </c>
      <c r="B1930" s="7" t="s">
        <v>205</v>
      </c>
      <c r="C1930" s="7" t="s">
        <v>64</v>
      </c>
      <c r="D1930" s="8">
        <v>45536</v>
      </c>
      <c r="E1930" s="8" t="str">
        <f t="shared" si="119"/>
        <v>September</v>
      </c>
      <c r="F1930">
        <f t="shared" si="120"/>
        <v>2024</v>
      </c>
      <c r="G1930">
        <f t="shared" si="121"/>
        <v>1</v>
      </c>
      <c r="H1930">
        <f t="shared" si="122"/>
        <v>0</v>
      </c>
      <c r="I1930" s="6">
        <v>0.36180555555555555</v>
      </c>
      <c r="J1930" s="6">
        <v>0.83402777777777781</v>
      </c>
      <c r="K1930" s="7" t="s">
        <v>13</v>
      </c>
      <c r="L1930" s="7" t="s">
        <v>27</v>
      </c>
      <c r="M1930" s="7" t="s">
        <v>15</v>
      </c>
      <c r="N1930" s="7">
        <f>COUNTIFS(A:A,A1930,D:D,D1930,E:E,I1930)</f>
        <v>0</v>
      </c>
    </row>
    <row r="1931" spans="1:14" x14ac:dyDescent="0.3">
      <c r="A1931" s="7" t="s">
        <v>141</v>
      </c>
      <c r="B1931" s="7" t="s">
        <v>142</v>
      </c>
      <c r="C1931" s="7" t="s">
        <v>426</v>
      </c>
      <c r="D1931" s="8">
        <v>45536</v>
      </c>
      <c r="E1931" s="8" t="str">
        <f t="shared" si="119"/>
        <v>September</v>
      </c>
      <c r="F1931">
        <f t="shared" si="120"/>
        <v>2024</v>
      </c>
      <c r="G1931">
        <f t="shared" si="121"/>
        <v>1</v>
      </c>
      <c r="H1931">
        <f t="shared" si="122"/>
        <v>1</v>
      </c>
      <c r="I1931" s="6">
        <v>0.3576388888888889</v>
      </c>
      <c r="J1931" s="6">
        <v>0.81041666666666667</v>
      </c>
      <c r="K1931" s="7" t="s">
        <v>26</v>
      </c>
      <c r="L1931" s="7" t="s">
        <v>14</v>
      </c>
      <c r="M1931" s="7" t="s">
        <v>21</v>
      </c>
      <c r="N1931" s="7">
        <f>COUNTIFS(A:A,A1931,D:D,D1931,E:E,I1931)</f>
        <v>0</v>
      </c>
    </row>
    <row r="1932" spans="1:14" x14ac:dyDescent="0.3">
      <c r="A1932" s="7" t="s">
        <v>250</v>
      </c>
      <c r="B1932" s="7" t="s">
        <v>251</v>
      </c>
      <c r="C1932" s="7" t="s">
        <v>64</v>
      </c>
      <c r="D1932" s="8">
        <v>45444</v>
      </c>
      <c r="E1932" s="8" t="str">
        <f t="shared" si="119"/>
        <v>June</v>
      </c>
      <c r="F1932">
        <f t="shared" si="120"/>
        <v>2024</v>
      </c>
      <c r="G1932">
        <f t="shared" si="121"/>
        <v>1</v>
      </c>
      <c r="H1932">
        <f t="shared" si="122"/>
        <v>0</v>
      </c>
      <c r="I1932" s="6">
        <v>0.38680555555555557</v>
      </c>
      <c r="J1932" s="6">
        <v>0.72291666666666665</v>
      </c>
      <c r="K1932" s="7" t="s">
        <v>13</v>
      </c>
      <c r="L1932" s="7" t="s">
        <v>27</v>
      </c>
      <c r="M1932" s="7" t="s">
        <v>15</v>
      </c>
      <c r="N1932" s="7">
        <f>COUNTIFS(A:A,A1932,D:D,D1932,E:E,I1932)</f>
        <v>0</v>
      </c>
    </row>
    <row r="1933" spans="1:14" x14ac:dyDescent="0.3">
      <c r="A1933" s="7" t="s">
        <v>96</v>
      </c>
      <c r="B1933" s="7" t="s">
        <v>97</v>
      </c>
      <c r="C1933" s="7" t="s">
        <v>425</v>
      </c>
      <c r="D1933" s="8">
        <v>45369</v>
      </c>
      <c r="E1933" s="8" t="str">
        <f t="shared" si="119"/>
        <v>March</v>
      </c>
      <c r="F1933">
        <f t="shared" si="120"/>
        <v>2024</v>
      </c>
      <c r="G1933">
        <f t="shared" si="121"/>
        <v>1</v>
      </c>
      <c r="H1933">
        <f t="shared" si="122"/>
        <v>1</v>
      </c>
      <c r="I1933" s="6">
        <v>0.41319444444444442</v>
      </c>
      <c r="J1933" s="6">
        <v>0.78055555555555556</v>
      </c>
      <c r="K1933" s="7" t="s">
        <v>26</v>
      </c>
      <c r="L1933" s="7" t="s">
        <v>27</v>
      </c>
      <c r="M1933" s="7" t="s">
        <v>21</v>
      </c>
      <c r="N1933" s="7">
        <f>COUNTIFS(A:A,A1933,D:D,D1933,E:E,I1933)</f>
        <v>0</v>
      </c>
    </row>
    <row r="1934" spans="1:14" x14ac:dyDescent="0.3">
      <c r="A1934" s="7" t="s">
        <v>150</v>
      </c>
      <c r="B1934" s="7" t="s">
        <v>151</v>
      </c>
      <c r="C1934" s="7" t="s">
        <v>425</v>
      </c>
      <c r="D1934" s="8">
        <v>45325</v>
      </c>
      <c r="E1934" s="8" t="str">
        <f t="shared" si="119"/>
        <v>February</v>
      </c>
      <c r="F1934">
        <f t="shared" si="120"/>
        <v>2024</v>
      </c>
      <c r="G1934">
        <f t="shared" si="121"/>
        <v>0</v>
      </c>
      <c r="H1934">
        <f t="shared" si="122"/>
        <v>0</v>
      </c>
      <c r="I1934" s="6"/>
      <c r="J1934" s="6"/>
      <c r="K1934" s="7" t="s">
        <v>44</v>
      </c>
      <c r="L1934" s="7" t="s">
        <v>14</v>
      </c>
      <c r="M1934" s="7" t="s">
        <v>15</v>
      </c>
      <c r="N1934" s="7">
        <f>COUNTIFS(A:A,A1934,D:D,D1934,E:E,I1934)</f>
        <v>0</v>
      </c>
    </row>
    <row r="1935" spans="1:14" x14ac:dyDescent="0.3">
      <c r="A1935" s="7" t="s">
        <v>138</v>
      </c>
      <c r="B1935" s="7" t="s">
        <v>139</v>
      </c>
      <c r="C1935" s="7" t="s">
        <v>64</v>
      </c>
      <c r="D1935" s="8">
        <v>45306</v>
      </c>
      <c r="E1935" s="8" t="str">
        <f t="shared" si="119"/>
        <v>January</v>
      </c>
      <c r="F1935">
        <f t="shared" si="120"/>
        <v>2024</v>
      </c>
      <c r="G1935">
        <f t="shared" si="121"/>
        <v>1</v>
      </c>
      <c r="H1935">
        <f t="shared" si="122"/>
        <v>1</v>
      </c>
      <c r="I1935" s="6">
        <v>0.47013888888888888</v>
      </c>
      <c r="J1935" s="6">
        <v>0.6875</v>
      </c>
      <c r="K1935" s="7" t="s">
        <v>26</v>
      </c>
      <c r="L1935" s="7" t="s">
        <v>27</v>
      </c>
      <c r="M1935" s="7" t="s">
        <v>21</v>
      </c>
      <c r="N1935" s="7">
        <f>COUNTIFS(A:A,A1935,D:D,D1935,E:E,I1935)</f>
        <v>0</v>
      </c>
    </row>
    <row r="1936" spans="1:14" x14ac:dyDescent="0.3">
      <c r="A1936" s="7" t="s">
        <v>338</v>
      </c>
      <c r="B1936" s="7" t="s">
        <v>339</v>
      </c>
      <c r="C1936" s="7" t="s">
        <v>42</v>
      </c>
      <c r="D1936" s="8">
        <v>45294</v>
      </c>
      <c r="E1936" s="8" t="str">
        <f t="shared" si="119"/>
        <v>January</v>
      </c>
      <c r="F1936">
        <f t="shared" si="120"/>
        <v>2024</v>
      </c>
      <c r="G1936">
        <f t="shared" si="121"/>
        <v>1</v>
      </c>
      <c r="H1936">
        <f t="shared" si="122"/>
        <v>0</v>
      </c>
      <c r="I1936" s="6">
        <v>0.36458333333333331</v>
      </c>
      <c r="J1936" s="6">
        <v>0.86597222222222225</v>
      </c>
      <c r="K1936" s="7" t="s">
        <v>20</v>
      </c>
      <c r="L1936" s="7" t="s">
        <v>14</v>
      </c>
      <c r="M1936" s="7" t="s">
        <v>15</v>
      </c>
      <c r="N1936" s="7">
        <f>COUNTIFS(A:A,A1936,D:D,D1936,E:E,I1936)</f>
        <v>0</v>
      </c>
    </row>
    <row r="1937" spans="1:14" x14ac:dyDescent="0.3">
      <c r="A1937" s="7" t="s">
        <v>338</v>
      </c>
      <c r="B1937" s="7" t="s">
        <v>339</v>
      </c>
      <c r="C1937" s="7" t="s">
        <v>425</v>
      </c>
      <c r="D1937" s="8">
        <v>45324</v>
      </c>
      <c r="E1937" s="8" t="str">
        <f t="shared" si="119"/>
        <v>February</v>
      </c>
      <c r="F1937">
        <f t="shared" si="120"/>
        <v>2024</v>
      </c>
      <c r="G1937">
        <f t="shared" si="121"/>
        <v>1</v>
      </c>
      <c r="H1937">
        <f t="shared" si="122"/>
        <v>0</v>
      </c>
      <c r="I1937" s="6">
        <v>0.41666666666666669</v>
      </c>
      <c r="J1937" s="6">
        <v>0.84791666666666665</v>
      </c>
      <c r="K1937" s="7" t="s">
        <v>20</v>
      </c>
      <c r="L1937" s="7" t="s">
        <v>14</v>
      </c>
      <c r="M1937" s="7" t="s">
        <v>21</v>
      </c>
      <c r="N1937" s="7">
        <f>COUNTIFS(A:A,A1937,D:D,D1937,E:E,I1937)</f>
        <v>0</v>
      </c>
    </row>
    <row r="1938" spans="1:14" x14ac:dyDescent="0.3">
      <c r="A1938" s="7" t="s">
        <v>146</v>
      </c>
      <c r="B1938" s="7" t="s">
        <v>147</v>
      </c>
      <c r="C1938" s="7" t="s">
        <v>426</v>
      </c>
      <c r="D1938" s="8">
        <v>45354</v>
      </c>
      <c r="E1938" s="8" t="str">
        <f t="shared" si="119"/>
        <v>March</v>
      </c>
      <c r="F1938">
        <f t="shared" si="120"/>
        <v>2024</v>
      </c>
      <c r="G1938">
        <f t="shared" si="121"/>
        <v>0</v>
      </c>
      <c r="H1938">
        <f t="shared" si="122"/>
        <v>0</v>
      </c>
      <c r="I1938" s="6"/>
      <c r="J1938" s="6"/>
      <c r="K1938" s="7" t="s">
        <v>44</v>
      </c>
      <c r="L1938" s="7" t="s">
        <v>27</v>
      </c>
      <c r="M1938" s="7" t="s">
        <v>15</v>
      </c>
      <c r="N1938" s="7">
        <f>COUNTIFS(A:A,A1938,D:D,D1938,E:E,I1938)</f>
        <v>0</v>
      </c>
    </row>
    <row r="1939" spans="1:14" x14ac:dyDescent="0.3">
      <c r="A1939" s="7" t="s">
        <v>40</v>
      </c>
      <c r="B1939" s="7" t="s">
        <v>41</v>
      </c>
      <c r="C1939" s="7" t="s">
        <v>64</v>
      </c>
      <c r="D1939" s="8">
        <v>45345</v>
      </c>
      <c r="E1939" s="8" t="str">
        <f t="shared" si="119"/>
        <v>February</v>
      </c>
      <c r="F1939">
        <f t="shared" si="120"/>
        <v>2024</v>
      </c>
      <c r="G1939">
        <f t="shared" si="121"/>
        <v>1</v>
      </c>
      <c r="H1939">
        <f t="shared" si="122"/>
        <v>0</v>
      </c>
      <c r="I1939" s="6">
        <v>0.44305555555555554</v>
      </c>
      <c r="J1939" s="6">
        <v>0.74444444444444446</v>
      </c>
      <c r="K1939" s="7" t="s">
        <v>13</v>
      </c>
      <c r="L1939" s="7" t="s">
        <v>27</v>
      </c>
      <c r="M1939" s="7" t="s">
        <v>15</v>
      </c>
      <c r="N1939" s="7">
        <f>COUNTIFS(A:A,A1939,D:D,D1939,E:E,I1939)</f>
        <v>0</v>
      </c>
    </row>
    <row r="1940" spans="1:14" x14ac:dyDescent="0.3">
      <c r="A1940" s="7" t="s">
        <v>200</v>
      </c>
      <c r="B1940" s="7" t="s">
        <v>201</v>
      </c>
      <c r="C1940" s="7" t="s">
        <v>64</v>
      </c>
      <c r="D1940" s="8">
        <v>45292</v>
      </c>
      <c r="E1940" s="8" t="str">
        <f t="shared" si="119"/>
        <v>January</v>
      </c>
      <c r="F1940">
        <f t="shared" si="120"/>
        <v>2024</v>
      </c>
      <c r="G1940">
        <f t="shared" si="121"/>
        <v>1</v>
      </c>
      <c r="H1940">
        <f t="shared" si="122"/>
        <v>0</v>
      </c>
      <c r="I1940" s="6">
        <v>0.40763888888888888</v>
      </c>
      <c r="J1940" s="6">
        <v>0.81111111111111112</v>
      </c>
      <c r="K1940" s="7" t="s">
        <v>20</v>
      </c>
      <c r="L1940" s="7" t="s">
        <v>27</v>
      </c>
      <c r="M1940" s="7" t="s">
        <v>15</v>
      </c>
      <c r="N1940" s="7">
        <f>COUNTIFS(A:A,A1940,D:D,D1940,E:E,I1940)</f>
        <v>0</v>
      </c>
    </row>
    <row r="1941" spans="1:14" x14ac:dyDescent="0.3">
      <c r="A1941" s="7" t="s">
        <v>34</v>
      </c>
      <c r="B1941" s="7" t="s">
        <v>35</v>
      </c>
      <c r="C1941" s="7" t="s">
        <v>425</v>
      </c>
      <c r="D1941" s="8">
        <v>45369</v>
      </c>
      <c r="E1941" s="8" t="str">
        <f t="shared" si="119"/>
        <v>March</v>
      </c>
      <c r="F1941">
        <f t="shared" si="120"/>
        <v>2024</v>
      </c>
      <c r="G1941">
        <f t="shared" si="121"/>
        <v>1</v>
      </c>
      <c r="H1941">
        <f t="shared" si="122"/>
        <v>0</v>
      </c>
      <c r="I1941" s="6">
        <v>0.38472222222222224</v>
      </c>
      <c r="J1941" s="6">
        <v>0.84791666666666665</v>
      </c>
      <c r="K1941" s="7" t="s">
        <v>13</v>
      </c>
      <c r="L1941" s="7" t="s">
        <v>27</v>
      </c>
      <c r="M1941" s="7" t="s">
        <v>21</v>
      </c>
      <c r="N1941" s="7">
        <f>COUNTIFS(A:A,A1941,D:D,D1941,E:E,I1941)</f>
        <v>0</v>
      </c>
    </row>
    <row r="1942" spans="1:14" x14ac:dyDescent="0.3">
      <c r="A1942" s="7" t="s">
        <v>81</v>
      </c>
      <c r="B1942" s="7" t="s">
        <v>82</v>
      </c>
      <c r="C1942" s="7" t="s">
        <v>425</v>
      </c>
      <c r="D1942" s="8">
        <v>45567</v>
      </c>
      <c r="E1942" s="8" t="str">
        <f t="shared" si="119"/>
        <v>October</v>
      </c>
      <c r="F1942">
        <f t="shared" si="120"/>
        <v>2024</v>
      </c>
      <c r="G1942">
        <f t="shared" si="121"/>
        <v>1</v>
      </c>
      <c r="H1942">
        <f t="shared" si="122"/>
        <v>0</v>
      </c>
      <c r="I1942" s="6">
        <v>0.49513888888888891</v>
      </c>
      <c r="J1942" s="6">
        <v>0.67708333333333337</v>
      </c>
      <c r="K1942" s="7" t="s">
        <v>20</v>
      </c>
      <c r="L1942" s="7" t="s">
        <v>27</v>
      </c>
      <c r="M1942" s="7" t="s">
        <v>15</v>
      </c>
      <c r="N1942" s="7">
        <f>COUNTIFS(A:A,A1942,D:D,D1942,E:E,I1942)</f>
        <v>0</v>
      </c>
    </row>
    <row r="1943" spans="1:14" x14ac:dyDescent="0.3">
      <c r="A1943" s="7" t="s">
        <v>34</v>
      </c>
      <c r="B1943" s="7" t="s">
        <v>35</v>
      </c>
      <c r="C1943" s="7" t="s">
        <v>64</v>
      </c>
      <c r="D1943" s="8">
        <v>45323</v>
      </c>
      <c r="E1943" s="8" t="str">
        <f t="shared" si="119"/>
        <v>February</v>
      </c>
      <c r="F1943">
        <f t="shared" si="120"/>
        <v>2024</v>
      </c>
      <c r="G1943">
        <f t="shared" si="121"/>
        <v>1</v>
      </c>
      <c r="H1943">
        <f t="shared" si="122"/>
        <v>1</v>
      </c>
      <c r="I1943" s="6">
        <v>0.48749999999999999</v>
      </c>
      <c r="J1943" s="6">
        <v>0.67361111111111116</v>
      </c>
      <c r="K1943" s="7" t="s">
        <v>26</v>
      </c>
      <c r="L1943" s="7" t="s">
        <v>14</v>
      </c>
      <c r="M1943" s="7" t="s">
        <v>21</v>
      </c>
      <c r="N1943" s="7">
        <f>COUNTIFS(A:A,A1943,D:D,D1943,E:E,I1943)</f>
        <v>0</v>
      </c>
    </row>
    <row r="1944" spans="1:14" x14ac:dyDescent="0.3">
      <c r="A1944" s="7" t="s">
        <v>62</v>
      </c>
      <c r="B1944" s="7" t="s">
        <v>63</v>
      </c>
      <c r="C1944" s="7" t="s">
        <v>42</v>
      </c>
      <c r="D1944" s="8">
        <v>45380</v>
      </c>
      <c r="E1944" s="8" t="str">
        <f t="shared" si="119"/>
        <v>March</v>
      </c>
      <c r="F1944">
        <f t="shared" si="120"/>
        <v>2024</v>
      </c>
      <c r="G1944">
        <f t="shared" si="121"/>
        <v>0</v>
      </c>
      <c r="H1944">
        <f t="shared" si="122"/>
        <v>0</v>
      </c>
      <c r="I1944" s="6"/>
      <c r="J1944" s="6"/>
      <c r="K1944" s="7" t="s">
        <v>44</v>
      </c>
      <c r="L1944" s="7" t="s">
        <v>27</v>
      </c>
      <c r="M1944" s="7" t="s">
        <v>15</v>
      </c>
      <c r="N1944" s="7">
        <f>COUNTIFS(A:A,A1944,D:D,D1944,E:E,I1944)</f>
        <v>0</v>
      </c>
    </row>
    <row r="1945" spans="1:14" x14ac:dyDescent="0.3">
      <c r="A1945" s="7" t="s">
        <v>165</v>
      </c>
      <c r="B1945" s="7" t="s">
        <v>166</v>
      </c>
      <c r="C1945" s="7" t="s">
        <v>60</v>
      </c>
      <c r="D1945" s="8">
        <v>45311</v>
      </c>
      <c r="E1945" s="8" t="str">
        <f t="shared" si="119"/>
        <v>January</v>
      </c>
      <c r="F1945">
        <f t="shared" si="120"/>
        <v>2024</v>
      </c>
      <c r="G1945">
        <f t="shared" si="121"/>
        <v>1</v>
      </c>
      <c r="H1945">
        <f t="shared" si="122"/>
        <v>0</v>
      </c>
      <c r="I1945" s="6">
        <v>0.41736111111111113</v>
      </c>
      <c r="J1945" s="6">
        <v>0.70972222222222225</v>
      </c>
      <c r="K1945" s="7" t="s">
        <v>13</v>
      </c>
      <c r="L1945" s="7" t="s">
        <v>27</v>
      </c>
      <c r="M1945" s="7" t="s">
        <v>21</v>
      </c>
      <c r="N1945" s="7">
        <f>COUNTIFS(A:A,A1945,D:D,D1945,E:E,I1945)</f>
        <v>0</v>
      </c>
    </row>
    <row r="1946" spans="1:14" x14ac:dyDescent="0.3">
      <c r="A1946" s="7" t="s">
        <v>130</v>
      </c>
      <c r="B1946" s="7" t="s">
        <v>131</v>
      </c>
      <c r="C1946" s="7" t="s">
        <v>42</v>
      </c>
      <c r="D1946" s="8">
        <v>45343</v>
      </c>
      <c r="E1946" s="8" t="str">
        <f t="shared" si="119"/>
        <v>February</v>
      </c>
      <c r="F1946">
        <f t="shared" si="120"/>
        <v>2024</v>
      </c>
      <c r="G1946">
        <f t="shared" si="121"/>
        <v>1</v>
      </c>
      <c r="H1946">
        <f t="shared" si="122"/>
        <v>0</v>
      </c>
      <c r="I1946" s="6">
        <v>0.49027777777777776</v>
      </c>
      <c r="J1946" s="6">
        <v>0.73055555555555551</v>
      </c>
      <c r="K1946" s="7" t="s">
        <v>20</v>
      </c>
      <c r="L1946" s="7" t="s">
        <v>14</v>
      </c>
      <c r="M1946" s="7" t="s">
        <v>21</v>
      </c>
      <c r="N1946" s="7">
        <f>COUNTIFS(A:A,A1946,D:D,D1946,E:E,I1946)</f>
        <v>0</v>
      </c>
    </row>
    <row r="1947" spans="1:14" x14ac:dyDescent="0.3">
      <c r="A1947" s="7" t="s">
        <v>72</v>
      </c>
      <c r="B1947" s="7" t="s">
        <v>73</v>
      </c>
      <c r="C1947" s="7" t="s">
        <v>42</v>
      </c>
      <c r="D1947" s="8">
        <v>45375</v>
      </c>
      <c r="E1947" s="8" t="str">
        <f t="shared" si="119"/>
        <v>March</v>
      </c>
      <c r="F1947">
        <f t="shared" si="120"/>
        <v>2024</v>
      </c>
      <c r="G1947">
        <f t="shared" si="121"/>
        <v>1</v>
      </c>
      <c r="H1947">
        <f t="shared" si="122"/>
        <v>0</v>
      </c>
      <c r="I1947" s="6">
        <v>0.34375</v>
      </c>
      <c r="J1947" s="6">
        <v>0.81111111111111112</v>
      </c>
      <c r="K1947" s="7" t="s">
        <v>20</v>
      </c>
      <c r="L1947" s="7" t="s">
        <v>27</v>
      </c>
      <c r="M1947" s="7" t="s">
        <v>15</v>
      </c>
      <c r="N1947" s="7">
        <f>COUNTIFS(A:A,A1947,D:D,D1947,E:E,I1947)</f>
        <v>0</v>
      </c>
    </row>
    <row r="1948" spans="1:14" x14ac:dyDescent="0.3">
      <c r="A1948" s="7" t="s">
        <v>58</v>
      </c>
      <c r="B1948" s="7" t="s">
        <v>59</v>
      </c>
      <c r="C1948" s="7" t="s">
        <v>60</v>
      </c>
      <c r="D1948" s="8">
        <v>45371</v>
      </c>
      <c r="E1948" s="8" t="str">
        <f t="shared" si="119"/>
        <v>March</v>
      </c>
      <c r="F1948">
        <f t="shared" si="120"/>
        <v>2024</v>
      </c>
      <c r="G1948">
        <f t="shared" si="121"/>
        <v>1</v>
      </c>
      <c r="H1948">
        <f t="shared" si="122"/>
        <v>0</v>
      </c>
      <c r="I1948" s="6">
        <v>0.43402777777777779</v>
      </c>
      <c r="J1948" s="6">
        <v>0.77430555555555558</v>
      </c>
      <c r="K1948" s="7" t="s">
        <v>13</v>
      </c>
      <c r="L1948" s="7" t="s">
        <v>27</v>
      </c>
      <c r="M1948" s="7" t="s">
        <v>15</v>
      </c>
      <c r="N1948" s="7">
        <f>COUNTIFS(A:A,A1948,D:D,D1948,E:E,I1948)</f>
        <v>0</v>
      </c>
    </row>
    <row r="1949" spans="1:14" x14ac:dyDescent="0.3">
      <c r="A1949" s="7" t="s">
        <v>146</v>
      </c>
      <c r="B1949" s="7" t="s">
        <v>147</v>
      </c>
      <c r="C1949" s="7" t="s">
        <v>42</v>
      </c>
      <c r="D1949" s="8">
        <v>45374</v>
      </c>
      <c r="E1949" s="8" t="str">
        <f t="shared" si="119"/>
        <v>March</v>
      </c>
      <c r="F1949">
        <f t="shared" si="120"/>
        <v>2024</v>
      </c>
      <c r="G1949">
        <f t="shared" si="121"/>
        <v>0</v>
      </c>
      <c r="H1949">
        <f t="shared" si="122"/>
        <v>0</v>
      </c>
      <c r="I1949" s="6"/>
      <c r="J1949" s="6"/>
      <c r="K1949" s="7" t="s">
        <v>44</v>
      </c>
      <c r="L1949" s="7" t="s">
        <v>27</v>
      </c>
      <c r="M1949" s="7" t="s">
        <v>21</v>
      </c>
      <c r="N1949" s="7">
        <f>COUNTIFS(A:A,A1949,D:D,D1949,E:E,I1949)</f>
        <v>0</v>
      </c>
    </row>
    <row r="1950" spans="1:14" x14ac:dyDescent="0.3">
      <c r="A1950" s="7" t="s">
        <v>16</v>
      </c>
      <c r="B1950" s="7" t="s">
        <v>17</v>
      </c>
      <c r="C1950" s="7" t="s">
        <v>60</v>
      </c>
      <c r="D1950" s="8">
        <v>45370</v>
      </c>
      <c r="E1950" s="8" t="str">
        <f t="shared" si="119"/>
        <v>March</v>
      </c>
      <c r="F1950">
        <f t="shared" si="120"/>
        <v>2024</v>
      </c>
      <c r="G1950">
        <f t="shared" si="121"/>
        <v>1</v>
      </c>
      <c r="H1950">
        <f t="shared" si="122"/>
        <v>0</v>
      </c>
      <c r="I1950" s="6">
        <v>0.38333333333333336</v>
      </c>
      <c r="J1950" s="6">
        <v>0.85277777777777775</v>
      </c>
      <c r="K1950" s="7" t="s">
        <v>13</v>
      </c>
      <c r="L1950" s="7" t="s">
        <v>14</v>
      </c>
      <c r="M1950" s="7" t="s">
        <v>15</v>
      </c>
      <c r="N1950" s="7">
        <f>COUNTIFS(A:A,A1950,D:D,D1950,E:E,I1950)</f>
        <v>0</v>
      </c>
    </row>
    <row r="1951" spans="1:14" x14ac:dyDescent="0.3">
      <c r="A1951" s="7" t="s">
        <v>194</v>
      </c>
      <c r="B1951" s="7" t="s">
        <v>195</v>
      </c>
      <c r="C1951" s="7" t="s">
        <v>42</v>
      </c>
      <c r="D1951" s="8">
        <v>45294</v>
      </c>
      <c r="E1951" s="8" t="str">
        <f t="shared" si="119"/>
        <v>January</v>
      </c>
      <c r="F1951">
        <f t="shared" si="120"/>
        <v>2024</v>
      </c>
      <c r="G1951">
        <f t="shared" si="121"/>
        <v>1</v>
      </c>
      <c r="H1951">
        <f t="shared" si="122"/>
        <v>1</v>
      </c>
      <c r="I1951" s="6">
        <v>0.49444444444444446</v>
      </c>
      <c r="J1951" s="6">
        <v>0.82708333333333328</v>
      </c>
      <c r="K1951" s="7" t="s">
        <v>26</v>
      </c>
      <c r="L1951" s="7" t="s">
        <v>27</v>
      </c>
      <c r="M1951" s="7" t="s">
        <v>21</v>
      </c>
      <c r="N1951" s="7">
        <f>COUNTIFS(A:A,A1951,D:D,D1951,E:E,I1951)</f>
        <v>0</v>
      </c>
    </row>
    <row r="1952" spans="1:14" x14ac:dyDescent="0.3">
      <c r="A1952" s="7" t="s">
        <v>119</v>
      </c>
      <c r="B1952" s="7" t="s">
        <v>120</v>
      </c>
      <c r="C1952" s="7" t="s">
        <v>425</v>
      </c>
      <c r="D1952" s="8">
        <v>45445</v>
      </c>
      <c r="E1952" s="8" t="str">
        <f t="shared" si="119"/>
        <v>June</v>
      </c>
      <c r="F1952">
        <f t="shared" si="120"/>
        <v>2024</v>
      </c>
      <c r="G1952">
        <f t="shared" si="121"/>
        <v>1</v>
      </c>
      <c r="H1952">
        <f t="shared" si="122"/>
        <v>1</v>
      </c>
      <c r="I1952" s="6">
        <v>0.33541666666666664</v>
      </c>
      <c r="J1952" s="6">
        <v>0.74236111111111114</v>
      </c>
      <c r="K1952" s="7" t="s">
        <v>26</v>
      </c>
      <c r="L1952" s="7" t="s">
        <v>14</v>
      </c>
      <c r="M1952" s="7" t="s">
        <v>15</v>
      </c>
      <c r="N1952" s="7">
        <f>COUNTIFS(A:A,A1952,D:D,D1952,E:E,I1952)</f>
        <v>0</v>
      </c>
    </row>
    <row r="1953" spans="1:14" x14ac:dyDescent="0.3">
      <c r="A1953" s="7" t="s">
        <v>66</v>
      </c>
      <c r="B1953" s="7" t="s">
        <v>67</v>
      </c>
      <c r="C1953" s="7" t="s">
        <v>425</v>
      </c>
      <c r="D1953" s="8">
        <v>45599</v>
      </c>
      <c r="E1953" s="8" t="str">
        <f t="shared" si="119"/>
        <v>November</v>
      </c>
      <c r="F1953">
        <f t="shared" si="120"/>
        <v>2024</v>
      </c>
      <c r="G1953">
        <f t="shared" si="121"/>
        <v>1</v>
      </c>
      <c r="H1953">
        <f t="shared" si="122"/>
        <v>1</v>
      </c>
      <c r="I1953" s="6">
        <v>0.46041666666666664</v>
      </c>
      <c r="J1953" s="6">
        <v>0.82638888888888884</v>
      </c>
      <c r="K1953" s="7" t="s">
        <v>26</v>
      </c>
      <c r="L1953" s="7" t="s">
        <v>27</v>
      </c>
      <c r="M1953" s="7" t="s">
        <v>15</v>
      </c>
      <c r="N1953" s="7">
        <f>COUNTIFS(A:A,A1953,D:D,D1953,E:E,I1953)</f>
        <v>0</v>
      </c>
    </row>
    <row r="1954" spans="1:14" x14ac:dyDescent="0.3">
      <c r="A1954" s="7" t="s">
        <v>112</v>
      </c>
      <c r="B1954" s="7" t="s">
        <v>113</v>
      </c>
      <c r="C1954" s="7" t="s">
        <v>426</v>
      </c>
      <c r="D1954" s="8">
        <v>45344</v>
      </c>
      <c r="E1954" s="8" t="str">
        <f t="shared" si="119"/>
        <v>February</v>
      </c>
      <c r="F1954">
        <f t="shared" si="120"/>
        <v>2024</v>
      </c>
      <c r="G1954">
        <f t="shared" si="121"/>
        <v>1</v>
      </c>
      <c r="H1954">
        <f t="shared" si="122"/>
        <v>0</v>
      </c>
      <c r="I1954" s="6">
        <v>0.46597222222222223</v>
      </c>
      <c r="J1954" s="6">
        <v>0.76180555555555551</v>
      </c>
      <c r="K1954" s="7" t="s">
        <v>20</v>
      </c>
      <c r="L1954" s="7" t="s">
        <v>27</v>
      </c>
      <c r="M1954" s="7" t="s">
        <v>21</v>
      </c>
      <c r="N1954" s="7">
        <f>COUNTIFS(A:A,A1954,D:D,D1954,E:E,I1954)</f>
        <v>0</v>
      </c>
    </row>
    <row r="1955" spans="1:14" x14ac:dyDescent="0.3">
      <c r="A1955" s="7" t="s">
        <v>157</v>
      </c>
      <c r="B1955" s="7" t="s">
        <v>158</v>
      </c>
      <c r="C1955" s="7" t="s">
        <v>64</v>
      </c>
      <c r="D1955" s="8">
        <v>45341</v>
      </c>
      <c r="E1955" s="8" t="str">
        <f t="shared" si="119"/>
        <v>February</v>
      </c>
      <c r="F1955">
        <f t="shared" si="120"/>
        <v>2024</v>
      </c>
      <c r="G1955">
        <f t="shared" si="121"/>
        <v>1</v>
      </c>
      <c r="H1955">
        <f t="shared" si="122"/>
        <v>0</v>
      </c>
      <c r="I1955" s="6">
        <v>0.47152777777777777</v>
      </c>
      <c r="J1955" s="6">
        <v>0.74027777777777781</v>
      </c>
      <c r="K1955" s="7" t="s">
        <v>13</v>
      </c>
      <c r="L1955" s="7" t="s">
        <v>27</v>
      </c>
      <c r="M1955" s="7" t="s">
        <v>15</v>
      </c>
      <c r="N1955" s="7">
        <f>COUNTIFS(A:A,A1955,D:D,D1955,E:E,I1955)</f>
        <v>0</v>
      </c>
    </row>
    <row r="1956" spans="1:14" x14ac:dyDescent="0.3">
      <c r="A1956" s="7" t="s">
        <v>246</v>
      </c>
      <c r="B1956" s="7" t="s">
        <v>247</v>
      </c>
      <c r="C1956" s="7" t="s">
        <v>64</v>
      </c>
      <c r="D1956" s="8">
        <v>45295</v>
      </c>
      <c r="E1956" s="8" t="str">
        <f t="shared" si="119"/>
        <v>January</v>
      </c>
      <c r="F1956">
        <f t="shared" si="120"/>
        <v>2024</v>
      </c>
      <c r="G1956">
        <f t="shared" si="121"/>
        <v>0</v>
      </c>
      <c r="H1956">
        <f t="shared" si="122"/>
        <v>0</v>
      </c>
      <c r="I1956" s="6"/>
      <c r="J1956" s="6"/>
      <c r="K1956" s="7" t="s">
        <v>44</v>
      </c>
      <c r="L1956" s="7" t="s">
        <v>27</v>
      </c>
      <c r="M1956" s="7" t="s">
        <v>15</v>
      </c>
      <c r="N1956" s="7">
        <f>COUNTIFS(A:A,A1956,D:D,D1956,E:E,I1956)</f>
        <v>0</v>
      </c>
    </row>
    <row r="1957" spans="1:14" x14ac:dyDescent="0.3">
      <c r="A1957" s="7" t="s">
        <v>291</v>
      </c>
      <c r="B1957" s="7" t="s">
        <v>292</v>
      </c>
      <c r="C1957" s="7" t="s">
        <v>42</v>
      </c>
      <c r="D1957" s="8">
        <v>45322</v>
      </c>
      <c r="E1957" s="8" t="str">
        <f t="shared" si="119"/>
        <v>January</v>
      </c>
      <c r="F1957">
        <f t="shared" si="120"/>
        <v>2024</v>
      </c>
      <c r="G1957">
        <f t="shared" si="121"/>
        <v>1</v>
      </c>
      <c r="H1957">
        <f t="shared" si="122"/>
        <v>0</v>
      </c>
      <c r="I1957" s="6">
        <v>0.45624999999999999</v>
      </c>
      <c r="J1957" s="6">
        <v>0.81111111111111112</v>
      </c>
      <c r="K1957" s="7" t="s">
        <v>20</v>
      </c>
      <c r="L1957" s="7" t="s">
        <v>14</v>
      </c>
      <c r="M1957" s="7" t="s">
        <v>21</v>
      </c>
      <c r="N1957" s="7">
        <f>COUNTIFS(A:A,A1957,D:D,D1957,E:E,I1957)</f>
        <v>0</v>
      </c>
    </row>
    <row r="1958" spans="1:14" x14ac:dyDescent="0.3">
      <c r="A1958" s="7" t="s">
        <v>150</v>
      </c>
      <c r="B1958" s="7" t="s">
        <v>151</v>
      </c>
      <c r="C1958" s="7" t="s">
        <v>425</v>
      </c>
      <c r="D1958" s="8">
        <v>45370</v>
      </c>
      <c r="E1958" s="8" t="str">
        <f t="shared" si="119"/>
        <v>March</v>
      </c>
      <c r="F1958">
        <f t="shared" si="120"/>
        <v>2024</v>
      </c>
      <c r="G1958">
        <f t="shared" si="121"/>
        <v>1</v>
      </c>
      <c r="H1958">
        <f t="shared" si="122"/>
        <v>0</v>
      </c>
      <c r="I1958" s="6">
        <v>0.40138888888888891</v>
      </c>
      <c r="J1958" s="6">
        <v>0.71319444444444446</v>
      </c>
      <c r="K1958" s="7" t="s">
        <v>20</v>
      </c>
      <c r="L1958" s="7" t="s">
        <v>27</v>
      </c>
      <c r="M1958" s="7" t="s">
        <v>15</v>
      </c>
      <c r="N1958" s="7">
        <f>COUNTIFS(A:A,A1958,D:D,D1958,E:E,I1958)</f>
        <v>0</v>
      </c>
    </row>
    <row r="1959" spans="1:14" x14ac:dyDescent="0.3">
      <c r="A1959" s="7" t="s">
        <v>338</v>
      </c>
      <c r="B1959" s="7" t="s">
        <v>339</v>
      </c>
      <c r="C1959" s="7" t="s">
        <v>64</v>
      </c>
      <c r="D1959" s="8">
        <v>45360</v>
      </c>
      <c r="E1959" s="8" t="str">
        <f t="shared" si="119"/>
        <v>March</v>
      </c>
      <c r="F1959">
        <f t="shared" si="120"/>
        <v>2024</v>
      </c>
      <c r="G1959">
        <f t="shared" si="121"/>
        <v>1</v>
      </c>
      <c r="H1959">
        <f t="shared" si="122"/>
        <v>0</v>
      </c>
      <c r="I1959" s="6">
        <v>0.33750000000000002</v>
      </c>
      <c r="J1959" s="6">
        <v>0.77361111111111114</v>
      </c>
      <c r="K1959" s="7" t="s">
        <v>13</v>
      </c>
      <c r="L1959" s="7" t="s">
        <v>14</v>
      </c>
      <c r="M1959" s="7" t="s">
        <v>15</v>
      </c>
      <c r="N1959" s="7">
        <f>COUNTIFS(A:A,A1959,D:D,D1959,E:E,I1959)</f>
        <v>0</v>
      </c>
    </row>
    <row r="1960" spans="1:14" x14ac:dyDescent="0.3">
      <c r="A1960" s="7" t="s">
        <v>69</v>
      </c>
      <c r="B1960" s="7" t="s">
        <v>70</v>
      </c>
      <c r="C1960" s="7" t="s">
        <v>425</v>
      </c>
      <c r="D1960" s="8">
        <v>45381</v>
      </c>
      <c r="E1960" s="8" t="str">
        <f t="shared" si="119"/>
        <v>March</v>
      </c>
      <c r="F1960">
        <f t="shared" si="120"/>
        <v>2024</v>
      </c>
      <c r="G1960">
        <f t="shared" si="121"/>
        <v>0</v>
      </c>
      <c r="H1960">
        <f t="shared" si="122"/>
        <v>0</v>
      </c>
      <c r="I1960" s="6"/>
      <c r="J1960" s="6"/>
      <c r="K1960" s="7" t="s">
        <v>44</v>
      </c>
      <c r="L1960" s="7" t="s">
        <v>14</v>
      </c>
      <c r="M1960" s="7" t="s">
        <v>15</v>
      </c>
      <c r="N1960" s="7">
        <f>COUNTIFS(A:A,A1960,D:D,D1960,E:E,I1960)</f>
        <v>0</v>
      </c>
    </row>
    <row r="1961" spans="1:14" x14ac:dyDescent="0.3">
      <c r="A1961" s="7" t="s">
        <v>200</v>
      </c>
      <c r="B1961" s="7" t="s">
        <v>201</v>
      </c>
      <c r="C1961" s="7" t="s">
        <v>64</v>
      </c>
      <c r="D1961" s="8">
        <v>45369</v>
      </c>
      <c r="E1961" s="8" t="str">
        <f t="shared" si="119"/>
        <v>March</v>
      </c>
      <c r="F1961">
        <f t="shared" si="120"/>
        <v>2024</v>
      </c>
      <c r="G1961">
        <f t="shared" si="121"/>
        <v>1</v>
      </c>
      <c r="H1961">
        <f t="shared" si="122"/>
        <v>0</v>
      </c>
      <c r="I1961" s="6">
        <v>0.47361111111111109</v>
      </c>
      <c r="J1961" s="6">
        <v>0.68402777777777779</v>
      </c>
      <c r="K1961" s="7" t="s">
        <v>20</v>
      </c>
      <c r="L1961" s="7" t="s">
        <v>14</v>
      </c>
      <c r="M1961" s="7" t="s">
        <v>15</v>
      </c>
      <c r="N1961" s="7">
        <f>COUNTIFS(A:A,A1961,D:D,D1961,E:E,I1961)</f>
        <v>0</v>
      </c>
    </row>
    <row r="1962" spans="1:14" x14ac:dyDescent="0.3">
      <c r="A1962" s="7" t="s">
        <v>55</v>
      </c>
      <c r="B1962" s="7" t="s">
        <v>56</v>
      </c>
      <c r="C1962" s="7" t="s">
        <v>42</v>
      </c>
      <c r="D1962" s="8">
        <v>45371</v>
      </c>
      <c r="E1962" s="8" t="str">
        <f t="shared" si="119"/>
        <v>March</v>
      </c>
      <c r="F1962">
        <f t="shared" si="120"/>
        <v>2024</v>
      </c>
      <c r="G1962">
        <f t="shared" si="121"/>
        <v>1</v>
      </c>
      <c r="H1962">
        <f t="shared" si="122"/>
        <v>0</v>
      </c>
      <c r="I1962" s="6">
        <v>0.41597222222222224</v>
      </c>
      <c r="J1962" s="6">
        <v>0.86458333333333337</v>
      </c>
      <c r="K1962" s="7" t="s">
        <v>20</v>
      </c>
      <c r="L1962" s="7" t="s">
        <v>14</v>
      </c>
      <c r="M1962" s="7" t="s">
        <v>21</v>
      </c>
      <c r="N1962" s="7">
        <f>COUNTIFS(A:A,A1962,D:D,D1962,E:E,I1962)</f>
        <v>0</v>
      </c>
    </row>
    <row r="1963" spans="1:14" x14ac:dyDescent="0.3">
      <c r="A1963" s="7" t="s">
        <v>16</v>
      </c>
      <c r="B1963" s="7" t="s">
        <v>17</v>
      </c>
      <c r="C1963" s="7" t="s">
        <v>42</v>
      </c>
      <c r="D1963" s="8">
        <v>45349</v>
      </c>
      <c r="E1963" s="8" t="str">
        <f t="shared" si="119"/>
        <v>February</v>
      </c>
      <c r="F1963">
        <f t="shared" si="120"/>
        <v>2024</v>
      </c>
      <c r="G1963">
        <f t="shared" si="121"/>
        <v>0</v>
      </c>
      <c r="H1963">
        <f t="shared" si="122"/>
        <v>0</v>
      </c>
      <c r="I1963" s="6"/>
      <c r="J1963" s="6"/>
      <c r="K1963" s="7" t="s">
        <v>44</v>
      </c>
      <c r="L1963" s="7" t="s">
        <v>27</v>
      </c>
      <c r="M1963" s="7" t="s">
        <v>15</v>
      </c>
      <c r="N1963" s="7">
        <f>COUNTIFS(A:A,A1963,D:D,D1963,E:E,I1963)</f>
        <v>0</v>
      </c>
    </row>
    <row r="1964" spans="1:14" x14ac:dyDescent="0.3">
      <c r="A1964" s="7" t="s">
        <v>40</v>
      </c>
      <c r="B1964" s="7" t="s">
        <v>41</v>
      </c>
      <c r="C1964" s="7" t="s">
        <v>426</v>
      </c>
      <c r="D1964" s="8">
        <v>45365</v>
      </c>
      <c r="E1964" s="8" t="str">
        <f t="shared" si="119"/>
        <v>March</v>
      </c>
      <c r="F1964">
        <f t="shared" si="120"/>
        <v>2024</v>
      </c>
      <c r="G1964">
        <f t="shared" si="121"/>
        <v>1</v>
      </c>
      <c r="H1964">
        <f t="shared" si="122"/>
        <v>1</v>
      </c>
      <c r="I1964" s="6">
        <v>0.34305555555555556</v>
      </c>
      <c r="J1964" s="6">
        <v>0.79027777777777775</v>
      </c>
      <c r="K1964" s="7" t="s">
        <v>26</v>
      </c>
      <c r="L1964" s="7" t="s">
        <v>27</v>
      </c>
      <c r="M1964" s="7" t="s">
        <v>21</v>
      </c>
      <c r="N1964" s="7">
        <f>COUNTIFS(A:A,A1964,D:D,D1964,E:E,I1964)</f>
        <v>0</v>
      </c>
    </row>
    <row r="1965" spans="1:14" x14ac:dyDescent="0.3">
      <c r="A1965" s="7" t="s">
        <v>250</v>
      </c>
      <c r="B1965" s="7" t="s">
        <v>251</v>
      </c>
      <c r="C1965" s="7" t="s">
        <v>64</v>
      </c>
      <c r="D1965" s="8">
        <v>45307</v>
      </c>
      <c r="E1965" s="8" t="str">
        <f t="shared" si="119"/>
        <v>January</v>
      </c>
      <c r="F1965">
        <f t="shared" si="120"/>
        <v>2024</v>
      </c>
      <c r="G1965">
        <f t="shared" si="121"/>
        <v>1</v>
      </c>
      <c r="H1965">
        <f t="shared" si="122"/>
        <v>0</v>
      </c>
      <c r="I1965" s="6">
        <v>0.37569444444444444</v>
      </c>
      <c r="J1965" s="6">
        <v>0.86597222222222225</v>
      </c>
      <c r="K1965" s="7" t="s">
        <v>20</v>
      </c>
      <c r="L1965" s="7" t="s">
        <v>27</v>
      </c>
      <c r="M1965" s="7" t="s">
        <v>21</v>
      </c>
      <c r="N1965" s="7">
        <f>COUNTIFS(A:A,A1965,D:D,D1965,E:E,I1965)</f>
        <v>0</v>
      </c>
    </row>
    <row r="1966" spans="1:14" x14ac:dyDescent="0.3">
      <c r="A1966" s="7" t="s">
        <v>187</v>
      </c>
      <c r="B1966" s="7" t="s">
        <v>188</v>
      </c>
      <c r="C1966" s="7" t="s">
        <v>426</v>
      </c>
      <c r="D1966" s="8">
        <v>45341</v>
      </c>
      <c r="E1966" s="8" t="str">
        <f t="shared" si="119"/>
        <v>February</v>
      </c>
      <c r="F1966">
        <f t="shared" si="120"/>
        <v>2024</v>
      </c>
      <c r="G1966">
        <f t="shared" si="121"/>
        <v>1</v>
      </c>
      <c r="H1966">
        <f t="shared" si="122"/>
        <v>0</v>
      </c>
      <c r="I1966" s="6">
        <v>0.33888888888888891</v>
      </c>
      <c r="J1966" s="6">
        <v>0.80277777777777781</v>
      </c>
      <c r="K1966" s="7" t="s">
        <v>13</v>
      </c>
      <c r="L1966" s="7" t="s">
        <v>14</v>
      </c>
      <c r="M1966" s="7" t="s">
        <v>15</v>
      </c>
      <c r="N1966" s="7">
        <f>COUNTIFS(A:A,A1966,D:D,D1966,E:E,I1966)</f>
        <v>0</v>
      </c>
    </row>
    <row r="1967" spans="1:14" x14ac:dyDescent="0.3">
      <c r="A1967" s="7" t="s">
        <v>109</v>
      </c>
      <c r="B1967" s="7" t="s">
        <v>110</v>
      </c>
      <c r="C1967" s="7" t="s">
        <v>60</v>
      </c>
      <c r="D1967" s="8">
        <v>45375</v>
      </c>
      <c r="E1967" s="8" t="str">
        <f t="shared" si="119"/>
        <v>March</v>
      </c>
      <c r="F1967">
        <f t="shared" si="120"/>
        <v>2024</v>
      </c>
      <c r="G1967">
        <f t="shared" si="121"/>
        <v>1</v>
      </c>
      <c r="H1967">
        <f t="shared" si="122"/>
        <v>0</v>
      </c>
      <c r="I1967" s="6">
        <v>0.40902777777777777</v>
      </c>
      <c r="J1967" s="6">
        <v>0.71527777777777779</v>
      </c>
      <c r="K1967" s="7" t="s">
        <v>13</v>
      </c>
      <c r="L1967" s="7" t="s">
        <v>14</v>
      </c>
      <c r="M1967" s="7" t="s">
        <v>15</v>
      </c>
      <c r="N1967" s="7">
        <f>COUNTIFS(A:A,A1967,D:D,D1967,E:E,I1967)</f>
        <v>0</v>
      </c>
    </row>
    <row r="1968" spans="1:14" x14ac:dyDescent="0.3">
      <c r="A1968" s="7" t="s">
        <v>291</v>
      </c>
      <c r="B1968" s="7" t="s">
        <v>292</v>
      </c>
      <c r="C1968" s="7" t="s">
        <v>425</v>
      </c>
      <c r="D1968" s="8">
        <v>45371</v>
      </c>
      <c r="E1968" s="8" t="str">
        <f t="shared" si="119"/>
        <v>March</v>
      </c>
      <c r="F1968">
        <f t="shared" si="120"/>
        <v>2024</v>
      </c>
      <c r="G1968">
        <f t="shared" si="121"/>
        <v>1</v>
      </c>
      <c r="H1968">
        <f t="shared" si="122"/>
        <v>0</v>
      </c>
      <c r="I1968" s="6">
        <v>0.45555555555555555</v>
      </c>
      <c r="J1968" s="6">
        <v>0.76597222222222228</v>
      </c>
      <c r="K1968" s="7" t="s">
        <v>13</v>
      </c>
      <c r="L1968" s="7" t="s">
        <v>27</v>
      </c>
      <c r="M1968" s="7" t="s">
        <v>21</v>
      </c>
      <c r="N1968" s="7">
        <f>COUNTIFS(A:A,A1968,D:D,D1968,E:E,I1968)</f>
        <v>0</v>
      </c>
    </row>
    <row r="1969" spans="1:14" x14ac:dyDescent="0.3">
      <c r="A1969" s="7" t="s">
        <v>134</v>
      </c>
      <c r="B1969" s="7" t="s">
        <v>135</v>
      </c>
      <c r="C1969" s="7" t="s">
        <v>60</v>
      </c>
      <c r="D1969" s="8">
        <v>45348</v>
      </c>
      <c r="E1969" s="8" t="str">
        <f t="shared" si="119"/>
        <v>February</v>
      </c>
      <c r="F1969">
        <f t="shared" si="120"/>
        <v>2024</v>
      </c>
      <c r="G1969">
        <f t="shared" si="121"/>
        <v>1</v>
      </c>
      <c r="H1969">
        <f t="shared" si="122"/>
        <v>0</v>
      </c>
      <c r="I1969" s="6">
        <v>0.35486111111111113</v>
      </c>
      <c r="J1969" s="6">
        <v>0.84583333333333333</v>
      </c>
      <c r="K1969" s="7" t="s">
        <v>13</v>
      </c>
      <c r="L1969" s="7" t="s">
        <v>27</v>
      </c>
      <c r="M1969" s="7" t="s">
        <v>21</v>
      </c>
      <c r="N1969" s="7">
        <f>COUNTIFS(A:A,A1969,D:D,D1969,E:E,I1969)</f>
        <v>0</v>
      </c>
    </row>
    <row r="1970" spans="1:14" x14ac:dyDescent="0.3">
      <c r="A1970" s="7" t="s">
        <v>75</v>
      </c>
      <c r="B1970" s="7" t="s">
        <v>76</v>
      </c>
      <c r="C1970" s="7" t="s">
        <v>42</v>
      </c>
      <c r="D1970" s="8">
        <v>45319</v>
      </c>
      <c r="E1970" s="8" t="str">
        <f t="shared" si="119"/>
        <v>January</v>
      </c>
      <c r="F1970">
        <f t="shared" si="120"/>
        <v>2024</v>
      </c>
      <c r="G1970">
        <f t="shared" si="121"/>
        <v>1</v>
      </c>
      <c r="H1970">
        <f t="shared" si="122"/>
        <v>1</v>
      </c>
      <c r="I1970" s="6">
        <v>0.46736111111111112</v>
      </c>
      <c r="J1970" s="6">
        <v>0.75069444444444444</v>
      </c>
      <c r="K1970" s="7" t="s">
        <v>26</v>
      </c>
      <c r="L1970" s="7" t="s">
        <v>27</v>
      </c>
      <c r="M1970" s="7" t="s">
        <v>15</v>
      </c>
      <c r="N1970" s="7">
        <f>COUNTIFS(A:A,A1970,D:D,D1970,E:E,I1970)</f>
        <v>0</v>
      </c>
    </row>
    <row r="1971" spans="1:14" x14ac:dyDescent="0.3">
      <c r="A1971" s="7" t="s">
        <v>250</v>
      </c>
      <c r="B1971" s="7" t="s">
        <v>251</v>
      </c>
      <c r="C1971" s="7" t="s">
        <v>425</v>
      </c>
      <c r="D1971" s="8">
        <v>45352</v>
      </c>
      <c r="E1971" s="8" t="str">
        <f t="shared" si="119"/>
        <v>March</v>
      </c>
      <c r="F1971">
        <f t="shared" si="120"/>
        <v>2024</v>
      </c>
      <c r="G1971">
        <f t="shared" si="121"/>
        <v>1</v>
      </c>
      <c r="H1971">
        <f t="shared" si="122"/>
        <v>0</v>
      </c>
      <c r="I1971" s="6">
        <v>0.33958333333333335</v>
      </c>
      <c r="J1971" s="6">
        <v>0.81805555555555554</v>
      </c>
      <c r="K1971" s="7" t="s">
        <v>20</v>
      </c>
      <c r="L1971" s="7" t="s">
        <v>14</v>
      </c>
      <c r="M1971" s="7" t="s">
        <v>15</v>
      </c>
      <c r="N1971" s="7">
        <f>COUNTIFS(A:A,A1971,D:D,D1971,E:E,I1971)</f>
        <v>0</v>
      </c>
    </row>
    <row r="1972" spans="1:14" x14ac:dyDescent="0.3">
      <c r="A1972" s="7" t="s">
        <v>154</v>
      </c>
      <c r="B1972" s="7" t="s">
        <v>155</v>
      </c>
      <c r="C1972" s="7" t="s">
        <v>426</v>
      </c>
      <c r="D1972" s="8">
        <v>45350</v>
      </c>
      <c r="E1972" s="8" t="str">
        <f t="shared" si="119"/>
        <v>February</v>
      </c>
      <c r="F1972">
        <f t="shared" si="120"/>
        <v>2024</v>
      </c>
      <c r="G1972">
        <f t="shared" si="121"/>
        <v>1</v>
      </c>
      <c r="H1972">
        <f t="shared" si="122"/>
        <v>1</v>
      </c>
      <c r="I1972" s="6">
        <v>0.49444444444444446</v>
      </c>
      <c r="J1972" s="6">
        <v>0.67569444444444449</v>
      </c>
      <c r="K1972" s="7" t="s">
        <v>26</v>
      </c>
      <c r="L1972" s="7" t="s">
        <v>27</v>
      </c>
      <c r="M1972" s="7" t="s">
        <v>15</v>
      </c>
      <c r="N1972" s="7">
        <f>COUNTIFS(A:A,A1972,D:D,D1972,E:E,I1972)</f>
        <v>0</v>
      </c>
    </row>
    <row r="1973" spans="1:14" x14ac:dyDescent="0.3">
      <c r="A1973" s="7" t="s">
        <v>250</v>
      </c>
      <c r="B1973" s="7" t="s">
        <v>251</v>
      </c>
      <c r="C1973" s="7" t="s">
        <v>426</v>
      </c>
      <c r="D1973" s="8">
        <v>45336</v>
      </c>
      <c r="E1973" s="8" t="str">
        <f t="shared" si="119"/>
        <v>February</v>
      </c>
      <c r="F1973">
        <f t="shared" si="120"/>
        <v>2024</v>
      </c>
      <c r="G1973">
        <f t="shared" si="121"/>
        <v>1</v>
      </c>
      <c r="H1973">
        <f t="shared" si="122"/>
        <v>1</v>
      </c>
      <c r="I1973" s="6">
        <v>0.36527777777777776</v>
      </c>
      <c r="J1973" s="6">
        <v>0.8354166666666667</v>
      </c>
      <c r="K1973" s="7" t="s">
        <v>26</v>
      </c>
      <c r="L1973" s="7" t="s">
        <v>14</v>
      </c>
      <c r="M1973" s="7" t="s">
        <v>15</v>
      </c>
      <c r="N1973" s="7">
        <f>COUNTIFS(A:A,A1973,D:D,D1973,E:E,I1973)</f>
        <v>0</v>
      </c>
    </row>
    <row r="1974" spans="1:14" x14ac:dyDescent="0.3">
      <c r="A1974" s="7" t="s">
        <v>9</v>
      </c>
      <c r="B1974" s="7" t="s">
        <v>10</v>
      </c>
      <c r="C1974" s="7" t="s">
        <v>64</v>
      </c>
      <c r="D1974" s="8">
        <v>45337</v>
      </c>
      <c r="E1974" s="8" t="str">
        <f t="shared" si="119"/>
        <v>February</v>
      </c>
      <c r="F1974">
        <f t="shared" si="120"/>
        <v>2024</v>
      </c>
      <c r="G1974">
        <f t="shared" si="121"/>
        <v>0</v>
      </c>
      <c r="H1974">
        <f t="shared" si="122"/>
        <v>0</v>
      </c>
      <c r="I1974" s="6"/>
      <c r="J1974" s="6"/>
      <c r="K1974" s="7" t="s">
        <v>44</v>
      </c>
      <c r="L1974" s="7" t="s">
        <v>14</v>
      </c>
      <c r="M1974" s="7" t="s">
        <v>15</v>
      </c>
      <c r="N1974" s="7">
        <f>COUNTIFS(A:A,A1974,D:D,D1974,E:E,I1974)</f>
        <v>0</v>
      </c>
    </row>
    <row r="1975" spans="1:14" x14ac:dyDescent="0.3">
      <c r="A1975" s="7" t="s">
        <v>37</v>
      </c>
      <c r="B1975" s="7" t="s">
        <v>38</v>
      </c>
      <c r="C1975" s="7" t="s">
        <v>426</v>
      </c>
      <c r="D1975" s="8">
        <v>45320</v>
      </c>
      <c r="E1975" s="8" t="str">
        <f t="shared" si="119"/>
        <v>January</v>
      </c>
      <c r="F1975">
        <f t="shared" si="120"/>
        <v>2024</v>
      </c>
      <c r="G1975">
        <f t="shared" si="121"/>
        <v>1</v>
      </c>
      <c r="H1975">
        <f t="shared" si="122"/>
        <v>0</v>
      </c>
      <c r="I1975" s="6">
        <v>0.4909722222222222</v>
      </c>
      <c r="J1975" s="6">
        <v>0.85624999999999996</v>
      </c>
      <c r="K1975" s="7" t="s">
        <v>20</v>
      </c>
      <c r="L1975" s="7" t="s">
        <v>14</v>
      </c>
      <c r="M1975" s="7" t="s">
        <v>15</v>
      </c>
      <c r="N1975" s="7">
        <f>COUNTIFS(A:A,A1975,D:D,D1975,E:E,I1975)</f>
        <v>0</v>
      </c>
    </row>
    <row r="1976" spans="1:14" x14ac:dyDescent="0.3">
      <c r="A1976" s="7" t="s">
        <v>138</v>
      </c>
      <c r="B1976" s="7" t="s">
        <v>139</v>
      </c>
      <c r="C1976" s="7" t="s">
        <v>64</v>
      </c>
      <c r="D1976" s="8">
        <v>45537</v>
      </c>
      <c r="E1976" s="8" t="str">
        <f t="shared" si="119"/>
        <v>September</v>
      </c>
      <c r="F1976">
        <f t="shared" si="120"/>
        <v>2024</v>
      </c>
      <c r="G1976">
        <f t="shared" si="121"/>
        <v>0</v>
      </c>
      <c r="H1976">
        <f t="shared" si="122"/>
        <v>0</v>
      </c>
      <c r="I1976" s="6"/>
      <c r="J1976" s="6"/>
      <c r="K1976" s="7" t="s">
        <v>44</v>
      </c>
      <c r="L1976" s="7" t="s">
        <v>14</v>
      </c>
      <c r="M1976" s="7" t="s">
        <v>15</v>
      </c>
      <c r="N1976" s="7">
        <f>COUNTIFS(A:A,A1976,D:D,D1976,E:E,I1976)</f>
        <v>0</v>
      </c>
    </row>
    <row r="1977" spans="1:14" x14ac:dyDescent="0.3">
      <c r="A1977" s="7" t="s">
        <v>62</v>
      </c>
      <c r="B1977" s="7" t="s">
        <v>63</v>
      </c>
      <c r="C1977" s="7" t="s">
        <v>426</v>
      </c>
      <c r="D1977" s="8">
        <v>45314</v>
      </c>
      <c r="E1977" s="8" t="str">
        <f t="shared" si="119"/>
        <v>January</v>
      </c>
      <c r="F1977">
        <f t="shared" si="120"/>
        <v>2024</v>
      </c>
      <c r="G1977">
        <f t="shared" si="121"/>
        <v>1</v>
      </c>
      <c r="H1977">
        <f t="shared" si="122"/>
        <v>0</v>
      </c>
      <c r="I1977" s="6">
        <v>0.34652777777777777</v>
      </c>
      <c r="J1977" s="6">
        <v>0.84583333333333333</v>
      </c>
      <c r="K1977" s="7" t="s">
        <v>13</v>
      </c>
      <c r="L1977" s="7" t="s">
        <v>14</v>
      </c>
      <c r="M1977" s="7" t="s">
        <v>21</v>
      </c>
      <c r="N1977" s="7">
        <f>COUNTIFS(A:A,A1977,D:D,D1977,E:E,I1977)</f>
        <v>0</v>
      </c>
    </row>
    <row r="1978" spans="1:14" x14ac:dyDescent="0.3">
      <c r="A1978" s="7" t="s">
        <v>213</v>
      </c>
      <c r="B1978" s="7" t="s">
        <v>214</v>
      </c>
      <c r="C1978" s="7" t="s">
        <v>42</v>
      </c>
      <c r="D1978" s="8">
        <v>45342</v>
      </c>
      <c r="E1978" s="8" t="str">
        <f t="shared" si="119"/>
        <v>February</v>
      </c>
      <c r="F1978">
        <f t="shared" si="120"/>
        <v>2024</v>
      </c>
      <c r="G1978">
        <f t="shared" si="121"/>
        <v>1</v>
      </c>
      <c r="H1978">
        <f t="shared" si="122"/>
        <v>0</v>
      </c>
      <c r="I1978" s="6">
        <v>0.41875000000000001</v>
      </c>
      <c r="J1978" s="6">
        <v>0.7055555555555556</v>
      </c>
      <c r="K1978" s="7" t="s">
        <v>20</v>
      </c>
      <c r="L1978" s="7" t="s">
        <v>27</v>
      </c>
      <c r="M1978" s="7" t="s">
        <v>15</v>
      </c>
      <c r="N1978" s="7">
        <f>COUNTIFS(A:A,A1978,D:D,D1978,E:E,I1978)</f>
        <v>0</v>
      </c>
    </row>
    <row r="1979" spans="1:14" x14ac:dyDescent="0.3">
      <c r="A1979" s="7" t="s">
        <v>93</v>
      </c>
      <c r="B1979" s="7" t="s">
        <v>94</v>
      </c>
      <c r="C1979" s="7" t="s">
        <v>64</v>
      </c>
      <c r="D1979" s="8">
        <v>45314</v>
      </c>
      <c r="E1979" s="8" t="str">
        <f t="shared" si="119"/>
        <v>January</v>
      </c>
      <c r="F1979">
        <f t="shared" si="120"/>
        <v>2024</v>
      </c>
      <c r="G1979">
        <f t="shared" si="121"/>
        <v>1</v>
      </c>
      <c r="H1979">
        <f t="shared" si="122"/>
        <v>1</v>
      </c>
      <c r="I1979" s="6">
        <v>0.36388888888888887</v>
      </c>
      <c r="J1979" s="6">
        <v>0.74236111111111114</v>
      </c>
      <c r="K1979" s="7" t="s">
        <v>26</v>
      </c>
      <c r="L1979" s="7" t="s">
        <v>27</v>
      </c>
      <c r="M1979" s="7" t="s">
        <v>15</v>
      </c>
      <c r="N1979" s="7">
        <f>COUNTIFS(A:A,A1979,D:D,D1979,E:E,I1979)</f>
        <v>0</v>
      </c>
    </row>
    <row r="1980" spans="1:14" x14ac:dyDescent="0.3">
      <c r="A1980" s="7" t="s">
        <v>37</v>
      </c>
      <c r="B1980" s="7" t="s">
        <v>38</v>
      </c>
      <c r="C1980" s="7" t="s">
        <v>426</v>
      </c>
      <c r="D1980" s="8">
        <v>45365</v>
      </c>
      <c r="E1980" s="8" t="str">
        <f t="shared" si="119"/>
        <v>March</v>
      </c>
      <c r="F1980">
        <f t="shared" si="120"/>
        <v>2024</v>
      </c>
      <c r="G1980">
        <f t="shared" si="121"/>
        <v>1</v>
      </c>
      <c r="H1980">
        <f t="shared" si="122"/>
        <v>0</v>
      </c>
      <c r="I1980" s="6">
        <v>0.35833333333333334</v>
      </c>
      <c r="J1980" s="6">
        <v>0.79027777777777775</v>
      </c>
      <c r="K1980" s="7" t="s">
        <v>13</v>
      </c>
      <c r="L1980" s="7" t="s">
        <v>14</v>
      </c>
      <c r="M1980" s="7" t="s">
        <v>21</v>
      </c>
      <c r="N1980" s="7">
        <f>COUNTIFS(A:A,A1980,D:D,D1980,E:E,I1980)</f>
        <v>0</v>
      </c>
    </row>
    <row r="1981" spans="1:14" x14ac:dyDescent="0.3">
      <c r="A1981" s="7" t="s">
        <v>236</v>
      </c>
      <c r="B1981" s="7" t="s">
        <v>237</v>
      </c>
      <c r="C1981" s="7" t="s">
        <v>64</v>
      </c>
      <c r="D1981" s="8">
        <v>45354</v>
      </c>
      <c r="E1981" s="8" t="str">
        <f t="shared" si="119"/>
        <v>March</v>
      </c>
      <c r="F1981">
        <f t="shared" si="120"/>
        <v>2024</v>
      </c>
      <c r="G1981">
        <f t="shared" si="121"/>
        <v>1</v>
      </c>
      <c r="H1981">
        <f t="shared" si="122"/>
        <v>0</v>
      </c>
      <c r="I1981" s="6">
        <v>0.375</v>
      </c>
      <c r="J1981" s="6">
        <v>0.84375</v>
      </c>
      <c r="K1981" s="7" t="s">
        <v>20</v>
      </c>
      <c r="L1981" s="7" t="s">
        <v>27</v>
      </c>
      <c r="M1981" s="7" t="s">
        <v>15</v>
      </c>
      <c r="N1981" s="7">
        <f>COUNTIFS(A:A,A1981,D:D,D1981,E:E,I1981)</f>
        <v>0</v>
      </c>
    </row>
    <row r="1982" spans="1:14" x14ac:dyDescent="0.3">
      <c r="A1982" s="7" t="s">
        <v>96</v>
      </c>
      <c r="B1982" s="7" t="s">
        <v>97</v>
      </c>
      <c r="C1982" s="7" t="s">
        <v>425</v>
      </c>
      <c r="D1982" s="8">
        <v>45307</v>
      </c>
      <c r="E1982" s="8" t="str">
        <f t="shared" si="119"/>
        <v>January</v>
      </c>
      <c r="F1982">
        <f t="shared" si="120"/>
        <v>2024</v>
      </c>
      <c r="G1982">
        <f t="shared" si="121"/>
        <v>1</v>
      </c>
      <c r="H1982">
        <f t="shared" si="122"/>
        <v>0</v>
      </c>
      <c r="I1982" s="6">
        <v>0.37708333333333333</v>
      </c>
      <c r="J1982" s="6">
        <v>0.71736111111111112</v>
      </c>
      <c r="K1982" s="7" t="s">
        <v>13</v>
      </c>
      <c r="L1982" s="7" t="s">
        <v>14</v>
      </c>
      <c r="M1982" s="7" t="s">
        <v>21</v>
      </c>
      <c r="N1982" s="7">
        <f>COUNTIFS(A:A,A1982,D:D,D1982,E:E,I1982)</f>
        <v>0</v>
      </c>
    </row>
    <row r="1983" spans="1:14" x14ac:dyDescent="0.3">
      <c r="A1983" s="7" t="s">
        <v>187</v>
      </c>
      <c r="B1983" s="7" t="s">
        <v>188</v>
      </c>
      <c r="C1983" s="7" t="s">
        <v>64</v>
      </c>
      <c r="D1983" s="8">
        <v>45292</v>
      </c>
      <c r="E1983" s="8" t="str">
        <f t="shared" si="119"/>
        <v>January</v>
      </c>
      <c r="F1983">
        <f t="shared" si="120"/>
        <v>2024</v>
      </c>
      <c r="G1983">
        <f t="shared" si="121"/>
        <v>1</v>
      </c>
      <c r="H1983">
        <f t="shared" si="122"/>
        <v>0</v>
      </c>
      <c r="I1983" s="6">
        <v>0.38055555555555554</v>
      </c>
      <c r="J1983" s="6">
        <v>0.69930555555555551</v>
      </c>
      <c r="K1983" s="7" t="s">
        <v>13</v>
      </c>
      <c r="L1983" s="7" t="s">
        <v>14</v>
      </c>
      <c r="M1983" s="7" t="s">
        <v>21</v>
      </c>
      <c r="N1983" s="7">
        <f>COUNTIFS(A:A,A1983,D:D,D1983,E:E,I1983)</f>
        <v>0</v>
      </c>
    </row>
    <row r="1984" spans="1:14" x14ac:dyDescent="0.3">
      <c r="A1984" s="7" t="s">
        <v>93</v>
      </c>
      <c r="B1984" s="7" t="s">
        <v>94</v>
      </c>
      <c r="C1984" s="7" t="s">
        <v>425</v>
      </c>
      <c r="D1984" s="8">
        <v>45336</v>
      </c>
      <c r="E1984" s="8" t="str">
        <f t="shared" si="119"/>
        <v>February</v>
      </c>
      <c r="F1984">
        <f t="shared" si="120"/>
        <v>2024</v>
      </c>
      <c r="G1984">
        <f t="shared" si="121"/>
        <v>0</v>
      </c>
      <c r="H1984">
        <f t="shared" si="122"/>
        <v>0</v>
      </c>
      <c r="I1984" s="6"/>
      <c r="J1984" s="6"/>
      <c r="K1984" s="7" t="s">
        <v>44</v>
      </c>
      <c r="L1984" s="7" t="s">
        <v>14</v>
      </c>
      <c r="M1984" s="7" t="s">
        <v>15</v>
      </c>
      <c r="N1984" s="7">
        <f>COUNTIFS(A:A,A1984,D:D,D1984,E:E,I1984)</f>
        <v>0</v>
      </c>
    </row>
    <row r="1985" spans="1:14" x14ac:dyDescent="0.3">
      <c r="A1985" s="7" t="s">
        <v>146</v>
      </c>
      <c r="B1985" s="7" t="s">
        <v>147</v>
      </c>
      <c r="C1985" s="7" t="s">
        <v>426</v>
      </c>
      <c r="D1985" s="8">
        <v>45599</v>
      </c>
      <c r="E1985" s="8" t="str">
        <f t="shared" si="119"/>
        <v>November</v>
      </c>
      <c r="F1985">
        <f t="shared" si="120"/>
        <v>2024</v>
      </c>
      <c r="G1985">
        <f t="shared" si="121"/>
        <v>1</v>
      </c>
      <c r="H1985">
        <f t="shared" si="122"/>
        <v>0</v>
      </c>
      <c r="I1985" s="6">
        <v>0.46458333333333335</v>
      </c>
      <c r="J1985" s="6">
        <v>0.83472222222222225</v>
      </c>
      <c r="K1985" s="7" t="s">
        <v>20</v>
      </c>
      <c r="L1985" s="7" t="s">
        <v>27</v>
      </c>
      <c r="M1985" s="7" t="s">
        <v>21</v>
      </c>
      <c r="N1985" s="7">
        <f>COUNTIFS(A:A,A1985,D:D,D1985,E:E,I1985)</f>
        <v>0</v>
      </c>
    </row>
    <row r="1986" spans="1:14" x14ac:dyDescent="0.3">
      <c r="A1986" s="7" t="s">
        <v>115</v>
      </c>
      <c r="B1986" s="7" t="s">
        <v>116</v>
      </c>
      <c r="C1986" s="7" t="s">
        <v>426</v>
      </c>
      <c r="D1986" s="8">
        <v>45370</v>
      </c>
      <c r="E1986" s="8" t="str">
        <f t="shared" ref="E1986:E2049" si="123">TEXT(D1986,"mmmm")</f>
        <v>March</v>
      </c>
      <c r="F1986">
        <f t="shared" ref="F1986:F2049" si="124">YEAR(D1986)</f>
        <v>2024</v>
      </c>
      <c r="G1986">
        <f t="shared" ref="G1986:G2049" si="125">IF(LOWER(K1986)="absent",0,1)</f>
        <v>1</v>
      </c>
      <c r="H1986">
        <f t="shared" ref="H1986:H2049" si="126">IF(K1986="Late",1,0)</f>
        <v>0</v>
      </c>
      <c r="I1986" s="6">
        <v>0.40138888888888891</v>
      </c>
      <c r="J1986" s="6">
        <v>0.80625000000000002</v>
      </c>
      <c r="K1986" s="7" t="s">
        <v>20</v>
      </c>
      <c r="L1986" s="7" t="s">
        <v>27</v>
      </c>
      <c r="M1986" s="7" t="s">
        <v>15</v>
      </c>
      <c r="N1986" s="7">
        <f>COUNTIFS(A:A,A1986,D:D,D1986,E:E,I1986)</f>
        <v>0</v>
      </c>
    </row>
    <row r="1987" spans="1:14" x14ac:dyDescent="0.3">
      <c r="A1987" s="7" t="s">
        <v>165</v>
      </c>
      <c r="B1987" s="7" t="s">
        <v>166</v>
      </c>
      <c r="C1987" s="7" t="s">
        <v>42</v>
      </c>
      <c r="D1987" s="8">
        <v>45371</v>
      </c>
      <c r="E1987" s="8" t="str">
        <f t="shared" si="123"/>
        <v>March</v>
      </c>
      <c r="F1987">
        <f t="shared" si="124"/>
        <v>2024</v>
      </c>
      <c r="G1987">
        <f t="shared" si="125"/>
        <v>1</v>
      </c>
      <c r="H1987">
        <f t="shared" si="126"/>
        <v>1</v>
      </c>
      <c r="I1987" s="6">
        <v>0.38263888888888886</v>
      </c>
      <c r="J1987" s="6">
        <v>0.68541666666666667</v>
      </c>
      <c r="K1987" s="7" t="s">
        <v>26</v>
      </c>
      <c r="L1987" s="7" t="s">
        <v>27</v>
      </c>
      <c r="M1987" s="7" t="s">
        <v>21</v>
      </c>
      <c r="N1987" s="7">
        <f>COUNTIFS(A:A,A1987,D:D,D1987,E:E,I1987)</f>
        <v>0</v>
      </c>
    </row>
    <row r="1988" spans="1:14" x14ac:dyDescent="0.3">
      <c r="A1988" s="7" t="s">
        <v>93</v>
      </c>
      <c r="B1988" s="7" t="s">
        <v>94</v>
      </c>
      <c r="C1988" s="7" t="s">
        <v>425</v>
      </c>
      <c r="D1988" s="8">
        <v>45370</v>
      </c>
      <c r="E1988" s="8" t="str">
        <f t="shared" si="123"/>
        <v>March</v>
      </c>
      <c r="F1988">
        <f t="shared" si="124"/>
        <v>2024</v>
      </c>
      <c r="G1988">
        <f t="shared" si="125"/>
        <v>1</v>
      </c>
      <c r="H1988">
        <f t="shared" si="126"/>
        <v>0</v>
      </c>
      <c r="I1988" s="6">
        <v>0.39652777777777776</v>
      </c>
      <c r="J1988" s="6">
        <v>0.69166666666666665</v>
      </c>
      <c r="K1988" s="7" t="s">
        <v>13</v>
      </c>
      <c r="L1988" s="7" t="s">
        <v>27</v>
      </c>
      <c r="M1988" s="7" t="s">
        <v>15</v>
      </c>
      <c r="N1988" s="7">
        <f>COUNTIFS(A:A,A1988,D:D,D1988,E:E,I1988)</f>
        <v>0</v>
      </c>
    </row>
    <row r="1989" spans="1:14" x14ac:dyDescent="0.3">
      <c r="A1989" s="7" t="s">
        <v>55</v>
      </c>
      <c r="B1989" s="7" t="s">
        <v>56</v>
      </c>
      <c r="C1989" s="7" t="s">
        <v>425</v>
      </c>
      <c r="D1989" s="8">
        <v>45341</v>
      </c>
      <c r="E1989" s="8" t="str">
        <f t="shared" si="123"/>
        <v>February</v>
      </c>
      <c r="F1989">
        <f t="shared" si="124"/>
        <v>2024</v>
      </c>
      <c r="G1989">
        <f t="shared" si="125"/>
        <v>1</v>
      </c>
      <c r="H1989">
        <f t="shared" si="126"/>
        <v>0</v>
      </c>
      <c r="I1989" s="6">
        <v>0.36805555555555558</v>
      </c>
      <c r="J1989" s="6">
        <v>0.71666666666666667</v>
      </c>
      <c r="K1989" s="7" t="s">
        <v>20</v>
      </c>
      <c r="L1989" s="7" t="s">
        <v>27</v>
      </c>
      <c r="M1989" s="7" t="s">
        <v>15</v>
      </c>
      <c r="N1989" s="7">
        <f>COUNTIFS(A:A,A1989,D:D,D1989,E:E,I1989)</f>
        <v>0</v>
      </c>
    </row>
    <row r="1990" spans="1:14" x14ac:dyDescent="0.3">
      <c r="A1990" s="7" t="s">
        <v>48</v>
      </c>
      <c r="B1990" s="7" t="s">
        <v>49</v>
      </c>
      <c r="C1990" s="7" t="s">
        <v>42</v>
      </c>
      <c r="D1990" s="8">
        <v>45309</v>
      </c>
      <c r="E1990" s="8" t="str">
        <f t="shared" si="123"/>
        <v>January</v>
      </c>
      <c r="F1990">
        <f t="shared" si="124"/>
        <v>2024</v>
      </c>
      <c r="G1990">
        <f t="shared" si="125"/>
        <v>1</v>
      </c>
      <c r="H1990">
        <f t="shared" si="126"/>
        <v>0</v>
      </c>
      <c r="I1990" s="6">
        <v>0.48333333333333334</v>
      </c>
      <c r="J1990" s="6">
        <v>0.69027777777777777</v>
      </c>
      <c r="K1990" s="7" t="s">
        <v>13</v>
      </c>
      <c r="L1990" s="7" t="s">
        <v>14</v>
      </c>
      <c r="M1990" s="7" t="s">
        <v>15</v>
      </c>
      <c r="N1990" s="7">
        <f>COUNTIFS(A:A,A1990,D:D,D1990,E:E,I1990)</f>
        <v>0</v>
      </c>
    </row>
    <row r="1991" spans="1:14" x14ac:dyDescent="0.3">
      <c r="A1991" s="7" t="s">
        <v>191</v>
      </c>
      <c r="B1991" s="7" t="s">
        <v>192</v>
      </c>
      <c r="C1991" s="7" t="s">
        <v>425</v>
      </c>
      <c r="D1991" s="8">
        <v>45325</v>
      </c>
      <c r="E1991" s="8" t="str">
        <f t="shared" si="123"/>
        <v>February</v>
      </c>
      <c r="F1991">
        <f t="shared" si="124"/>
        <v>2024</v>
      </c>
      <c r="G1991">
        <f t="shared" si="125"/>
        <v>1</v>
      </c>
      <c r="H1991">
        <f t="shared" si="126"/>
        <v>0</v>
      </c>
      <c r="I1991" s="6">
        <v>0.4</v>
      </c>
      <c r="J1991" s="6">
        <v>0.72222222222222221</v>
      </c>
      <c r="K1991" s="7" t="s">
        <v>13</v>
      </c>
      <c r="L1991" s="7" t="s">
        <v>27</v>
      </c>
      <c r="M1991" s="7" t="s">
        <v>21</v>
      </c>
      <c r="N1991" s="7">
        <f>COUNTIFS(A:A,A1991,D:D,D1991,E:E,I1991)</f>
        <v>0</v>
      </c>
    </row>
    <row r="1992" spans="1:14" x14ac:dyDescent="0.3">
      <c r="A1992" s="7" t="s">
        <v>58</v>
      </c>
      <c r="B1992" s="7" t="s">
        <v>59</v>
      </c>
      <c r="C1992" s="7" t="s">
        <v>426</v>
      </c>
      <c r="D1992" s="8">
        <v>45374</v>
      </c>
      <c r="E1992" s="8" t="str">
        <f t="shared" si="123"/>
        <v>March</v>
      </c>
      <c r="F1992">
        <f t="shared" si="124"/>
        <v>2024</v>
      </c>
      <c r="G1992">
        <f t="shared" si="125"/>
        <v>1</v>
      </c>
      <c r="H1992">
        <f t="shared" si="126"/>
        <v>1</v>
      </c>
      <c r="I1992" s="6">
        <v>0.39513888888888887</v>
      </c>
      <c r="J1992" s="6">
        <v>0.8305555555555556</v>
      </c>
      <c r="K1992" s="7" t="s">
        <v>26</v>
      </c>
      <c r="L1992" s="7" t="s">
        <v>27</v>
      </c>
      <c r="M1992" s="7" t="s">
        <v>21</v>
      </c>
      <c r="N1992" s="7">
        <f>COUNTIFS(A:A,A1992,D:D,D1992,E:E,I1992)</f>
        <v>0</v>
      </c>
    </row>
    <row r="1993" spans="1:14" x14ac:dyDescent="0.3">
      <c r="A1993" s="7" t="s">
        <v>55</v>
      </c>
      <c r="B1993" s="7" t="s">
        <v>56</v>
      </c>
      <c r="C1993" s="7" t="s">
        <v>42</v>
      </c>
      <c r="D1993" s="8">
        <v>45352</v>
      </c>
      <c r="E1993" s="8" t="str">
        <f t="shared" si="123"/>
        <v>March</v>
      </c>
      <c r="F1993">
        <f t="shared" si="124"/>
        <v>2024</v>
      </c>
      <c r="G1993">
        <f t="shared" si="125"/>
        <v>0</v>
      </c>
      <c r="H1993">
        <f t="shared" si="126"/>
        <v>0</v>
      </c>
      <c r="I1993" s="6"/>
      <c r="J1993" s="6"/>
      <c r="K1993" s="7" t="s">
        <v>44</v>
      </c>
      <c r="L1993" s="7" t="s">
        <v>14</v>
      </c>
      <c r="M1993" s="7" t="s">
        <v>15</v>
      </c>
      <c r="N1993" s="7">
        <f>COUNTIFS(A:A,A1993,D:D,D1993,E:E,I1993)</f>
        <v>0</v>
      </c>
    </row>
    <row r="1994" spans="1:14" x14ac:dyDescent="0.3">
      <c r="A1994" s="7" t="s">
        <v>269</v>
      </c>
      <c r="B1994" s="7" t="s">
        <v>270</v>
      </c>
      <c r="C1994" s="7" t="s">
        <v>42</v>
      </c>
      <c r="D1994" s="8">
        <v>45377</v>
      </c>
      <c r="E1994" s="8" t="str">
        <f t="shared" si="123"/>
        <v>March</v>
      </c>
      <c r="F1994">
        <f t="shared" si="124"/>
        <v>2024</v>
      </c>
      <c r="G1994">
        <f t="shared" si="125"/>
        <v>1</v>
      </c>
      <c r="H1994">
        <f t="shared" si="126"/>
        <v>1</v>
      </c>
      <c r="I1994" s="6">
        <v>0.46736111111111112</v>
      </c>
      <c r="J1994" s="6">
        <v>0.82361111111111107</v>
      </c>
      <c r="K1994" s="7" t="s">
        <v>26</v>
      </c>
      <c r="L1994" s="7" t="s">
        <v>14</v>
      </c>
      <c r="M1994" s="7" t="s">
        <v>21</v>
      </c>
      <c r="N1994" s="7">
        <f>COUNTIFS(A:A,A1994,D:D,D1994,E:E,I1994)</f>
        <v>0</v>
      </c>
    </row>
    <row r="1995" spans="1:14" x14ac:dyDescent="0.3">
      <c r="A1995" s="7" t="s">
        <v>216</v>
      </c>
      <c r="B1995" s="7" t="s">
        <v>217</v>
      </c>
      <c r="C1995" s="7" t="s">
        <v>60</v>
      </c>
      <c r="D1995" s="8">
        <v>45294</v>
      </c>
      <c r="E1995" s="8" t="str">
        <f t="shared" si="123"/>
        <v>January</v>
      </c>
      <c r="F1995">
        <f t="shared" si="124"/>
        <v>2024</v>
      </c>
      <c r="G1995">
        <f t="shared" si="125"/>
        <v>1</v>
      </c>
      <c r="H1995">
        <f t="shared" si="126"/>
        <v>0</v>
      </c>
      <c r="I1995" s="6">
        <v>0.41736111111111113</v>
      </c>
      <c r="J1995" s="6">
        <v>0.71388888888888891</v>
      </c>
      <c r="K1995" s="7" t="s">
        <v>20</v>
      </c>
      <c r="L1995" s="7" t="s">
        <v>14</v>
      </c>
      <c r="M1995" s="7" t="s">
        <v>15</v>
      </c>
      <c r="N1995" s="7">
        <f>COUNTIFS(A:A,A1995,D:D,D1995,E:E,I1995)</f>
        <v>0</v>
      </c>
    </row>
    <row r="1996" spans="1:14" x14ac:dyDescent="0.3">
      <c r="A1996" s="7" t="s">
        <v>112</v>
      </c>
      <c r="B1996" s="7" t="s">
        <v>113</v>
      </c>
      <c r="C1996" s="7" t="s">
        <v>42</v>
      </c>
      <c r="D1996" s="8">
        <v>45336</v>
      </c>
      <c r="E1996" s="8" t="str">
        <f t="shared" si="123"/>
        <v>February</v>
      </c>
      <c r="F1996">
        <f t="shared" si="124"/>
        <v>2024</v>
      </c>
      <c r="G1996">
        <f t="shared" si="125"/>
        <v>1</v>
      </c>
      <c r="H1996">
        <f t="shared" si="126"/>
        <v>0</v>
      </c>
      <c r="I1996" s="6">
        <v>0.4375</v>
      </c>
      <c r="J1996" s="6">
        <v>0.72152777777777777</v>
      </c>
      <c r="K1996" s="7" t="s">
        <v>20</v>
      </c>
      <c r="L1996" s="7" t="s">
        <v>14</v>
      </c>
      <c r="M1996" s="7" t="s">
        <v>15</v>
      </c>
      <c r="N1996" s="7">
        <f>COUNTIFS(A:A,A1996,D:D,D1996,E:E,I1996)</f>
        <v>0</v>
      </c>
    </row>
    <row r="1997" spans="1:14" x14ac:dyDescent="0.3">
      <c r="A1997" s="7" t="s">
        <v>40</v>
      </c>
      <c r="B1997" s="7" t="s">
        <v>41</v>
      </c>
      <c r="C1997" s="7" t="s">
        <v>64</v>
      </c>
      <c r="D1997" s="8">
        <v>45346</v>
      </c>
      <c r="E1997" s="8" t="str">
        <f t="shared" si="123"/>
        <v>February</v>
      </c>
      <c r="F1997">
        <f t="shared" si="124"/>
        <v>2024</v>
      </c>
      <c r="G1997">
        <f t="shared" si="125"/>
        <v>1</v>
      </c>
      <c r="H1997">
        <f t="shared" si="126"/>
        <v>0</v>
      </c>
      <c r="I1997" s="6">
        <v>0.45208333333333334</v>
      </c>
      <c r="J1997" s="6">
        <v>0.86250000000000004</v>
      </c>
      <c r="K1997" s="7" t="s">
        <v>13</v>
      </c>
      <c r="L1997" s="7" t="s">
        <v>27</v>
      </c>
      <c r="M1997" s="7" t="s">
        <v>15</v>
      </c>
      <c r="N1997" s="7">
        <f>COUNTIFS(A:A,A1997,D:D,D1997,E:E,I1997)</f>
        <v>0</v>
      </c>
    </row>
    <row r="1998" spans="1:14" x14ac:dyDescent="0.3">
      <c r="A1998" s="7" t="s">
        <v>269</v>
      </c>
      <c r="B1998" s="7" t="s">
        <v>270</v>
      </c>
      <c r="C1998" s="7" t="s">
        <v>42</v>
      </c>
      <c r="D1998" s="8">
        <v>45346</v>
      </c>
      <c r="E1998" s="8" t="str">
        <f t="shared" si="123"/>
        <v>February</v>
      </c>
      <c r="F1998">
        <f t="shared" si="124"/>
        <v>2024</v>
      </c>
      <c r="G1998">
        <f t="shared" si="125"/>
        <v>0</v>
      </c>
      <c r="H1998">
        <f t="shared" si="126"/>
        <v>0</v>
      </c>
      <c r="I1998" s="6"/>
      <c r="J1998" s="6"/>
      <c r="K1998" s="7" t="s">
        <v>44</v>
      </c>
      <c r="L1998" s="7" t="s">
        <v>27</v>
      </c>
      <c r="M1998" s="7" t="s">
        <v>15</v>
      </c>
      <c r="N1998" s="7">
        <f>COUNTIFS(A:A,A1998,D:D,D1998,E:E,I1998)</f>
        <v>0</v>
      </c>
    </row>
    <row r="1999" spans="1:14" x14ac:dyDescent="0.3">
      <c r="A1999" s="7" t="s">
        <v>130</v>
      </c>
      <c r="B1999" s="7" t="s">
        <v>131</v>
      </c>
      <c r="C1999" s="7" t="s">
        <v>42</v>
      </c>
      <c r="D1999" s="8">
        <v>45333</v>
      </c>
      <c r="E1999" s="8" t="str">
        <f t="shared" si="123"/>
        <v>February</v>
      </c>
      <c r="F1999">
        <f t="shared" si="124"/>
        <v>2024</v>
      </c>
      <c r="G1999">
        <f t="shared" si="125"/>
        <v>1</v>
      </c>
      <c r="H1999">
        <f t="shared" si="126"/>
        <v>1</v>
      </c>
      <c r="I1999" s="6">
        <v>0.33541666666666664</v>
      </c>
      <c r="J1999" s="6">
        <v>0.82361111111111107</v>
      </c>
      <c r="K1999" s="7" t="s">
        <v>26</v>
      </c>
      <c r="L1999" s="7" t="s">
        <v>27</v>
      </c>
      <c r="M1999" s="7" t="s">
        <v>21</v>
      </c>
      <c r="N1999" s="7">
        <f>COUNTIFS(A:A,A1999,D:D,D1999,E:E,I1999)</f>
        <v>0</v>
      </c>
    </row>
    <row r="2000" spans="1:14" x14ac:dyDescent="0.3">
      <c r="A2000" s="7" t="s">
        <v>200</v>
      </c>
      <c r="B2000" s="7" t="s">
        <v>201</v>
      </c>
      <c r="C2000" s="7" t="s">
        <v>64</v>
      </c>
      <c r="D2000" s="8">
        <v>45366</v>
      </c>
      <c r="E2000" s="8" t="str">
        <f t="shared" si="123"/>
        <v>March</v>
      </c>
      <c r="F2000">
        <f t="shared" si="124"/>
        <v>2024</v>
      </c>
      <c r="G2000">
        <f t="shared" si="125"/>
        <v>1</v>
      </c>
      <c r="H2000">
        <f t="shared" si="126"/>
        <v>1</v>
      </c>
      <c r="I2000" s="6">
        <v>0.34027777777777779</v>
      </c>
      <c r="J2000" s="6">
        <v>0.70347222222222228</v>
      </c>
      <c r="K2000" s="7" t="s">
        <v>26</v>
      </c>
      <c r="L2000" s="7" t="s">
        <v>14</v>
      </c>
      <c r="M2000" s="7" t="s">
        <v>21</v>
      </c>
      <c r="N2000" s="7">
        <f>COUNTIFS(A:A,A2000,D:D,D2000,E:E,I2000)</f>
        <v>0</v>
      </c>
    </row>
    <row r="2001" spans="1:14" x14ac:dyDescent="0.3">
      <c r="A2001" s="7" t="s">
        <v>246</v>
      </c>
      <c r="B2001" s="7" t="s">
        <v>247</v>
      </c>
      <c r="C2001" s="7" t="s">
        <v>426</v>
      </c>
      <c r="D2001" s="8">
        <v>45306</v>
      </c>
      <c r="E2001" s="8" t="str">
        <f t="shared" si="123"/>
        <v>January</v>
      </c>
      <c r="F2001">
        <f t="shared" si="124"/>
        <v>2024</v>
      </c>
      <c r="G2001">
        <f t="shared" si="125"/>
        <v>1</v>
      </c>
      <c r="H2001">
        <f t="shared" si="126"/>
        <v>0</v>
      </c>
      <c r="I2001" s="6">
        <v>0.4201388888888889</v>
      </c>
      <c r="J2001" s="6">
        <v>0.75972222222222219</v>
      </c>
      <c r="K2001" s="7" t="s">
        <v>20</v>
      </c>
      <c r="L2001" s="7" t="s">
        <v>14</v>
      </c>
      <c r="M2001" s="7" t="s">
        <v>15</v>
      </c>
      <c r="N2001" s="7">
        <f>COUNTIFS(A:A,A2001,D:D,D2001,E:E,I2001)</f>
        <v>0</v>
      </c>
    </row>
    <row r="2002" spans="1:14" x14ac:dyDescent="0.3">
      <c r="A2002" s="7" t="s">
        <v>72</v>
      </c>
      <c r="B2002" s="7" t="s">
        <v>73</v>
      </c>
      <c r="C2002" s="7" t="s">
        <v>60</v>
      </c>
      <c r="D2002" s="8">
        <v>45310</v>
      </c>
      <c r="E2002" s="8" t="str">
        <f t="shared" si="123"/>
        <v>January</v>
      </c>
      <c r="F2002">
        <f t="shared" si="124"/>
        <v>2024</v>
      </c>
      <c r="G2002">
        <f t="shared" si="125"/>
        <v>1</v>
      </c>
      <c r="H2002">
        <f t="shared" si="126"/>
        <v>0</v>
      </c>
      <c r="I2002" s="6">
        <v>0.42222222222222222</v>
      </c>
      <c r="J2002" s="6">
        <v>0.8208333333333333</v>
      </c>
      <c r="K2002" s="7" t="s">
        <v>20</v>
      </c>
      <c r="L2002" s="7" t="s">
        <v>14</v>
      </c>
      <c r="M2002" s="7" t="s">
        <v>21</v>
      </c>
      <c r="N2002" s="7">
        <f>COUNTIFS(A:A,A2002,D:D,D2002,E:E,I2002)</f>
        <v>0</v>
      </c>
    </row>
    <row r="2003" spans="1:14" x14ac:dyDescent="0.3">
      <c r="A2003" s="7" t="s">
        <v>45</v>
      </c>
      <c r="B2003" s="7" t="s">
        <v>46</v>
      </c>
      <c r="C2003" s="7" t="s">
        <v>60</v>
      </c>
      <c r="D2003" s="8">
        <v>45344</v>
      </c>
      <c r="E2003" s="8" t="str">
        <f t="shared" si="123"/>
        <v>February</v>
      </c>
      <c r="F2003">
        <f t="shared" si="124"/>
        <v>2024</v>
      </c>
      <c r="G2003">
        <f t="shared" si="125"/>
        <v>1</v>
      </c>
      <c r="H2003">
        <f t="shared" si="126"/>
        <v>0</v>
      </c>
      <c r="I2003" s="6">
        <v>0.38124999999999998</v>
      </c>
      <c r="J2003" s="6">
        <v>0.78194444444444444</v>
      </c>
      <c r="K2003" s="7" t="s">
        <v>20</v>
      </c>
      <c r="L2003" s="7" t="s">
        <v>27</v>
      </c>
      <c r="M2003" s="7" t="s">
        <v>21</v>
      </c>
      <c r="N2003" s="7">
        <f>COUNTIFS(A:A,A2003,D:D,D2003,E:E,I2003)</f>
        <v>0</v>
      </c>
    </row>
    <row r="2004" spans="1:14" x14ac:dyDescent="0.3">
      <c r="A2004" s="7" t="s">
        <v>200</v>
      </c>
      <c r="B2004" s="7" t="s">
        <v>201</v>
      </c>
      <c r="C2004" s="7" t="s">
        <v>426</v>
      </c>
      <c r="D2004" s="8">
        <v>45368</v>
      </c>
      <c r="E2004" s="8" t="str">
        <f t="shared" si="123"/>
        <v>March</v>
      </c>
      <c r="F2004">
        <f t="shared" si="124"/>
        <v>2024</v>
      </c>
      <c r="G2004">
        <f t="shared" si="125"/>
        <v>1</v>
      </c>
      <c r="H2004">
        <f t="shared" si="126"/>
        <v>1</v>
      </c>
      <c r="I2004" s="6">
        <v>0.38055555555555554</v>
      </c>
      <c r="J2004" s="6">
        <v>0.84375</v>
      </c>
      <c r="K2004" s="7" t="s">
        <v>26</v>
      </c>
      <c r="L2004" s="7" t="s">
        <v>14</v>
      </c>
      <c r="M2004" s="7" t="s">
        <v>21</v>
      </c>
      <c r="N2004" s="7">
        <f>COUNTIFS(A:A,A2004,D:D,D2004,E:E,I2004)</f>
        <v>0</v>
      </c>
    </row>
    <row r="2005" spans="1:14" x14ac:dyDescent="0.3">
      <c r="A2005" s="7" t="s">
        <v>269</v>
      </c>
      <c r="B2005" s="7" t="s">
        <v>270</v>
      </c>
      <c r="C2005" s="7" t="s">
        <v>42</v>
      </c>
      <c r="D2005" s="8">
        <v>45506</v>
      </c>
      <c r="E2005" s="8" t="str">
        <f t="shared" si="123"/>
        <v>August</v>
      </c>
      <c r="F2005">
        <f t="shared" si="124"/>
        <v>2024</v>
      </c>
      <c r="G2005">
        <f t="shared" si="125"/>
        <v>1</v>
      </c>
      <c r="H2005">
        <f t="shared" si="126"/>
        <v>0</v>
      </c>
      <c r="I2005" s="6">
        <v>0.49444444444444446</v>
      </c>
      <c r="J2005" s="6">
        <v>0.84930555555555554</v>
      </c>
      <c r="K2005" s="7" t="s">
        <v>20</v>
      </c>
      <c r="L2005" s="7" t="s">
        <v>14</v>
      </c>
      <c r="M2005" s="7" t="s">
        <v>21</v>
      </c>
      <c r="N2005" s="7">
        <f>COUNTIFS(A:A,A2005,D:D,D2005,E:E,I2005)</f>
        <v>0</v>
      </c>
    </row>
    <row r="2006" spans="1:14" x14ac:dyDescent="0.3">
      <c r="A2006" s="7" t="s">
        <v>16</v>
      </c>
      <c r="B2006" s="7" t="s">
        <v>17</v>
      </c>
      <c r="C2006" s="7" t="s">
        <v>60</v>
      </c>
      <c r="D2006" s="8">
        <v>45384</v>
      </c>
      <c r="E2006" s="8" t="str">
        <f t="shared" si="123"/>
        <v>April</v>
      </c>
      <c r="F2006">
        <f t="shared" si="124"/>
        <v>2024</v>
      </c>
      <c r="G2006">
        <f t="shared" si="125"/>
        <v>1</v>
      </c>
      <c r="H2006">
        <f t="shared" si="126"/>
        <v>0</v>
      </c>
      <c r="I2006" s="6">
        <v>0.39374999999999999</v>
      </c>
      <c r="J2006" s="6">
        <v>0.70486111111111116</v>
      </c>
      <c r="K2006" s="7" t="s">
        <v>20</v>
      </c>
      <c r="L2006" s="7" t="s">
        <v>14</v>
      </c>
      <c r="M2006" s="7" t="s">
        <v>21</v>
      </c>
      <c r="N2006" s="7">
        <f>COUNTIFS(A:A,A2006,D:D,D2006,E:E,I2006)</f>
        <v>0</v>
      </c>
    </row>
    <row r="2007" spans="1:14" x14ac:dyDescent="0.3">
      <c r="A2007" s="7" t="s">
        <v>150</v>
      </c>
      <c r="B2007" s="7" t="s">
        <v>151</v>
      </c>
      <c r="C2007" s="7" t="s">
        <v>60</v>
      </c>
      <c r="D2007" s="8">
        <v>45326</v>
      </c>
      <c r="E2007" s="8" t="str">
        <f t="shared" si="123"/>
        <v>February</v>
      </c>
      <c r="F2007">
        <f t="shared" si="124"/>
        <v>2024</v>
      </c>
      <c r="G2007">
        <f t="shared" si="125"/>
        <v>0</v>
      </c>
      <c r="H2007">
        <f t="shared" si="126"/>
        <v>0</v>
      </c>
      <c r="I2007" s="6"/>
      <c r="J2007" s="6"/>
      <c r="K2007" s="7" t="s">
        <v>44</v>
      </c>
      <c r="L2007" s="7" t="s">
        <v>14</v>
      </c>
      <c r="M2007" s="7" t="s">
        <v>21</v>
      </c>
      <c r="N2007" s="7">
        <f>COUNTIFS(A:A,A2007,D:D,D2007,E:E,I2007)</f>
        <v>0</v>
      </c>
    </row>
    <row r="2008" spans="1:14" x14ac:dyDescent="0.3">
      <c r="A2008" s="7" t="s">
        <v>37</v>
      </c>
      <c r="B2008" s="7" t="s">
        <v>38</v>
      </c>
      <c r="C2008" s="7" t="s">
        <v>425</v>
      </c>
      <c r="D2008" s="8">
        <v>45324</v>
      </c>
      <c r="E2008" s="8" t="str">
        <f t="shared" si="123"/>
        <v>February</v>
      </c>
      <c r="F2008">
        <f t="shared" si="124"/>
        <v>2024</v>
      </c>
      <c r="G2008">
        <f t="shared" si="125"/>
        <v>0</v>
      </c>
      <c r="H2008">
        <f t="shared" si="126"/>
        <v>0</v>
      </c>
      <c r="I2008" s="6"/>
      <c r="J2008" s="6"/>
      <c r="K2008" s="7" t="s">
        <v>44</v>
      </c>
      <c r="L2008" s="7" t="s">
        <v>14</v>
      </c>
      <c r="M2008" s="7" t="s">
        <v>21</v>
      </c>
      <c r="N2008" s="7">
        <f>COUNTIFS(A:A,A2008,D:D,D2008,E:E,I2008)</f>
        <v>0</v>
      </c>
    </row>
    <row r="2009" spans="1:14" x14ac:dyDescent="0.3">
      <c r="A2009" s="7" t="s">
        <v>150</v>
      </c>
      <c r="B2009" s="7" t="s">
        <v>151</v>
      </c>
      <c r="C2009" s="7" t="s">
        <v>425</v>
      </c>
      <c r="D2009" s="8">
        <v>45568</v>
      </c>
      <c r="E2009" s="8" t="str">
        <f t="shared" si="123"/>
        <v>October</v>
      </c>
      <c r="F2009">
        <f t="shared" si="124"/>
        <v>2024</v>
      </c>
      <c r="G2009">
        <f t="shared" si="125"/>
        <v>1</v>
      </c>
      <c r="H2009">
        <f t="shared" si="126"/>
        <v>0</v>
      </c>
      <c r="I2009" s="6">
        <v>0.48749999999999999</v>
      </c>
      <c r="J2009" s="6">
        <v>0.85555555555555551</v>
      </c>
      <c r="K2009" s="7" t="s">
        <v>20</v>
      </c>
      <c r="L2009" s="7" t="s">
        <v>14</v>
      </c>
      <c r="M2009" s="7" t="s">
        <v>21</v>
      </c>
      <c r="N2009" s="7">
        <f>COUNTIFS(A:A,A2009,D:D,D2009,E:E,I2009)</f>
        <v>0</v>
      </c>
    </row>
    <row r="2010" spans="1:14" x14ac:dyDescent="0.3">
      <c r="A2010" s="7" t="s">
        <v>55</v>
      </c>
      <c r="B2010" s="7" t="s">
        <v>56</v>
      </c>
      <c r="C2010" s="7" t="s">
        <v>426</v>
      </c>
      <c r="D2010" s="8">
        <v>45568</v>
      </c>
      <c r="E2010" s="8" t="str">
        <f t="shared" si="123"/>
        <v>October</v>
      </c>
      <c r="F2010">
        <f t="shared" si="124"/>
        <v>2024</v>
      </c>
      <c r="G2010">
        <f t="shared" si="125"/>
        <v>0</v>
      </c>
      <c r="H2010">
        <f t="shared" si="126"/>
        <v>0</v>
      </c>
      <c r="I2010" s="6"/>
      <c r="J2010" s="6"/>
      <c r="K2010" s="7" t="s">
        <v>44</v>
      </c>
      <c r="L2010" s="7" t="s">
        <v>27</v>
      </c>
      <c r="M2010" s="7" t="s">
        <v>21</v>
      </c>
      <c r="N2010" s="7">
        <f>COUNTIFS(A:A,A2010,D:D,D2010,E:E,I2010)</f>
        <v>0</v>
      </c>
    </row>
    <row r="2011" spans="1:14" x14ac:dyDescent="0.3">
      <c r="A2011" s="7" t="s">
        <v>154</v>
      </c>
      <c r="B2011" s="7" t="s">
        <v>155</v>
      </c>
      <c r="C2011" s="7" t="s">
        <v>42</v>
      </c>
      <c r="D2011" s="8">
        <v>45352</v>
      </c>
      <c r="E2011" s="8" t="str">
        <f t="shared" si="123"/>
        <v>March</v>
      </c>
      <c r="F2011">
        <f t="shared" si="124"/>
        <v>2024</v>
      </c>
      <c r="G2011">
        <f t="shared" si="125"/>
        <v>0</v>
      </c>
      <c r="H2011">
        <f t="shared" si="126"/>
        <v>0</v>
      </c>
      <c r="I2011" s="6"/>
      <c r="J2011" s="6"/>
      <c r="K2011" s="7" t="s">
        <v>44</v>
      </c>
      <c r="L2011" s="7" t="s">
        <v>27</v>
      </c>
      <c r="M2011" s="7" t="s">
        <v>21</v>
      </c>
      <c r="N2011" s="7">
        <f>COUNTIFS(A:A,A2011,D:D,D2011,E:E,I2011)</f>
        <v>0</v>
      </c>
    </row>
    <row r="2012" spans="1:14" x14ac:dyDescent="0.3">
      <c r="A2012" s="7" t="s">
        <v>224</v>
      </c>
      <c r="B2012" s="7" t="s">
        <v>225</v>
      </c>
      <c r="C2012" s="7" t="s">
        <v>425</v>
      </c>
      <c r="D2012" s="8">
        <v>45344</v>
      </c>
      <c r="E2012" s="8" t="str">
        <f t="shared" si="123"/>
        <v>February</v>
      </c>
      <c r="F2012">
        <f t="shared" si="124"/>
        <v>2024</v>
      </c>
      <c r="G2012">
        <f t="shared" si="125"/>
        <v>1</v>
      </c>
      <c r="H2012">
        <f t="shared" si="126"/>
        <v>1</v>
      </c>
      <c r="I2012" s="6">
        <v>0.41319444444444442</v>
      </c>
      <c r="J2012" s="6">
        <v>0.69097222222222221</v>
      </c>
      <c r="K2012" s="7" t="s">
        <v>26</v>
      </c>
      <c r="L2012" s="7" t="s">
        <v>14</v>
      </c>
      <c r="M2012" s="7" t="s">
        <v>15</v>
      </c>
      <c r="N2012" s="7">
        <f>COUNTIFS(A:A,A2012,D:D,D2012,E:E,I2012)</f>
        <v>0</v>
      </c>
    </row>
    <row r="2013" spans="1:14" x14ac:dyDescent="0.3">
      <c r="A2013" s="7" t="s">
        <v>146</v>
      </c>
      <c r="B2013" s="7" t="s">
        <v>147</v>
      </c>
      <c r="C2013" s="7" t="s">
        <v>60</v>
      </c>
      <c r="D2013" s="8">
        <v>45568</v>
      </c>
      <c r="E2013" s="8" t="str">
        <f t="shared" si="123"/>
        <v>October</v>
      </c>
      <c r="F2013">
        <f t="shared" si="124"/>
        <v>2024</v>
      </c>
      <c r="G2013">
        <f t="shared" si="125"/>
        <v>0</v>
      </c>
      <c r="H2013">
        <f t="shared" si="126"/>
        <v>0</v>
      </c>
      <c r="I2013" s="6"/>
      <c r="J2013" s="6"/>
      <c r="K2013" s="7" t="s">
        <v>44</v>
      </c>
      <c r="L2013" s="7" t="s">
        <v>27</v>
      </c>
      <c r="M2013" s="7" t="s">
        <v>21</v>
      </c>
      <c r="N2013" s="7">
        <f>COUNTIFS(A:A,A2013,D:D,D2013,E:E,I2013)</f>
        <v>0</v>
      </c>
    </row>
    <row r="2014" spans="1:14" x14ac:dyDescent="0.3">
      <c r="A2014" s="7" t="s">
        <v>22</v>
      </c>
      <c r="B2014" s="7" t="s">
        <v>23</v>
      </c>
      <c r="C2014" s="7" t="s">
        <v>42</v>
      </c>
      <c r="D2014" s="8">
        <v>45446</v>
      </c>
      <c r="E2014" s="8" t="str">
        <f t="shared" si="123"/>
        <v>June</v>
      </c>
      <c r="F2014">
        <f t="shared" si="124"/>
        <v>2024</v>
      </c>
      <c r="G2014">
        <f t="shared" si="125"/>
        <v>0</v>
      </c>
      <c r="H2014">
        <f t="shared" si="126"/>
        <v>0</v>
      </c>
      <c r="I2014" s="6"/>
      <c r="J2014" s="6"/>
      <c r="K2014" s="7" t="s">
        <v>44</v>
      </c>
      <c r="L2014" s="7" t="s">
        <v>27</v>
      </c>
      <c r="M2014" s="7" t="s">
        <v>21</v>
      </c>
      <c r="N2014" s="7">
        <f>COUNTIFS(A:A,A2014,D:D,D2014,E:E,I2014)</f>
        <v>0</v>
      </c>
    </row>
    <row r="2015" spans="1:14" x14ac:dyDescent="0.3">
      <c r="A2015" s="7" t="s">
        <v>31</v>
      </c>
      <c r="B2015" s="7" t="s">
        <v>32</v>
      </c>
      <c r="C2015" s="7" t="s">
        <v>60</v>
      </c>
      <c r="D2015" s="8">
        <v>45305</v>
      </c>
      <c r="E2015" s="8" t="str">
        <f t="shared" si="123"/>
        <v>January</v>
      </c>
      <c r="F2015">
        <f t="shared" si="124"/>
        <v>2024</v>
      </c>
      <c r="G2015">
        <f t="shared" si="125"/>
        <v>1</v>
      </c>
      <c r="H2015">
        <f t="shared" si="126"/>
        <v>0</v>
      </c>
      <c r="I2015" s="6">
        <v>0.37638888888888888</v>
      </c>
      <c r="J2015" s="6">
        <v>0.81944444444444442</v>
      </c>
      <c r="K2015" s="7" t="s">
        <v>20</v>
      </c>
      <c r="L2015" s="7" t="s">
        <v>14</v>
      </c>
      <c r="M2015" s="7" t="s">
        <v>21</v>
      </c>
      <c r="N2015" s="7">
        <f>COUNTIFS(A:A,A2015,D:D,D2015,E:E,I2015)</f>
        <v>0</v>
      </c>
    </row>
    <row r="2016" spans="1:14" x14ac:dyDescent="0.3">
      <c r="A2016" s="7" t="s">
        <v>48</v>
      </c>
      <c r="B2016" s="7" t="s">
        <v>49</v>
      </c>
      <c r="C2016" s="7" t="s">
        <v>425</v>
      </c>
      <c r="D2016" s="8">
        <v>45300</v>
      </c>
      <c r="E2016" s="8" t="str">
        <f t="shared" si="123"/>
        <v>January</v>
      </c>
      <c r="F2016">
        <f t="shared" si="124"/>
        <v>2024</v>
      </c>
      <c r="G2016">
        <f t="shared" si="125"/>
        <v>1</v>
      </c>
      <c r="H2016">
        <f t="shared" si="126"/>
        <v>1</v>
      </c>
      <c r="I2016" s="6">
        <v>0.34305555555555556</v>
      </c>
      <c r="J2016" s="6">
        <v>0.7319444444444444</v>
      </c>
      <c r="K2016" s="7" t="s">
        <v>26</v>
      </c>
      <c r="L2016" s="7" t="s">
        <v>14</v>
      </c>
      <c r="M2016" s="7" t="s">
        <v>21</v>
      </c>
      <c r="N2016" s="7">
        <f>COUNTIFS(A:A,A2016,D:D,D2016,E:E,I2016)</f>
        <v>0</v>
      </c>
    </row>
    <row r="2017" spans="1:14" x14ac:dyDescent="0.3">
      <c r="A2017" s="7" t="s">
        <v>78</v>
      </c>
      <c r="B2017" s="7" t="s">
        <v>79</v>
      </c>
      <c r="C2017" s="7" t="s">
        <v>42</v>
      </c>
      <c r="D2017" s="8">
        <v>45364</v>
      </c>
      <c r="E2017" s="8" t="str">
        <f t="shared" si="123"/>
        <v>March</v>
      </c>
      <c r="F2017">
        <f t="shared" si="124"/>
        <v>2024</v>
      </c>
      <c r="G2017">
        <f t="shared" si="125"/>
        <v>0</v>
      </c>
      <c r="H2017">
        <f t="shared" si="126"/>
        <v>0</v>
      </c>
      <c r="I2017" s="6"/>
      <c r="J2017" s="6"/>
      <c r="K2017" s="7" t="s">
        <v>44</v>
      </c>
      <c r="L2017" s="7" t="s">
        <v>14</v>
      </c>
      <c r="M2017" s="7" t="s">
        <v>21</v>
      </c>
      <c r="N2017" s="7">
        <f>COUNTIFS(A:A,A2017,D:D,D2017,E:E,I2017)</f>
        <v>0</v>
      </c>
    </row>
    <row r="2018" spans="1:14" x14ac:dyDescent="0.3">
      <c r="A2018" s="7" t="s">
        <v>362</v>
      </c>
      <c r="B2018" s="7" t="s">
        <v>363</v>
      </c>
      <c r="C2018" s="7" t="s">
        <v>425</v>
      </c>
      <c r="D2018" s="8">
        <v>45379</v>
      </c>
      <c r="E2018" s="8" t="str">
        <f t="shared" si="123"/>
        <v>March</v>
      </c>
      <c r="F2018">
        <f t="shared" si="124"/>
        <v>2024</v>
      </c>
      <c r="G2018">
        <f t="shared" si="125"/>
        <v>1</v>
      </c>
      <c r="H2018">
        <f t="shared" si="126"/>
        <v>0</v>
      </c>
      <c r="I2018" s="6">
        <v>0.43541666666666667</v>
      </c>
      <c r="J2018" s="6">
        <v>0.82499999999999996</v>
      </c>
      <c r="K2018" s="7" t="s">
        <v>20</v>
      </c>
      <c r="L2018" s="7" t="s">
        <v>27</v>
      </c>
      <c r="M2018" s="7" t="s">
        <v>21</v>
      </c>
      <c r="N2018" s="7">
        <f>COUNTIFS(A:A,A2018,D:D,D2018,E:E,I2018)</f>
        <v>0</v>
      </c>
    </row>
    <row r="2019" spans="1:14" x14ac:dyDescent="0.3">
      <c r="A2019" s="7" t="s">
        <v>204</v>
      </c>
      <c r="B2019" s="7" t="s">
        <v>205</v>
      </c>
      <c r="C2019" s="7" t="s">
        <v>42</v>
      </c>
      <c r="D2019" s="8">
        <v>45339</v>
      </c>
      <c r="E2019" s="8" t="str">
        <f t="shared" si="123"/>
        <v>February</v>
      </c>
      <c r="F2019">
        <f t="shared" si="124"/>
        <v>2024</v>
      </c>
      <c r="G2019">
        <f t="shared" si="125"/>
        <v>1</v>
      </c>
      <c r="H2019">
        <f t="shared" si="126"/>
        <v>0</v>
      </c>
      <c r="I2019" s="6">
        <v>0.43194444444444446</v>
      </c>
      <c r="J2019" s="6">
        <v>0.73124999999999996</v>
      </c>
      <c r="K2019" s="7" t="s">
        <v>20</v>
      </c>
      <c r="L2019" s="7" t="s">
        <v>27</v>
      </c>
      <c r="M2019" s="7" t="s">
        <v>15</v>
      </c>
      <c r="N2019" s="7">
        <f>COUNTIFS(A:A,A2019,D:D,D2019,E:E,I2019)</f>
        <v>0</v>
      </c>
    </row>
    <row r="2020" spans="1:14" x14ac:dyDescent="0.3">
      <c r="A2020" s="7" t="s">
        <v>171</v>
      </c>
      <c r="B2020" s="7" t="s">
        <v>172</v>
      </c>
      <c r="C2020" s="7" t="s">
        <v>64</v>
      </c>
      <c r="D2020" s="8">
        <v>45379</v>
      </c>
      <c r="E2020" s="8" t="str">
        <f t="shared" si="123"/>
        <v>March</v>
      </c>
      <c r="F2020">
        <f t="shared" si="124"/>
        <v>2024</v>
      </c>
      <c r="G2020">
        <f t="shared" si="125"/>
        <v>1</v>
      </c>
      <c r="H2020">
        <f t="shared" si="126"/>
        <v>0</v>
      </c>
      <c r="I2020" s="6">
        <v>0.40277777777777779</v>
      </c>
      <c r="J2020" s="6">
        <v>0.81388888888888888</v>
      </c>
      <c r="K2020" s="7" t="s">
        <v>13</v>
      </c>
      <c r="L2020" s="7" t="s">
        <v>14</v>
      </c>
      <c r="M2020" s="7" t="s">
        <v>15</v>
      </c>
      <c r="N2020" s="7">
        <f>COUNTIFS(A:A,A2020,D:D,D2020,E:E,I2020)</f>
        <v>0</v>
      </c>
    </row>
    <row r="2021" spans="1:14" x14ac:dyDescent="0.3">
      <c r="A2021" s="7" t="s">
        <v>200</v>
      </c>
      <c r="B2021" s="7" t="s">
        <v>201</v>
      </c>
      <c r="C2021" s="7" t="s">
        <v>425</v>
      </c>
      <c r="D2021" s="8">
        <v>45315</v>
      </c>
      <c r="E2021" s="8" t="str">
        <f t="shared" si="123"/>
        <v>January</v>
      </c>
      <c r="F2021">
        <f t="shared" si="124"/>
        <v>2024</v>
      </c>
      <c r="G2021">
        <f t="shared" si="125"/>
        <v>1</v>
      </c>
      <c r="H2021">
        <f t="shared" si="126"/>
        <v>1</v>
      </c>
      <c r="I2021" s="6">
        <v>0.41597222222222224</v>
      </c>
      <c r="J2021" s="6">
        <v>0.85902777777777772</v>
      </c>
      <c r="K2021" s="7" t="s">
        <v>26</v>
      </c>
      <c r="L2021" s="7" t="s">
        <v>14</v>
      </c>
      <c r="M2021" s="7" t="s">
        <v>15</v>
      </c>
      <c r="N2021" s="7">
        <f>COUNTIFS(A:A,A2021,D:D,D2021,E:E,I2021)</f>
        <v>0</v>
      </c>
    </row>
    <row r="2022" spans="1:14" x14ac:dyDescent="0.3">
      <c r="A2022" s="7" t="s">
        <v>291</v>
      </c>
      <c r="B2022" s="7" t="s">
        <v>292</v>
      </c>
      <c r="C2022" s="7" t="s">
        <v>42</v>
      </c>
      <c r="D2022" s="8">
        <v>45338</v>
      </c>
      <c r="E2022" s="8" t="str">
        <f t="shared" si="123"/>
        <v>February</v>
      </c>
      <c r="F2022">
        <f t="shared" si="124"/>
        <v>2024</v>
      </c>
      <c r="G2022">
        <f t="shared" si="125"/>
        <v>1</v>
      </c>
      <c r="H2022">
        <f t="shared" si="126"/>
        <v>1</v>
      </c>
      <c r="I2022" s="6">
        <v>0.41041666666666665</v>
      </c>
      <c r="J2022" s="6">
        <v>0.70416666666666672</v>
      </c>
      <c r="K2022" s="7" t="s">
        <v>26</v>
      </c>
      <c r="L2022" s="7" t="s">
        <v>27</v>
      </c>
      <c r="M2022" s="7" t="s">
        <v>15</v>
      </c>
      <c r="N2022" s="7">
        <f>COUNTIFS(A:A,A2022,D:D,D2022,E:E,I2022)</f>
        <v>0</v>
      </c>
    </row>
    <row r="2023" spans="1:14" x14ac:dyDescent="0.3">
      <c r="A2023" s="7" t="s">
        <v>99</v>
      </c>
      <c r="B2023" s="7" t="s">
        <v>100</v>
      </c>
      <c r="C2023" s="7" t="s">
        <v>425</v>
      </c>
      <c r="D2023" s="8">
        <v>45304</v>
      </c>
      <c r="E2023" s="8" t="str">
        <f t="shared" si="123"/>
        <v>January</v>
      </c>
      <c r="F2023">
        <f t="shared" si="124"/>
        <v>2024</v>
      </c>
      <c r="G2023">
        <f t="shared" si="125"/>
        <v>1</v>
      </c>
      <c r="H2023">
        <f t="shared" si="126"/>
        <v>0</v>
      </c>
      <c r="I2023" s="6">
        <v>0.48680555555555555</v>
      </c>
      <c r="J2023" s="6">
        <v>0.72013888888888888</v>
      </c>
      <c r="K2023" s="7" t="s">
        <v>20</v>
      </c>
      <c r="L2023" s="7" t="s">
        <v>14</v>
      </c>
      <c r="M2023" s="7" t="s">
        <v>21</v>
      </c>
      <c r="N2023" s="7">
        <f>COUNTIFS(A:A,A2023,D:D,D2023,E:E,I2023)</f>
        <v>0</v>
      </c>
    </row>
    <row r="2024" spans="1:14" x14ac:dyDescent="0.3">
      <c r="A2024" s="7" t="s">
        <v>291</v>
      </c>
      <c r="B2024" s="7" t="s">
        <v>292</v>
      </c>
      <c r="C2024" s="7" t="s">
        <v>64</v>
      </c>
      <c r="D2024" s="8">
        <v>45314</v>
      </c>
      <c r="E2024" s="8" t="str">
        <f t="shared" si="123"/>
        <v>January</v>
      </c>
      <c r="F2024">
        <f t="shared" si="124"/>
        <v>2024</v>
      </c>
      <c r="G2024">
        <f t="shared" si="125"/>
        <v>1</v>
      </c>
      <c r="H2024">
        <f t="shared" si="126"/>
        <v>1</v>
      </c>
      <c r="I2024" s="6">
        <v>0.48958333333333331</v>
      </c>
      <c r="J2024" s="6">
        <v>0.81805555555555554</v>
      </c>
      <c r="K2024" s="7" t="s">
        <v>26</v>
      </c>
      <c r="L2024" s="7" t="s">
        <v>14</v>
      </c>
      <c r="M2024" s="7" t="s">
        <v>21</v>
      </c>
      <c r="N2024" s="7">
        <f>COUNTIFS(A:A,A2024,D:D,D2024,E:E,I2024)</f>
        <v>0</v>
      </c>
    </row>
    <row r="2025" spans="1:14" x14ac:dyDescent="0.3">
      <c r="A2025" s="7" t="s">
        <v>112</v>
      </c>
      <c r="B2025" s="7" t="s">
        <v>113</v>
      </c>
      <c r="C2025" s="7" t="s">
        <v>64</v>
      </c>
      <c r="D2025" s="8">
        <v>45375</v>
      </c>
      <c r="E2025" s="8" t="str">
        <f t="shared" si="123"/>
        <v>March</v>
      </c>
      <c r="F2025">
        <f t="shared" si="124"/>
        <v>2024</v>
      </c>
      <c r="G2025">
        <f t="shared" si="125"/>
        <v>1</v>
      </c>
      <c r="H2025">
        <f t="shared" si="126"/>
        <v>0</v>
      </c>
      <c r="I2025" s="6">
        <v>0.37916666666666665</v>
      </c>
      <c r="J2025" s="6">
        <v>0.76527777777777772</v>
      </c>
      <c r="K2025" s="7" t="s">
        <v>13</v>
      </c>
      <c r="L2025" s="7" t="s">
        <v>14</v>
      </c>
      <c r="M2025" s="7" t="s">
        <v>15</v>
      </c>
      <c r="N2025" s="7">
        <f>COUNTIFS(A:A,A2025,D:D,D2025,E:E,I2025)</f>
        <v>0</v>
      </c>
    </row>
    <row r="2026" spans="1:14" x14ac:dyDescent="0.3">
      <c r="A2026" s="7" t="s">
        <v>66</v>
      </c>
      <c r="B2026" s="7" t="s">
        <v>67</v>
      </c>
      <c r="C2026" s="7" t="s">
        <v>60</v>
      </c>
      <c r="D2026" s="8">
        <v>45366</v>
      </c>
      <c r="E2026" s="8" t="str">
        <f t="shared" si="123"/>
        <v>March</v>
      </c>
      <c r="F2026">
        <f t="shared" si="124"/>
        <v>2024</v>
      </c>
      <c r="G2026">
        <f t="shared" si="125"/>
        <v>1</v>
      </c>
      <c r="H2026">
        <f t="shared" si="126"/>
        <v>1</v>
      </c>
      <c r="I2026" s="6">
        <v>0.4777777777777778</v>
      </c>
      <c r="J2026" s="6">
        <v>0.67777777777777781</v>
      </c>
      <c r="K2026" s="7" t="s">
        <v>26</v>
      </c>
      <c r="L2026" s="7" t="s">
        <v>27</v>
      </c>
      <c r="M2026" s="7" t="s">
        <v>15</v>
      </c>
      <c r="N2026" s="7">
        <f>COUNTIFS(A:A,A2026,D:D,D2026,E:E,I2026)</f>
        <v>0</v>
      </c>
    </row>
    <row r="2027" spans="1:14" x14ac:dyDescent="0.3">
      <c r="A2027" s="7" t="s">
        <v>224</v>
      </c>
      <c r="B2027" s="7" t="s">
        <v>225</v>
      </c>
      <c r="C2027" s="7" t="s">
        <v>425</v>
      </c>
      <c r="D2027" s="8">
        <v>45341</v>
      </c>
      <c r="E2027" s="8" t="str">
        <f t="shared" si="123"/>
        <v>February</v>
      </c>
      <c r="F2027">
        <f t="shared" si="124"/>
        <v>2024</v>
      </c>
      <c r="G2027">
        <f t="shared" si="125"/>
        <v>0</v>
      </c>
      <c r="H2027">
        <f t="shared" si="126"/>
        <v>0</v>
      </c>
      <c r="I2027" s="6"/>
      <c r="J2027" s="6"/>
      <c r="K2027" s="7" t="s">
        <v>44</v>
      </c>
      <c r="L2027" s="7" t="s">
        <v>27</v>
      </c>
      <c r="M2027" s="7" t="s">
        <v>15</v>
      </c>
      <c r="N2027" s="7">
        <f>COUNTIFS(A:A,A2027,D:D,D2027,E:E,I2027)</f>
        <v>0</v>
      </c>
    </row>
    <row r="2028" spans="1:14" x14ac:dyDescent="0.3">
      <c r="A2028" s="7" t="s">
        <v>130</v>
      </c>
      <c r="B2028" s="7" t="s">
        <v>131</v>
      </c>
      <c r="C2028" s="7" t="s">
        <v>60</v>
      </c>
      <c r="D2028" s="8">
        <v>45346</v>
      </c>
      <c r="E2028" s="8" t="str">
        <f t="shared" si="123"/>
        <v>February</v>
      </c>
      <c r="F2028">
        <f t="shared" si="124"/>
        <v>2024</v>
      </c>
      <c r="G2028">
        <f t="shared" si="125"/>
        <v>0</v>
      </c>
      <c r="H2028">
        <f t="shared" si="126"/>
        <v>0</v>
      </c>
      <c r="I2028" s="6"/>
      <c r="J2028" s="6"/>
      <c r="K2028" s="7" t="s">
        <v>44</v>
      </c>
      <c r="L2028" s="7" t="s">
        <v>27</v>
      </c>
      <c r="M2028" s="7" t="s">
        <v>21</v>
      </c>
      <c r="N2028" s="7">
        <f>COUNTIFS(A:A,A2028,D:D,D2028,E:E,I2028)</f>
        <v>0</v>
      </c>
    </row>
    <row r="2029" spans="1:14" x14ac:dyDescent="0.3">
      <c r="A2029" s="7" t="s">
        <v>28</v>
      </c>
      <c r="B2029" s="7" t="s">
        <v>29</v>
      </c>
      <c r="C2029" s="7" t="s">
        <v>426</v>
      </c>
      <c r="D2029" s="8">
        <v>45507</v>
      </c>
      <c r="E2029" s="8" t="str">
        <f t="shared" si="123"/>
        <v>August</v>
      </c>
      <c r="F2029">
        <f t="shared" si="124"/>
        <v>2024</v>
      </c>
      <c r="G2029">
        <f t="shared" si="125"/>
        <v>0</v>
      </c>
      <c r="H2029">
        <f t="shared" si="126"/>
        <v>0</v>
      </c>
      <c r="I2029" s="6"/>
      <c r="J2029" s="6"/>
      <c r="K2029" s="7" t="s">
        <v>44</v>
      </c>
      <c r="L2029" s="7" t="s">
        <v>14</v>
      </c>
      <c r="M2029" s="7" t="s">
        <v>15</v>
      </c>
      <c r="N2029" s="7">
        <f>COUNTIFS(A:A,A2029,D:D,D2029,E:E,I2029)</f>
        <v>0</v>
      </c>
    </row>
    <row r="2030" spans="1:14" x14ac:dyDescent="0.3">
      <c r="A2030" s="7" t="s">
        <v>69</v>
      </c>
      <c r="B2030" s="7" t="s">
        <v>70</v>
      </c>
      <c r="C2030" s="7" t="s">
        <v>42</v>
      </c>
      <c r="D2030" s="8">
        <v>45308</v>
      </c>
      <c r="E2030" s="8" t="str">
        <f t="shared" si="123"/>
        <v>January</v>
      </c>
      <c r="F2030">
        <f t="shared" si="124"/>
        <v>2024</v>
      </c>
      <c r="G2030">
        <f t="shared" si="125"/>
        <v>0</v>
      </c>
      <c r="H2030">
        <f t="shared" si="126"/>
        <v>0</v>
      </c>
      <c r="I2030" s="6"/>
      <c r="J2030" s="6"/>
      <c r="K2030" s="7" t="s">
        <v>44</v>
      </c>
      <c r="L2030" s="7" t="s">
        <v>14</v>
      </c>
      <c r="M2030" s="7" t="s">
        <v>21</v>
      </c>
      <c r="N2030" s="7">
        <f>COUNTIFS(A:A,A2030,D:D,D2030,E:E,I2030)</f>
        <v>0</v>
      </c>
    </row>
    <row r="2031" spans="1:14" x14ac:dyDescent="0.3">
      <c r="A2031" s="7" t="s">
        <v>315</v>
      </c>
      <c r="B2031" s="7" t="s">
        <v>316</v>
      </c>
      <c r="C2031" s="7" t="s">
        <v>64</v>
      </c>
      <c r="D2031" s="8">
        <v>45568</v>
      </c>
      <c r="E2031" s="8" t="str">
        <f t="shared" si="123"/>
        <v>October</v>
      </c>
      <c r="F2031">
        <f t="shared" si="124"/>
        <v>2024</v>
      </c>
      <c r="G2031">
        <f t="shared" si="125"/>
        <v>0</v>
      </c>
      <c r="H2031">
        <f t="shared" si="126"/>
        <v>0</v>
      </c>
      <c r="I2031" s="6"/>
      <c r="J2031" s="6"/>
      <c r="K2031" s="7" t="s">
        <v>44</v>
      </c>
      <c r="L2031" s="7" t="s">
        <v>27</v>
      </c>
      <c r="M2031" s="7" t="s">
        <v>15</v>
      </c>
      <c r="N2031" s="7">
        <f>COUNTIFS(A:A,A2031,D:D,D2031,E:E,I2031)</f>
        <v>0</v>
      </c>
    </row>
    <row r="2032" spans="1:14" x14ac:dyDescent="0.3">
      <c r="A2032" s="7" t="s">
        <v>28</v>
      </c>
      <c r="B2032" s="7" t="s">
        <v>29</v>
      </c>
      <c r="C2032" s="7" t="s">
        <v>64</v>
      </c>
      <c r="D2032" s="8">
        <v>45359</v>
      </c>
      <c r="E2032" s="8" t="str">
        <f t="shared" si="123"/>
        <v>March</v>
      </c>
      <c r="F2032">
        <f t="shared" si="124"/>
        <v>2024</v>
      </c>
      <c r="G2032">
        <f t="shared" si="125"/>
        <v>0</v>
      </c>
      <c r="H2032">
        <f t="shared" si="126"/>
        <v>0</v>
      </c>
      <c r="I2032" s="6"/>
      <c r="J2032" s="6"/>
      <c r="K2032" s="7" t="s">
        <v>44</v>
      </c>
      <c r="L2032" s="7" t="s">
        <v>27</v>
      </c>
      <c r="M2032" s="7" t="s">
        <v>15</v>
      </c>
      <c r="N2032" s="7">
        <f>COUNTIFS(A:A,A2032,D:D,D2032,E:E,I2032)</f>
        <v>0</v>
      </c>
    </row>
    <row r="2033" spans="1:14" x14ac:dyDescent="0.3">
      <c r="A2033" s="7" t="s">
        <v>269</v>
      </c>
      <c r="B2033" s="7" t="s">
        <v>270</v>
      </c>
      <c r="C2033" s="7" t="s">
        <v>42</v>
      </c>
      <c r="D2033" s="8">
        <v>45329</v>
      </c>
      <c r="E2033" s="8" t="str">
        <f t="shared" si="123"/>
        <v>February</v>
      </c>
      <c r="F2033">
        <f t="shared" si="124"/>
        <v>2024</v>
      </c>
      <c r="G2033">
        <f t="shared" si="125"/>
        <v>1</v>
      </c>
      <c r="H2033">
        <f t="shared" si="126"/>
        <v>0</v>
      </c>
      <c r="I2033" s="6">
        <v>0.44166666666666665</v>
      </c>
      <c r="J2033" s="6">
        <v>0.81180555555555556</v>
      </c>
      <c r="K2033" s="7" t="s">
        <v>13</v>
      </c>
      <c r="L2033" s="7" t="s">
        <v>14</v>
      </c>
      <c r="M2033" s="7" t="s">
        <v>15</v>
      </c>
      <c r="N2033" s="7">
        <f>COUNTIFS(A:A,A2033,D:D,D2033,E:E,I2033)</f>
        <v>0</v>
      </c>
    </row>
    <row r="2034" spans="1:14" x14ac:dyDescent="0.3">
      <c r="A2034" s="7" t="s">
        <v>194</v>
      </c>
      <c r="B2034" s="7" t="s">
        <v>195</v>
      </c>
      <c r="C2034" s="7" t="s">
        <v>425</v>
      </c>
      <c r="D2034" s="8">
        <v>45327</v>
      </c>
      <c r="E2034" s="8" t="str">
        <f t="shared" si="123"/>
        <v>February</v>
      </c>
      <c r="F2034">
        <f t="shared" si="124"/>
        <v>2024</v>
      </c>
      <c r="G2034">
        <f t="shared" si="125"/>
        <v>1</v>
      </c>
      <c r="H2034">
        <f t="shared" si="126"/>
        <v>0</v>
      </c>
      <c r="I2034" s="6">
        <v>0.35694444444444445</v>
      </c>
      <c r="J2034" s="6">
        <v>0.8666666666666667</v>
      </c>
      <c r="K2034" s="7" t="s">
        <v>13</v>
      </c>
      <c r="L2034" s="7" t="s">
        <v>27</v>
      </c>
      <c r="M2034" s="7" t="s">
        <v>21</v>
      </c>
      <c r="N2034" s="7">
        <f>COUNTIFS(A:A,A2034,D:D,D2034,E:E,I2034)</f>
        <v>0</v>
      </c>
    </row>
    <row r="2035" spans="1:14" x14ac:dyDescent="0.3">
      <c r="A2035" s="7" t="s">
        <v>122</v>
      </c>
      <c r="B2035" s="7" t="s">
        <v>123</v>
      </c>
      <c r="C2035" s="7" t="s">
        <v>42</v>
      </c>
      <c r="D2035" s="8">
        <v>45378</v>
      </c>
      <c r="E2035" s="8" t="str">
        <f t="shared" si="123"/>
        <v>March</v>
      </c>
      <c r="F2035">
        <f t="shared" si="124"/>
        <v>2024</v>
      </c>
      <c r="G2035">
        <f t="shared" si="125"/>
        <v>1</v>
      </c>
      <c r="H2035">
        <f t="shared" si="126"/>
        <v>0</v>
      </c>
      <c r="I2035" s="6">
        <v>0.38333333333333336</v>
      </c>
      <c r="J2035" s="6">
        <v>0.82013888888888886</v>
      </c>
      <c r="K2035" s="7" t="s">
        <v>20</v>
      </c>
      <c r="L2035" s="7" t="s">
        <v>27</v>
      </c>
      <c r="M2035" s="7" t="s">
        <v>15</v>
      </c>
      <c r="N2035" s="7">
        <f>COUNTIFS(A:A,A2035,D:D,D2035,E:E,I2035)</f>
        <v>0</v>
      </c>
    </row>
    <row r="2036" spans="1:14" x14ac:dyDescent="0.3">
      <c r="A2036" s="7" t="s">
        <v>130</v>
      </c>
      <c r="B2036" s="7" t="s">
        <v>131</v>
      </c>
      <c r="C2036" s="7" t="s">
        <v>60</v>
      </c>
      <c r="D2036" s="8">
        <v>45306</v>
      </c>
      <c r="E2036" s="8" t="str">
        <f t="shared" si="123"/>
        <v>January</v>
      </c>
      <c r="F2036">
        <f t="shared" si="124"/>
        <v>2024</v>
      </c>
      <c r="G2036">
        <f t="shared" si="125"/>
        <v>1</v>
      </c>
      <c r="H2036">
        <f t="shared" si="126"/>
        <v>0</v>
      </c>
      <c r="I2036" s="6">
        <v>0.45416666666666666</v>
      </c>
      <c r="J2036" s="6">
        <v>0.74027777777777781</v>
      </c>
      <c r="K2036" s="7" t="s">
        <v>13</v>
      </c>
      <c r="L2036" s="7" t="s">
        <v>27</v>
      </c>
      <c r="M2036" s="7" t="s">
        <v>21</v>
      </c>
      <c r="N2036" s="7">
        <f>COUNTIFS(A:A,A2036,D:D,D2036,E:E,I2036)</f>
        <v>0</v>
      </c>
    </row>
    <row r="2037" spans="1:14" x14ac:dyDescent="0.3">
      <c r="A2037" s="7" t="s">
        <v>134</v>
      </c>
      <c r="B2037" s="7" t="s">
        <v>135</v>
      </c>
      <c r="C2037" s="7" t="s">
        <v>42</v>
      </c>
      <c r="D2037" s="8">
        <v>45313</v>
      </c>
      <c r="E2037" s="8" t="str">
        <f t="shared" si="123"/>
        <v>January</v>
      </c>
      <c r="F2037">
        <f t="shared" si="124"/>
        <v>2024</v>
      </c>
      <c r="G2037">
        <f t="shared" si="125"/>
        <v>0</v>
      </c>
      <c r="H2037">
        <f t="shared" si="126"/>
        <v>0</v>
      </c>
      <c r="I2037" s="6"/>
      <c r="J2037" s="6"/>
      <c r="K2037" s="7" t="s">
        <v>44</v>
      </c>
      <c r="L2037" s="7" t="s">
        <v>27</v>
      </c>
      <c r="M2037" s="7" t="s">
        <v>21</v>
      </c>
      <c r="N2037" s="7">
        <f>COUNTIFS(A:A,A2037,D:D,D2037,E:E,I2037)</f>
        <v>0</v>
      </c>
    </row>
    <row r="2038" spans="1:14" x14ac:dyDescent="0.3">
      <c r="A2038" s="7" t="s">
        <v>213</v>
      </c>
      <c r="B2038" s="7" t="s">
        <v>214</v>
      </c>
      <c r="C2038" s="7" t="s">
        <v>425</v>
      </c>
      <c r="D2038" s="8">
        <v>45324</v>
      </c>
      <c r="E2038" s="8" t="str">
        <f t="shared" si="123"/>
        <v>February</v>
      </c>
      <c r="F2038">
        <f t="shared" si="124"/>
        <v>2024</v>
      </c>
      <c r="G2038">
        <f t="shared" si="125"/>
        <v>1</v>
      </c>
      <c r="H2038">
        <f t="shared" si="126"/>
        <v>0</v>
      </c>
      <c r="I2038" s="6">
        <v>0.36458333333333331</v>
      </c>
      <c r="J2038" s="6">
        <v>0.78888888888888886</v>
      </c>
      <c r="K2038" s="7" t="s">
        <v>13</v>
      </c>
      <c r="L2038" s="7" t="s">
        <v>14</v>
      </c>
      <c r="M2038" s="7" t="s">
        <v>15</v>
      </c>
      <c r="N2038" s="7">
        <f>COUNTIFS(A:A,A2038,D:D,D2038,E:E,I2038)</f>
        <v>0</v>
      </c>
    </row>
    <row r="2039" spans="1:14" x14ac:dyDescent="0.3">
      <c r="A2039" s="7" t="s">
        <v>146</v>
      </c>
      <c r="B2039" s="7" t="s">
        <v>147</v>
      </c>
      <c r="C2039" s="7" t="s">
        <v>425</v>
      </c>
      <c r="D2039" s="8">
        <v>45369</v>
      </c>
      <c r="E2039" s="8" t="str">
        <f t="shared" si="123"/>
        <v>March</v>
      </c>
      <c r="F2039">
        <f t="shared" si="124"/>
        <v>2024</v>
      </c>
      <c r="G2039">
        <f t="shared" si="125"/>
        <v>0</v>
      </c>
      <c r="H2039">
        <f t="shared" si="126"/>
        <v>0</v>
      </c>
      <c r="I2039" s="6"/>
      <c r="J2039" s="6"/>
      <c r="K2039" s="7" t="s">
        <v>44</v>
      </c>
      <c r="L2039" s="7" t="s">
        <v>27</v>
      </c>
      <c r="M2039" s="7" t="s">
        <v>15</v>
      </c>
      <c r="N2039" s="7">
        <f>COUNTIFS(A:A,A2039,D:D,D2039,E:E,I2039)</f>
        <v>0</v>
      </c>
    </row>
    <row r="2040" spans="1:14" x14ac:dyDescent="0.3">
      <c r="A2040" s="7" t="s">
        <v>48</v>
      </c>
      <c r="B2040" s="7" t="s">
        <v>49</v>
      </c>
      <c r="C2040" s="7" t="s">
        <v>64</v>
      </c>
      <c r="D2040" s="8">
        <v>45349</v>
      </c>
      <c r="E2040" s="8" t="str">
        <f t="shared" si="123"/>
        <v>February</v>
      </c>
      <c r="F2040">
        <f t="shared" si="124"/>
        <v>2024</v>
      </c>
      <c r="G2040">
        <f t="shared" si="125"/>
        <v>1</v>
      </c>
      <c r="H2040">
        <f t="shared" si="126"/>
        <v>0</v>
      </c>
      <c r="I2040" s="6">
        <v>0.38333333333333336</v>
      </c>
      <c r="J2040" s="6">
        <v>0.67500000000000004</v>
      </c>
      <c r="K2040" s="7" t="s">
        <v>20</v>
      </c>
      <c r="L2040" s="7" t="s">
        <v>14</v>
      </c>
      <c r="M2040" s="7" t="s">
        <v>21</v>
      </c>
      <c r="N2040" s="7">
        <f>COUNTIFS(A:A,A2040,D:D,D2040,E:E,I2040)</f>
        <v>0</v>
      </c>
    </row>
    <row r="2041" spans="1:14" x14ac:dyDescent="0.3">
      <c r="A2041" s="7" t="s">
        <v>197</v>
      </c>
      <c r="B2041" s="7" t="s">
        <v>198</v>
      </c>
      <c r="C2041" s="7" t="s">
        <v>42</v>
      </c>
      <c r="D2041" s="8">
        <v>45294</v>
      </c>
      <c r="E2041" s="8" t="str">
        <f t="shared" si="123"/>
        <v>January</v>
      </c>
      <c r="F2041">
        <f t="shared" si="124"/>
        <v>2024</v>
      </c>
      <c r="G2041">
        <f t="shared" si="125"/>
        <v>1</v>
      </c>
      <c r="H2041">
        <f t="shared" si="126"/>
        <v>0</v>
      </c>
      <c r="I2041" s="6">
        <v>0.43055555555555558</v>
      </c>
      <c r="J2041" s="6">
        <v>0.68263888888888891</v>
      </c>
      <c r="K2041" s="7" t="s">
        <v>13</v>
      </c>
      <c r="L2041" s="7" t="s">
        <v>27</v>
      </c>
      <c r="M2041" s="7" t="s">
        <v>15</v>
      </c>
      <c r="N2041" s="7">
        <f>COUNTIFS(A:A,A2041,D:D,D2041,E:E,I2041)</f>
        <v>0</v>
      </c>
    </row>
    <row r="2042" spans="1:14" x14ac:dyDescent="0.3">
      <c r="A2042" s="7" t="s">
        <v>204</v>
      </c>
      <c r="B2042" s="7" t="s">
        <v>205</v>
      </c>
      <c r="C2042" s="7" t="s">
        <v>42</v>
      </c>
      <c r="D2042" s="8">
        <v>45505</v>
      </c>
      <c r="E2042" s="8" t="str">
        <f t="shared" si="123"/>
        <v>August</v>
      </c>
      <c r="F2042">
        <f t="shared" si="124"/>
        <v>2024</v>
      </c>
      <c r="G2042">
        <f t="shared" si="125"/>
        <v>0</v>
      </c>
      <c r="H2042">
        <f t="shared" si="126"/>
        <v>0</v>
      </c>
      <c r="I2042" s="6"/>
      <c r="J2042" s="6"/>
      <c r="K2042" s="7" t="s">
        <v>44</v>
      </c>
      <c r="L2042" s="7" t="s">
        <v>14</v>
      </c>
      <c r="M2042" s="7" t="s">
        <v>15</v>
      </c>
      <c r="N2042" s="7">
        <f>COUNTIFS(A:A,A2042,D:D,D2042,E:E,I2042)</f>
        <v>0</v>
      </c>
    </row>
    <row r="2043" spans="1:14" x14ac:dyDescent="0.3">
      <c r="A2043" s="7" t="s">
        <v>102</v>
      </c>
      <c r="B2043" s="7" t="s">
        <v>103</v>
      </c>
      <c r="C2043" s="7" t="s">
        <v>425</v>
      </c>
      <c r="D2043" s="8">
        <v>45296</v>
      </c>
      <c r="E2043" s="8" t="str">
        <f t="shared" si="123"/>
        <v>January</v>
      </c>
      <c r="F2043">
        <f t="shared" si="124"/>
        <v>2024</v>
      </c>
      <c r="G2043">
        <f t="shared" si="125"/>
        <v>0</v>
      </c>
      <c r="H2043">
        <f t="shared" si="126"/>
        <v>0</v>
      </c>
      <c r="I2043" s="6"/>
      <c r="J2043" s="6"/>
      <c r="K2043" s="7" t="s">
        <v>44</v>
      </c>
      <c r="L2043" s="7" t="s">
        <v>27</v>
      </c>
      <c r="M2043" s="7" t="s">
        <v>15</v>
      </c>
      <c r="N2043" s="7">
        <f>COUNTIFS(A:A,A2043,D:D,D2043,E:E,I2043)</f>
        <v>0</v>
      </c>
    </row>
    <row r="2044" spans="1:14" x14ac:dyDescent="0.3">
      <c r="A2044" s="7" t="s">
        <v>191</v>
      </c>
      <c r="B2044" s="7" t="s">
        <v>192</v>
      </c>
      <c r="C2044" s="7" t="s">
        <v>425</v>
      </c>
      <c r="D2044" s="8">
        <v>45330</v>
      </c>
      <c r="E2044" s="8" t="str">
        <f t="shared" si="123"/>
        <v>February</v>
      </c>
      <c r="F2044">
        <f t="shared" si="124"/>
        <v>2024</v>
      </c>
      <c r="G2044">
        <f t="shared" si="125"/>
        <v>1</v>
      </c>
      <c r="H2044">
        <f t="shared" si="126"/>
        <v>1</v>
      </c>
      <c r="I2044" s="6">
        <v>0.40694444444444444</v>
      </c>
      <c r="J2044" s="6">
        <v>0.76180555555555551</v>
      </c>
      <c r="K2044" s="7" t="s">
        <v>26</v>
      </c>
      <c r="L2044" s="7" t="s">
        <v>14</v>
      </c>
      <c r="M2044" s="7" t="s">
        <v>15</v>
      </c>
      <c r="N2044" s="7">
        <f>COUNTIFS(A:A,A2044,D:D,D2044,E:E,I2044)</f>
        <v>0</v>
      </c>
    </row>
    <row r="2045" spans="1:14" x14ac:dyDescent="0.3">
      <c r="A2045" s="7" t="s">
        <v>204</v>
      </c>
      <c r="B2045" s="7" t="s">
        <v>205</v>
      </c>
      <c r="C2045" s="7" t="s">
        <v>60</v>
      </c>
      <c r="D2045" s="8">
        <v>45310</v>
      </c>
      <c r="E2045" s="8" t="str">
        <f t="shared" si="123"/>
        <v>January</v>
      </c>
      <c r="F2045">
        <f t="shared" si="124"/>
        <v>2024</v>
      </c>
      <c r="G2045">
        <f t="shared" si="125"/>
        <v>1</v>
      </c>
      <c r="H2045">
        <f t="shared" si="126"/>
        <v>0</v>
      </c>
      <c r="I2045" s="6">
        <v>0.49791666666666667</v>
      </c>
      <c r="J2045" s="6">
        <v>0.81666666666666665</v>
      </c>
      <c r="K2045" s="7" t="s">
        <v>13</v>
      </c>
      <c r="L2045" s="7" t="s">
        <v>14</v>
      </c>
      <c r="M2045" s="7" t="s">
        <v>21</v>
      </c>
      <c r="N2045" s="7">
        <f>COUNTIFS(A:A,A2045,D:D,D2045,E:E,I2045)</f>
        <v>0</v>
      </c>
    </row>
    <row r="2046" spans="1:14" x14ac:dyDescent="0.3">
      <c r="A2046" s="7" t="s">
        <v>72</v>
      </c>
      <c r="B2046" s="7" t="s">
        <v>73</v>
      </c>
      <c r="C2046" s="7" t="s">
        <v>60</v>
      </c>
      <c r="D2046" s="8">
        <v>45325</v>
      </c>
      <c r="E2046" s="8" t="str">
        <f t="shared" si="123"/>
        <v>February</v>
      </c>
      <c r="F2046">
        <f t="shared" si="124"/>
        <v>2024</v>
      </c>
      <c r="G2046">
        <f t="shared" si="125"/>
        <v>0</v>
      </c>
      <c r="H2046">
        <f t="shared" si="126"/>
        <v>0</v>
      </c>
      <c r="I2046" s="6"/>
      <c r="J2046" s="6"/>
      <c r="K2046" s="7" t="s">
        <v>44</v>
      </c>
      <c r="L2046" s="7" t="s">
        <v>27</v>
      </c>
      <c r="M2046" s="7" t="s">
        <v>15</v>
      </c>
      <c r="N2046" s="7">
        <f>COUNTIFS(A:A,A2046,D:D,D2046,E:E,I2046)</f>
        <v>0</v>
      </c>
    </row>
    <row r="2047" spans="1:14" x14ac:dyDescent="0.3">
      <c r="A2047" s="7" t="s">
        <v>90</v>
      </c>
      <c r="B2047" s="7" t="s">
        <v>91</v>
      </c>
      <c r="C2047" s="7" t="s">
        <v>60</v>
      </c>
      <c r="D2047" s="8">
        <v>45349</v>
      </c>
      <c r="E2047" s="8" t="str">
        <f t="shared" si="123"/>
        <v>February</v>
      </c>
      <c r="F2047">
        <f t="shared" si="124"/>
        <v>2024</v>
      </c>
      <c r="G2047">
        <f t="shared" si="125"/>
        <v>1</v>
      </c>
      <c r="H2047">
        <f t="shared" si="126"/>
        <v>0</v>
      </c>
      <c r="I2047" s="6">
        <v>0.44861111111111113</v>
      </c>
      <c r="J2047" s="6">
        <v>0.69166666666666665</v>
      </c>
      <c r="K2047" s="7" t="s">
        <v>13</v>
      </c>
      <c r="L2047" s="7" t="s">
        <v>27</v>
      </c>
      <c r="M2047" s="7" t="s">
        <v>21</v>
      </c>
      <c r="N2047" s="7">
        <f>COUNTIFS(A:A,A2047,D:D,D2047,E:E,I2047)</f>
        <v>0</v>
      </c>
    </row>
    <row r="2048" spans="1:14" x14ac:dyDescent="0.3">
      <c r="A2048" s="7" t="s">
        <v>28</v>
      </c>
      <c r="B2048" s="7" t="s">
        <v>29</v>
      </c>
      <c r="C2048" s="7" t="s">
        <v>426</v>
      </c>
      <c r="D2048" s="8">
        <v>45346</v>
      </c>
      <c r="E2048" s="8" t="str">
        <f t="shared" si="123"/>
        <v>February</v>
      </c>
      <c r="F2048">
        <f t="shared" si="124"/>
        <v>2024</v>
      </c>
      <c r="G2048">
        <f t="shared" si="125"/>
        <v>1</v>
      </c>
      <c r="H2048">
        <f t="shared" si="126"/>
        <v>0</v>
      </c>
      <c r="I2048" s="6">
        <v>0.36388888888888887</v>
      </c>
      <c r="J2048" s="6">
        <v>0.72361111111111109</v>
      </c>
      <c r="K2048" s="7" t="s">
        <v>13</v>
      </c>
      <c r="L2048" s="7" t="s">
        <v>27</v>
      </c>
      <c r="M2048" s="7" t="s">
        <v>15</v>
      </c>
      <c r="N2048" s="7">
        <f>COUNTIFS(A:A,A2048,D:D,D2048,E:E,I2048)</f>
        <v>0</v>
      </c>
    </row>
    <row r="2049" spans="1:14" x14ac:dyDescent="0.3">
      <c r="A2049" s="7" t="s">
        <v>194</v>
      </c>
      <c r="B2049" s="7" t="s">
        <v>195</v>
      </c>
      <c r="C2049" s="7" t="s">
        <v>64</v>
      </c>
      <c r="D2049" s="8">
        <v>45373</v>
      </c>
      <c r="E2049" s="8" t="str">
        <f t="shared" si="123"/>
        <v>March</v>
      </c>
      <c r="F2049">
        <f t="shared" si="124"/>
        <v>2024</v>
      </c>
      <c r="G2049">
        <f t="shared" si="125"/>
        <v>0</v>
      </c>
      <c r="H2049">
        <f t="shared" si="126"/>
        <v>0</v>
      </c>
      <c r="I2049" s="6"/>
      <c r="J2049" s="6"/>
      <c r="K2049" s="7" t="s">
        <v>44</v>
      </c>
      <c r="L2049" s="7" t="s">
        <v>14</v>
      </c>
      <c r="M2049" s="7" t="s">
        <v>21</v>
      </c>
      <c r="N2049" s="7">
        <f>COUNTIFS(A:A,A2049,D:D,D2049,E:E,I2049)</f>
        <v>0</v>
      </c>
    </row>
    <row r="2050" spans="1:14" x14ac:dyDescent="0.3">
      <c r="A2050" s="7" t="s">
        <v>194</v>
      </c>
      <c r="B2050" s="7" t="s">
        <v>195</v>
      </c>
      <c r="C2050" s="7" t="s">
        <v>42</v>
      </c>
      <c r="D2050" s="8">
        <v>45343</v>
      </c>
      <c r="E2050" s="8" t="str">
        <f t="shared" ref="E2050:E2113" si="127">TEXT(D2050,"mmmm")</f>
        <v>February</v>
      </c>
      <c r="F2050">
        <f t="shared" ref="F2050:F2113" si="128">YEAR(D2050)</f>
        <v>2024</v>
      </c>
      <c r="G2050">
        <f t="shared" ref="G2050:G2113" si="129">IF(LOWER(K2050)="absent",0,1)</f>
        <v>1</v>
      </c>
      <c r="H2050">
        <f t="shared" ref="H2050:H2113" si="130">IF(K2050="Late",1,0)</f>
        <v>0</v>
      </c>
      <c r="I2050" s="6">
        <v>0.35138888888888886</v>
      </c>
      <c r="J2050" s="6">
        <v>0.77083333333333337</v>
      </c>
      <c r="K2050" s="7" t="s">
        <v>13</v>
      </c>
      <c r="L2050" s="7" t="s">
        <v>27</v>
      </c>
      <c r="M2050" s="7" t="s">
        <v>15</v>
      </c>
      <c r="N2050" s="7">
        <f>COUNTIFS(A:A,A2050,D:D,D2050,E:E,I2050)</f>
        <v>0</v>
      </c>
    </row>
    <row r="2051" spans="1:14" x14ac:dyDescent="0.3">
      <c r="A2051" s="7" t="s">
        <v>9</v>
      </c>
      <c r="B2051" s="7" t="s">
        <v>10</v>
      </c>
      <c r="C2051" s="7" t="s">
        <v>60</v>
      </c>
      <c r="D2051" s="8">
        <v>45629</v>
      </c>
      <c r="E2051" s="8" t="str">
        <f t="shared" si="127"/>
        <v>December</v>
      </c>
      <c r="F2051">
        <f t="shared" si="128"/>
        <v>2024</v>
      </c>
      <c r="G2051">
        <f t="shared" si="129"/>
        <v>1</v>
      </c>
      <c r="H2051">
        <f t="shared" si="130"/>
        <v>1</v>
      </c>
      <c r="I2051" s="6">
        <v>0.46875</v>
      </c>
      <c r="J2051" s="6">
        <v>0.68055555555555558</v>
      </c>
      <c r="K2051" s="7" t="s">
        <v>26</v>
      </c>
      <c r="L2051" s="7" t="s">
        <v>27</v>
      </c>
      <c r="M2051" s="7" t="s">
        <v>21</v>
      </c>
      <c r="N2051" s="7">
        <f>COUNTIFS(A:A,A2051,D:D,D2051,E:E,I2051)</f>
        <v>0</v>
      </c>
    </row>
    <row r="2052" spans="1:14" x14ac:dyDescent="0.3">
      <c r="A2052" s="7" t="s">
        <v>200</v>
      </c>
      <c r="B2052" s="7" t="s">
        <v>201</v>
      </c>
      <c r="C2052" s="7" t="s">
        <v>425</v>
      </c>
      <c r="D2052" s="8">
        <v>45505</v>
      </c>
      <c r="E2052" s="8" t="str">
        <f t="shared" si="127"/>
        <v>August</v>
      </c>
      <c r="F2052">
        <f t="shared" si="128"/>
        <v>2024</v>
      </c>
      <c r="G2052">
        <f t="shared" si="129"/>
        <v>0</v>
      </c>
      <c r="H2052">
        <f t="shared" si="130"/>
        <v>0</v>
      </c>
      <c r="I2052" s="6"/>
      <c r="J2052" s="6"/>
      <c r="K2052" s="7" t="s">
        <v>44</v>
      </c>
      <c r="L2052" s="7" t="s">
        <v>14</v>
      </c>
      <c r="M2052" s="7" t="s">
        <v>21</v>
      </c>
      <c r="N2052" s="7">
        <f>COUNTIFS(A:A,A2052,D:D,D2052,E:E,I2052)</f>
        <v>0</v>
      </c>
    </row>
    <row r="2053" spans="1:14" x14ac:dyDescent="0.3">
      <c r="A2053" s="7" t="s">
        <v>157</v>
      </c>
      <c r="B2053" s="7" t="s">
        <v>158</v>
      </c>
      <c r="C2053" s="7" t="s">
        <v>64</v>
      </c>
      <c r="D2053" s="8">
        <v>45320</v>
      </c>
      <c r="E2053" s="8" t="str">
        <f t="shared" si="127"/>
        <v>January</v>
      </c>
      <c r="F2053">
        <f t="shared" si="128"/>
        <v>2024</v>
      </c>
      <c r="G2053">
        <f t="shared" si="129"/>
        <v>1</v>
      </c>
      <c r="H2053">
        <f t="shared" si="130"/>
        <v>0</v>
      </c>
      <c r="I2053" s="6">
        <v>0.41249999999999998</v>
      </c>
      <c r="J2053" s="6">
        <v>0.82847222222222228</v>
      </c>
      <c r="K2053" s="7" t="s">
        <v>20</v>
      </c>
      <c r="L2053" s="7" t="s">
        <v>14</v>
      </c>
      <c r="M2053" s="7" t="s">
        <v>21</v>
      </c>
      <c r="N2053" s="7">
        <f>COUNTIFS(A:A,A2053,D:D,D2053,E:E,I2053)</f>
        <v>0</v>
      </c>
    </row>
    <row r="2054" spans="1:14" x14ac:dyDescent="0.3">
      <c r="A2054" s="7" t="s">
        <v>246</v>
      </c>
      <c r="B2054" s="7" t="s">
        <v>247</v>
      </c>
      <c r="C2054" s="7" t="s">
        <v>64</v>
      </c>
      <c r="D2054" s="8">
        <v>45377</v>
      </c>
      <c r="E2054" s="8" t="str">
        <f t="shared" si="127"/>
        <v>March</v>
      </c>
      <c r="F2054">
        <f t="shared" si="128"/>
        <v>2024</v>
      </c>
      <c r="G2054">
        <f t="shared" si="129"/>
        <v>1</v>
      </c>
      <c r="H2054">
        <f t="shared" si="130"/>
        <v>0</v>
      </c>
      <c r="I2054" s="6">
        <v>0.33958333333333335</v>
      </c>
      <c r="J2054" s="6">
        <v>0.7270833333333333</v>
      </c>
      <c r="K2054" s="7" t="s">
        <v>20</v>
      </c>
      <c r="L2054" s="7" t="s">
        <v>27</v>
      </c>
      <c r="M2054" s="7" t="s">
        <v>21</v>
      </c>
      <c r="N2054" s="7">
        <f>COUNTIFS(A:A,A2054,D:D,D2054,E:E,I2054)</f>
        <v>0</v>
      </c>
    </row>
    <row r="2055" spans="1:14" x14ac:dyDescent="0.3">
      <c r="A2055" s="7" t="s">
        <v>130</v>
      </c>
      <c r="B2055" s="7" t="s">
        <v>131</v>
      </c>
      <c r="C2055" s="7" t="s">
        <v>425</v>
      </c>
      <c r="D2055" s="8">
        <v>45374</v>
      </c>
      <c r="E2055" s="8" t="str">
        <f t="shared" si="127"/>
        <v>March</v>
      </c>
      <c r="F2055">
        <f t="shared" si="128"/>
        <v>2024</v>
      </c>
      <c r="G2055">
        <f t="shared" si="129"/>
        <v>1</v>
      </c>
      <c r="H2055">
        <f t="shared" si="130"/>
        <v>1</v>
      </c>
      <c r="I2055" s="6">
        <v>0.43263888888888891</v>
      </c>
      <c r="J2055" s="6">
        <v>0.78472222222222221</v>
      </c>
      <c r="K2055" s="7" t="s">
        <v>26</v>
      </c>
      <c r="L2055" s="7" t="s">
        <v>14</v>
      </c>
      <c r="M2055" s="7" t="s">
        <v>21</v>
      </c>
      <c r="N2055" s="7">
        <f>COUNTIFS(A:A,A2055,D:D,D2055,E:E,I2055)</f>
        <v>0</v>
      </c>
    </row>
    <row r="2056" spans="1:14" x14ac:dyDescent="0.3">
      <c r="A2056" s="7" t="s">
        <v>130</v>
      </c>
      <c r="B2056" s="7" t="s">
        <v>131</v>
      </c>
      <c r="C2056" s="7" t="s">
        <v>425</v>
      </c>
      <c r="D2056" s="8">
        <v>45353</v>
      </c>
      <c r="E2056" s="8" t="str">
        <f t="shared" si="127"/>
        <v>March</v>
      </c>
      <c r="F2056">
        <f t="shared" si="128"/>
        <v>2024</v>
      </c>
      <c r="G2056">
        <f t="shared" si="129"/>
        <v>1</v>
      </c>
      <c r="H2056">
        <f t="shared" si="130"/>
        <v>0</v>
      </c>
      <c r="I2056" s="6">
        <v>0.35069444444444442</v>
      </c>
      <c r="J2056" s="6">
        <v>0.8520833333333333</v>
      </c>
      <c r="K2056" s="7" t="s">
        <v>13</v>
      </c>
      <c r="L2056" s="7" t="s">
        <v>27</v>
      </c>
      <c r="M2056" s="7" t="s">
        <v>15</v>
      </c>
      <c r="N2056" s="7">
        <f>COUNTIFS(A:A,A2056,D:D,D2056,E:E,I2056)</f>
        <v>0</v>
      </c>
    </row>
    <row r="2057" spans="1:14" x14ac:dyDescent="0.3">
      <c r="A2057" s="7" t="s">
        <v>93</v>
      </c>
      <c r="B2057" s="7" t="s">
        <v>94</v>
      </c>
      <c r="C2057" s="7" t="s">
        <v>425</v>
      </c>
      <c r="D2057" s="8">
        <v>45474</v>
      </c>
      <c r="E2057" s="8" t="str">
        <f t="shared" si="127"/>
        <v>July</v>
      </c>
      <c r="F2057">
        <f t="shared" si="128"/>
        <v>2024</v>
      </c>
      <c r="G2057">
        <f t="shared" si="129"/>
        <v>1</v>
      </c>
      <c r="H2057">
        <f t="shared" si="130"/>
        <v>0</v>
      </c>
      <c r="I2057" s="6">
        <v>0.46805555555555556</v>
      </c>
      <c r="J2057" s="6">
        <v>0.80763888888888891</v>
      </c>
      <c r="K2057" s="7" t="s">
        <v>13</v>
      </c>
      <c r="L2057" s="7" t="s">
        <v>14</v>
      </c>
      <c r="M2057" s="7" t="s">
        <v>21</v>
      </c>
      <c r="N2057" s="7">
        <f>COUNTIFS(A:A,A2057,D:D,D2057,E:E,I2057)</f>
        <v>0</v>
      </c>
    </row>
    <row r="2058" spans="1:14" x14ac:dyDescent="0.3">
      <c r="A2058" s="7" t="s">
        <v>150</v>
      </c>
      <c r="B2058" s="7" t="s">
        <v>151</v>
      </c>
      <c r="C2058" s="7" t="s">
        <v>425</v>
      </c>
      <c r="D2058" s="8">
        <v>45332</v>
      </c>
      <c r="E2058" s="8" t="str">
        <f t="shared" si="127"/>
        <v>February</v>
      </c>
      <c r="F2058">
        <f t="shared" si="128"/>
        <v>2024</v>
      </c>
      <c r="G2058">
        <f t="shared" si="129"/>
        <v>1</v>
      </c>
      <c r="H2058">
        <f t="shared" si="130"/>
        <v>0</v>
      </c>
      <c r="I2058" s="6">
        <v>0.35347222222222224</v>
      </c>
      <c r="J2058" s="6">
        <v>0.84097222222222223</v>
      </c>
      <c r="K2058" s="7" t="s">
        <v>20</v>
      </c>
      <c r="L2058" s="7" t="s">
        <v>27</v>
      </c>
      <c r="M2058" s="7" t="s">
        <v>21</v>
      </c>
      <c r="N2058" s="7">
        <f>COUNTIFS(A:A,A2058,D:D,D2058,E:E,I2058)</f>
        <v>0</v>
      </c>
    </row>
    <row r="2059" spans="1:14" x14ac:dyDescent="0.3">
      <c r="A2059" s="7" t="s">
        <v>109</v>
      </c>
      <c r="B2059" s="7" t="s">
        <v>110</v>
      </c>
      <c r="C2059" s="7" t="s">
        <v>64</v>
      </c>
      <c r="D2059" s="8">
        <v>45383</v>
      </c>
      <c r="E2059" s="8" t="str">
        <f t="shared" si="127"/>
        <v>April</v>
      </c>
      <c r="F2059">
        <f t="shared" si="128"/>
        <v>2024</v>
      </c>
      <c r="G2059">
        <f t="shared" si="129"/>
        <v>1</v>
      </c>
      <c r="H2059">
        <f t="shared" si="130"/>
        <v>1</v>
      </c>
      <c r="I2059" s="6">
        <v>0.34513888888888888</v>
      </c>
      <c r="J2059" s="6">
        <v>0.80833333333333335</v>
      </c>
      <c r="K2059" s="7" t="s">
        <v>26</v>
      </c>
      <c r="L2059" s="7" t="s">
        <v>14</v>
      </c>
      <c r="M2059" s="7" t="s">
        <v>15</v>
      </c>
      <c r="N2059" s="7">
        <f>COUNTIFS(A:A,A2059,D:D,D2059,E:E,I2059)</f>
        <v>0</v>
      </c>
    </row>
    <row r="2060" spans="1:14" x14ac:dyDescent="0.3">
      <c r="A2060" s="7" t="s">
        <v>28</v>
      </c>
      <c r="B2060" s="7" t="s">
        <v>29</v>
      </c>
      <c r="C2060" s="7" t="s">
        <v>425</v>
      </c>
      <c r="D2060" s="8">
        <v>45336</v>
      </c>
      <c r="E2060" s="8" t="str">
        <f t="shared" si="127"/>
        <v>February</v>
      </c>
      <c r="F2060">
        <f t="shared" si="128"/>
        <v>2024</v>
      </c>
      <c r="G2060">
        <f t="shared" si="129"/>
        <v>1</v>
      </c>
      <c r="H2060">
        <f t="shared" si="130"/>
        <v>0</v>
      </c>
      <c r="I2060" s="6">
        <v>0.40486111111111112</v>
      </c>
      <c r="J2060" s="6">
        <v>0.73958333333333337</v>
      </c>
      <c r="K2060" s="7" t="s">
        <v>13</v>
      </c>
      <c r="L2060" s="7" t="s">
        <v>14</v>
      </c>
      <c r="M2060" s="7" t="s">
        <v>15</v>
      </c>
      <c r="N2060" s="7">
        <f>COUNTIFS(A:A,A2060,D:D,D2060,E:E,I2060)</f>
        <v>0</v>
      </c>
    </row>
    <row r="2061" spans="1:14" x14ac:dyDescent="0.3">
      <c r="A2061" s="7" t="s">
        <v>130</v>
      </c>
      <c r="B2061" s="7" t="s">
        <v>131</v>
      </c>
      <c r="C2061" s="7" t="s">
        <v>42</v>
      </c>
      <c r="D2061" s="8">
        <v>45327</v>
      </c>
      <c r="E2061" s="8" t="str">
        <f t="shared" si="127"/>
        <v>February</v>
      </c>
      <c r="F2061">
        <f t="shared" si="128"/>
        <v>2024</v>
      </c>
      <c r="G2061">
        <f t="shared" si="129"/>
        <v>0</v>
      </c>
      <c r="H2061">
        <f t="shared" si="130"/>
        <v>0</v>
      </c>
      <c r="I2061" s="6"/>
      <c r="J2061" s="6"/>
      <c r="K2061" s="7" t="s">
        <v>44</v>
      </c>
      <c r="L2061" s="7" t="s">
        <v>27</v>
      </c>
      <c r="M2061" s="7" t="s">
        <v>21</v>
      </c>
      <c r="N2061" s="7">
        <f>COUNTIFS(A:A,A2061,D:D,D2061,E:E,I2061)</f>
        <v>0</v>
      </c>
    </row>
    <row r="2062" spans="1:14" x14ac:dyDescent="0.3">
      <c r="A2062" s="7" t="s">
        <v>204</v>
      </c>
      <c r="B2062" s="7" t="s">
        <v>205</v>
      </c>
      <c r="C2062" s="7" t="s">
        <v>64</v>
      </c>
      <c r="D2062" s="8">
        <v>45294</v>
      </c>
      <c r="E2062" s="8" t="str">
        <f t="shared" si="127"/>
        <v>January</v>
      </c>
      <c r="F2062">
        <f t="shared" si="128"/>
        <v>2024</v>
      </c>
      <c r="G2062">
        <f t="shared" si="129"/>
        <v>0</v>
      </c>
      <c r="H2062">
        <f t="shared" si="130"/>
        <v>0</v>
      </c>
      <c r="I2062" s="6"/>
      <c r="J2062" s="6"/>
      <c r="K2062" s="7" t="s">
        <v>44</v>
      </c>
      <c r="L2062" s="7" t="s">
        <v>14</v>
      </c>
      <c r="M2062" s="7" t="s">
        <v>15</v>
      </c>
      <c r="N2062" s="7">
        <f>COUNTIFS(A:A,A2062,D:D,D2062,E:E,I2062)</f>
        <v>0</v>
      </c>
    </row>
    <row r="2063" spans="1:14" x14ac:dyDescent="0.3">
      <c r="A2063" s="7" t="s">
        <v>187</v>
      </c>
      <c r="B2063" s="7" t="s">
        <v>188</v>
      </c>
      <c r="C2063" s="7" t="s">
        <v>425</v>
      </c>
      <c r="D2063" s="8">
        <v>45349</v>
      </c>
      <c r="E2063" s="8" t="str">
        <f t="shared" si="127"/>
        <v>February</v>
      </c>
      <c r="F2063">
        <f t="shared" si="128"/>
        <v>2024</v>
      </c>
      <c r="G2063">
        <f t="shared" si="129"/>
        <v>1</v>
      </c>
      <c r="H2063">
        <f t="shared" si="130"/>
        <v>0</v>
      </c>
      <c r="I2063" s="6">
        <v>0.44374999999999998</v>
      </c>
      <c r="J2063" s="6">
        <v>0.7729166666666667</v>
      </c>
      <c r="K2063" s="7" t="s">
        <v>13</v>
      </c>
      <c r="L2063" s="7" t="s">
        <v>14</v>
      </c>
      <c r="M2063" s="7" t="s">
        <v>21</v>
      </c>
      <c r="N2063" s="7">
        <f>COUNTIFS(A:A,A2063,D:D,D2063,E:E,I2063)</f>
        <v>0</v>
      </c>
    </row>
    <row r="2064" spans="1:14" x14ac:dyDescent="0.3">
      <c r="A2064" s="7" t="s">
        <v>165</v>
      </c>
      <c r="B2064" s="7" t="s">
        <v>166</v>
      </c>
      <c r="C2064" s="7" t="s">
        <v>426</v>
      </c>
      <c r="D2064" s="8">
        <v>45380</v>
      </c>
      <c r="E2064" s="8" t="str">
        <f t="shared" si="127"/>
        <v>March</v>
      </c>
      <c r="F2064">
        <f t="shared" si="128"/>
        <v>2024</v>
      </c>
      <c r="G2064">
        <f t="shared" si="129"/>
        <v>0</v>
      </c>
      <c r="H2064">
        <f t="shared" si="130"/>
        <v>0</v>
      </c>
      <c r="I2064" s="6"/>
      <c r="J2064" s="6"/>
      <c r="K2064" s="7" t="s">
        <v>44</v>
      </c>
      <c r="L2064" s="7" t="s">
        <v>27</v>
      </c>
      <c r="M2064" s="7" t="s">
        <v>15</v>
      </c>
      <c r="N2064" s="7">
        <f>COUNTIFS(A:A,A2064,D:D,D2064,E:E,I2064)</f>
        <v>0</v>
      </c>
    </row>
    <row r="2065" spans="1:14" x14ac:dyDescent="0.3">
      <c r="A2065" s="7" t="s">
        <v>40</v>
      </c>
      <c r="B2065" s="7" t="s">
        <v>41</v>
      </c>
      <c r="C2065" s="7" t="s">
        <v>425</v>
      </c>
      <c r="D2065" s="8">
        <v>45379</v>
      </c>
      <c r="E2065" s="8" t="str">
        <f t="shared" si="127"/>
        <v>March</v>
      </c>
      <c r="F2065">
        <f t="shared" si="128"/>
        <v>2024</v>
      </c>
      <c r="G2065">
        <f t="shared" si="129"/>
        <v>1</v>
      </c>
      <c r="H2065">
        <f t="shared" si="130"/>
        <v>0</v>
      </c>
      <c r="I2065" s="6">
        <v>0.38194444444444442</v>
      </c>
      <c r="J2065" s="6">
        <v>0.77638888888888891</v>
      </c>
      <c r="K2065" s="7" t="s">
        <v>13</v>
      </c>
      <c r="L2065" s="7" t="s">
        <v>27</v>
      </c>
      <c r="M2065" s="7" t="s">
        <v>21</v>
      </c>
      <c r="N2065" s="7">
        <f>COUNTIFS(A:A,A2065,D:D,D2065,E:E,I2065)</f>
        <v>0</v>
      </c>
    </row>
    <row r="2066" spans="1:14" x14ac:dyDescent="0.3">
      <c r="A2066" s="7" t="s">
        <v>84</v>
      </c>
      <c r="B2066" s="7" t="s">
        <v>85</v>
      </c>
      <c r="C2066" s="7" t="s">
        <v>60</v>
      </c>
      <c r="D2066" s="8">
        <v>45309</v>
      </c>
      <c r="E2066" s="8" t="str">
        <f t="shared" si="127"/>
        <v>January</v>
      </c>
      <c r="F2066">
        <f t="shared" si="128"/>
        <v>2024</v>
      </c>
      <c r="G2066">
        <f t="shared" si="129"/>
        <v>1</v>
      </c>
      <c r="H2066">
        <f t="shared" si="130"/>
        <v>0</v>
      </c>
      <c r="I2066" s="6">
        <v>0.33680555555555558</v>
      </c>
      <c r="J2066" s="6">
        <v>0.87291666666666667</v>
      </c>
      <c r="K2066" s="7" t="s">
        <v>20</v>
      </c>
      <c r="L2066" s="7" t="s">
        <v>14</v>
      </c>
      <c r="M2066" s="7" t="s">
        <v>15</v>
      </c>
      <c r="N2066" s="7">
        <f>COUNTIFS(A:A,A2066,D:D,D2066,E:E,I2066)</f>
        <v>0</v>
      </c>
    </row>
    <row r="2067" spans="1:14" x14ac:dyDescent="0.3">
      <c r="A2067" s="7" t="s">
        <v>154</v>
      </c>
      <c r="B2067" s="7" t="s">
        <v>155</v>
      </c>
      <c r="C2067" s="7" t="s">
        <v>60</v>
      </c>
      <c r="D2067" s="8">
        <v>45300</v>
      </c>
      <c r="E2067" s="8" t="str">
        <f t="shared" si="127"/>
        <v>January</v>
      </c>
      <c r="F2067">
        <f t="shared" si="128"/>
        <v>2024</v>
      </c>
      <c r="G2067">
        <f t="shared" si="129"/>
        <v>1</v>
      </c>
      <c r="H2067">
        <f t="shared" si="130"/>
        <v>0</v>
      </c>
      <c r="I2067" s="6">
        <v>0.3888888888888889</v>
      </c>
      <c r="J2067" s="6">
        <v>0.71319444444444446</v>
      </c>
      <c r="K2067" s="7" t="s">
        <v>20</v>
      </c>
      <c r="L2067" s="7" t="s">
        <v>27</v>
      </c>
      <c r="M2067" s="7" t="s">
        <v>15</v>
      </c>
      <c r="N2067" s="7">
        <f>COUNTIFS(A:A,A2067,D:D,D2067,E:E,I2067)</f>
        <v>0</v>
      </c>
    </row>
    <row r="2068" spans="1:14" x14ac:dyDescent="0.3">
      <c r="A2068" s="7" t="s">
        <v>84</v>
      </c>
      <c r="B2068" s="7" t="s">
        <v>85</v>
      </c>
      <c r="C2068" s="7" t="s">
        <v>426</v>
      </c>
      <c r="D2068" s="8">
        <v>45322</v>
      </c>
      <c r="E2068" s="8" t="str">
        <f t="shared" si="127"/>
        <v>January</v>
      </c>
      <c r="F2068">
        <f t="shared" si="128"/>
        <v>2024</v>
      </c>
      <c r="G2068">
        <f t="shared" si="129"/>
        <v>1</v>
      </c>
      <c r="H2068">
        <f t="shared" si="130"/>
        <v>0</v>
      </c>
      <c r="I2068" s="6">
        <v>0.34722222222222221</v>
      </c>
      <c r="J2068" s="6">
        <v>0.76388888888888884</v>
      </c>
      <c r="K2068" s="7" t="s">
        <v>20</v>
      </c>
      <c r="L2068" s="7" t="s">
        <v>14</v>
      </c>
      <c r="M2068" s="7" t="s">
        <v>21</v>
      </c>
      <c r="N2068" s="7">
        <f>COUNTIFS(A:A,A2068,D:D,D2068,E:E,I2068)</f>
        <v>0</v>
      </c>
    </row>
    <row r="2069" spans="1:14" x14ac:dyDescent="0.3">
      <c r="A2069" s="7" t="s">
        <v>138</v>
      </c>
      <c r="B2069" s="7" t="s">
        <v>139</v>
      </c>
      <c r="C2069" s="7" t="s">
        <v>425</v>
      </c>
      <c r="D2069" s="8">
        <v>45597</v>
      </c>
      <c r="E2069" s="8" t="str">
        <f t="shared" si="127"/>
        <v>November</v>
      </c>
      <c r="F2069">
        <f t="shared" si="128"/>
        <v>2024</v>
      </c>
      <c r="G2069">
        <f t="shared" si="129"/>
        <v>1</v>
      </c>
      <c r="H2069">
        <f t="shared" si="130"/>
        <v>0</v>
      </c>
      <c r="I2069" s="6">
        <v>0.34027777777777779</v>
      </c>
      <c r="J2069" s="6">
        <v>0.80694444444444446</v>
      </c>
      <c r="K2069" s="7" t="s">
        <v>20</v>
      </c>
      <c r="L2069" s="7" t="s">
        <v>14</v>
      </c>
      <c r="M2069" s="7" t="s">
        <v>15</v>
      </c>
      <c r="N2069" s="7">
        <f>COUNTIFS(A:A,A2069,D:D,D2069,E:E,I2069)</f>
        <v>0</v>
      </c>
    </row>
    <row r="2070" spans="1:14" x14ac:dyDescent="0.3">
      <c r="A2070" s="7" t="s">
        <v>250</v>
      </c>
      <c r="B2070" s="7" t="s">
        <v>251</v>
      </c>
      <c r="C2070" s="7" t="s">
        <v>42</v>
      </c>
      <c r="D2070" s="8">
        <v>45376</v>
      </c>
      <c r="E2070" s="8" t="str">
        <f t="shared" si="127"/>
        <v>March</v>
      </c>
      <c r="F2070">
        <f t="shared" si="128"/>
        <v>2024</v>
      </c>
      <c r="G2070">
        <f t="shared" si="129"/>
        <v>1</v>
      </c>
      <c r="H2070">
        <f t="shared" si="130"/>
        <v>1</v>
      </c>
      <c r="I2070" s="6">
        <v>0.4284722222222222</v>
      </c>
      <c r="J2070" s="6">
        <v>0.85277777777777775</v>
      </c>
      <c r="K2070" s="7" t="s">
        <v>26</v>
      </c>
      <c r="L2070" s="7" t="s">
        <v>27</v>
      </c>
      <c r="M2070" s="7" t="s">
        <v>15</v>
      </c>
      <c r="N2070" s="7">
        <f>COUNTIFS(A:A,A2070,D:D,D2070,E:E,I2070)</f>
        <v>0</v>
      </c>
    </row>
    <row r="2071" spans="1:14" x14ac:dyDescent="0.3">
      <c r="A2071" s="7" t="s">
        <v>58</v>
      </c>
      <c r="B2071" s="7" t="s">
        <v>59</v>
      </c>
      <c r="C2071" s="7" t="s">
        <v>425</v>
      </c>
      <c r="D2071" s="8">
        <v>45329</v>
      </c>
      <c r="E2071" s="8" t="str">
        <f t="shared" si="127"/>
        <v>February</v>
      </c>
      <c r="F2071">
        <f t="shared" si="128"/>
        <v>2024</v>
      </c>
      <c r="G2071">
        <f t="shared" si="129"/>
        <v>1</v>
      </c>
      <c r="H2071">
        <f t="shared" si="130"/>
        <v>0</v>
      </c>
      <c r="I2071" s="6">
        <v>0.47499999999999998</v>
      </c>
      <c r="J2071" s="6">
        <v>0.85763888888888884</v>
      </c>
      <c r="K2071" s="7" t="s">
        <v>13</v>
      </c>
      <c r="L2071" s="7" t="s">
        <v>27</v>
      </c>
      <c r="M2071" s="7" t="s">
        <v>21</v>
      </c>
      <c r="N2071" s="7">
        <f>COUNTIFS(A:A,A2071,D:D,D2071,E:E,I2071)</f>
        <v>0</v>
      </c>
    </row>
    <row r="2072" spans="1:14" x14ac:dyDescent="0.3">
      <c r="A2072" s="7" t="s">
        <v>37</v>
      </c>
      <c r="B2072" s="7" t="s">
        <v>38</v>
      </c>
      <c r="C2072" s="7" t="s">
        <v>42</v>
      </c>
      <c r="D2072" s="8">
        <v>45317</v>
      </c>
      <c r="E2072" s="8" t="str">
        <f t="shared" si="127"/>
        <v>January</v>
      </c>
      <c r="F2072">
        <f t="shared" si="128"/>
        <v>2024</v>
      </c>
      <c r="G2072">
        <f t="shared" si="129"/>
        <v>1</v>
      </c>
      <c r="H2072">
        <f t="shared" si="130"/>
        <v>1</v>
      </c>
      <c r="I2072" s="6">
        <v>0.42916666666666664</v>
      </c>
      <c r="J2072" s="6">
        <v>0.84652777777777777</v>
      </c>
      <c r="K2072" s="7" t="s">
        <v>26</v>
      </c>
      <c r="L2072" s="7" t="s">
        <v>27</v>
      </c>
      <c r="M2072" s="7" t="s">
        <v>15</v>
      </c>
      <c r="N2072" s="7">
        <f>COUNTIFS(A:A,A2072,D:D,D2072,E:E,I2072)</f>
        <v>0</v>
      </c>
    </row>
    <row r="2073" spans="1:14" x14ac:dyDescent="0.3">
      <c r="A2073" s="7" t="s">
        <v>99</v>
      </c>
      <c r="B2073" s="7" t="s">
        <v>100</v>
      </c>
      <c r="C2073" s="7" t="s">
        <v>60</v>
      </c>
      <c r="D2073" s="8">
        <v>45385</v>
      </c>
      <c r="E2073" s="8" t="str">
        <f t="shared" si="127"/>
        <v>April</v>
      </c>
      <c r="F2073">
        <f t="shared" si="128"/>
        <v>2024</v>
      </c>
      <c r="G2073">
        <f t="shared" si="129"/>
        <v>1</v>
      </c>
      <c r="H2073">
        <f t="shared" si="130"/>
        <v>0</v>
      </c>
      <c r="I2073" s="6">
        <v>0.33541666666666664</v>
      </c>
      <c r="J2073" s="6">
        <v>0.86319444444444449</v>
      </c>
      <c r="K2073" s="7" t="s">
        <v>13</v>
      </c>
      <c r="L2073" s="7" t="s">
        <v>27</v>
      </c>
      <c r="M2073" s="7" t="s">
        <v>21</v>
      </c>
      <c r="N2073" s="7">
        <f>COUNTIFS(A:A,A2073,D:D,D2073,E:E,I2073)</f>
        <v>0</v>
      </c>
    </row>
    <row r="2074" spans="1:14" x14ac:dyDescent="0.3">
      <c r="A2074" s="7" t="s">
        <v>34</v>
      </c>
      <c r="B2074" s="7" t="s">
        <v>35</v>
      </c>
      <c r="C2074" s="7" t="s">
        <v>60</v>
      </c>
      <c r="D2074" s="8">
        <v>45302</v>
      </c>
      <c r="E2074" s="8" t="str">
        <f t="shared" si="127"/>
        <v>January</v>
      </c>
      <c r="F2074">
        <f t="shared" si="128"/>
        <v>2024</v>
      </c>
      <c r="G2074">
        <f t="shared" si="129"/>
        <v>1</v>
      </c>
      <c r="H2074">
        <f t="shared" si="130"/>
        <v>0</v>
      </c>
      <c r="I2074" s="6">
        <v>0.36388888888888887</v>
      </c>
      <c r="J2074" s="6">
        <v>0.80902777777777779</v>
      </c>
      <c r="K2074" s="7" t="s">
        <v>13</v>
      </c>
      <c r="L2074" s="7" t="s">
        <v>14</v>
      </c>
      <c r="M2074" s="7" t="s">
        <v>15</v>
      </c>
      <c r="N2074" s="7">
        <f>COUNTIFS(A:A,A2074,D:D,D2074,E:E,I2074)</f>
        <v>0</v>
      </c>
    </row>
    <row r="2075" spans="1:14" x14ac:dyDescent="0.3">
      <c r="A2075" s="7" t="s">
        <v>130</v>
      </c>
      <c r="B2075" s="7" t="s">
        <v>131</v>
      </c>
      <c r="C2075" s="7" t="s">
        <v>42</v>
      </c>
      <c r="D2075" s="8">
        <v>45308</v>
      </c>
      <c r="E2075" s="8" t="str">
        <f t="shared" si="127"/>
        <v>January</v>
      </c>
      <c r="F2075">
        <f t="shared" si="128"/>
        <v>2024</v>
      </c>
      <c r="G2075">
        <f t="shared" si="129"/>
        <v>1</v>
      </c>
      <c r="H2075">
        <f t="shared" si="130"/>
        <v>0</v>
      </c>
      <c r="I2075" s="6">
        <v>0.39513888888888887</v>
      </c>
      <c r="J2075" s="6">
        <v>0.73263888888888884</v>
      </c>
      <c r="K2075" s="7" t="s">
        <v>13</v>
      </c>
      <c r="L2075" s="7" t="s">
        <v>27</v>
      </c>
      <c r="M2075" s="7" t="s">
        <v>15</v>
      </c>
      <c r="N2075" s="7">
        <f>COUNTIFS(A:A,A2075,D:D,D2075,E:E,I2075)</f>
        <v>0</v>
      </c>
    </row>
    <row r="2076" spans="1:14" x14ac:dyDescent="0.3">
      <c r="A2076" s="7" t="s">
        <v>291</v>
      </c>
      <c r="B2076" s="7" t="s">
        <v>292</v>
      </c>
      <c r="C2076" s="7" t="s">
        <v>60</v>
      </c>
      <c r="D2076" s="8">
        <v>45377</v>
      </c>
      <c r="E2076" s="8" t="str">
        <f t="shared" si="127"/>
        <v>March</v>
      </c>
      <c r="F2076">
        <f t="shared" si="128"/>
        <v>2024</v>
      </c>
      <c r="G2076">
        <f t="shared" si="129"/>
        <v>0</v>
      </c>
      <c r="H2076">
        <f t="shared" si="130"/>
        <v>0</v>
      </c>
      <c r="I2076" s="6"/>
      <c r="J2076" s="6"/>
      <c r="K2076" s="7" t="s">
        <v>44</v>
      </c>
      <c r="L2076" s="7" t="s">
        <v>14</v>
      </c>
      <c r="M2076" s="7" t="s">
        <v>15</v>
      </c>
      <c r="N2076" s="7">
        <f>COUNTIFS(A:A,A2076,D:D,D2076,E:E,I2076)</f>
        <v>0</v>
      </c>
    </row>
    <row r="2077" spans="1:14" x14ac:dyDescent="0.3">
      <c r="A2077" s="7" t="s">
        <v>191</v>
      </c>
      <c r="B2077" s="7" t="s">
        <v>192</v>
      </c>
      <c r="C2077" s="7" t="s">
        <v>42</v>
      </c>
      <c r="D2077" s="8">
        <v>45314</v>
      </c>
      <c r="E2077" s="8" t="str">
        <f t="shared" si="127"/>
        <v>January</v>
      </c>
      <c r="F2077">
        <f t="shared" si="128"/>
        <v>2024</v>
      </c>
      <c r="G2077">
        <f t="shared" si="129"/>
        <v>0</v>
      </c>
      <c r="H2077">
        <f t="shared" si="130"/>
        <v>0</v>
      </c>
      <c r="I2077" s="6"/>
      <c r="J2077" s="6"/>
      <c r="K2077" s="7" t="s">
        <v>44</v>
      </c>
      <c r="L2077" s="7" t="s">
        <v>27</v>
      </c>
      <c r="M2077" s="7" t="s">
        <v>21</v>
      </c>
      <c r="N2077" s="7">
        <f>COUNTIFS(A:A,A2077,D:D,D2077,E:E,I2077)</f>
        <v>0</v>
      </c>
    </row>
    <row r="2078" spans="1:14" x14ac:dyDescent="0.3">
      <c r="A2078" s="7" t="s">
        <v>138</v>
      </c>
      <c r="B2078" s="7" t="s">
        <v>139</v>
      </c>
      <c r="C2078" s="7" t="s">
        <v>64</v>
      </c>
      <c r="D2078" s="8">
        <v>45628</v>
      </c>
      <c r="E2078" s="8" t="str">
        <f t="shared" si="127"/>
        <v>December</v>
      </c>
      <c r="F2078">
        <f t="shared" si="128"/>
        <v>2024</v>
      </c>
      <c r="G2078">
        <f t="shared" si="129"/>
        <v>1</v>
      </c>
      <c r="H2078">
        <f t="shared" si="130"/>
        <v>0</v>
      </c>
      <c r="I2078" s="6">
        <v>0.42708333333333331</v>
      </c>
      <c r="J2078" s="6">
        <v>0.6743055555555556</v>
      </c>
      <c r="K2078" s="7" t="s">
        <v>13</v>
      </c>
      <c r="L2078" s="7" t="s">
        <v>14</v>
      </c>
      <c r="M2078" s="7" t="s">
        <v>21</v>
      </c>
      <c r="N2078" s="7">
        <f>COUNTIFS(A:A,A2078,D:D,D2078,E:E,I2078)</f>
        <v>0</v>
      </c>
    </row>
    <row r="2079" spans="1:14" x14ac:dyDescent="0.3">
      <c r="A2079" s="7" t="s">
        <v>150</v>
      </c>
      <c r="B2079" s="7" t="s">
        <v>151</v>
      </c>
      <c r="C2079" s="7" t="s">
        <v>426</v>
      </c>
      <c r="D2079" s="8">
        <v>45345</v>
      </c>
      <c r="E2079" s="8" t="str">
        <f t="shared" si="127"/>
        <v>February</v>
      </c>
      <c r="F2079">
        <f t="shared" si="128"/>
        <v>2024</v>
      </c>
      <c r="G2079">
        <f t="shared" si="129"/>
        <v>1</v>
      </c>
      <c r="H2079">
        <f t="shared" si="130"/>
        <v>0</v>
      </c>
      <c r="I2079" s="6">
        <v>0.37291666666666667</v>
      </c>
      <c r="J2079" s="6">
        <v>0.82638888888888884</v>
      </c>
      <c r="K2079" s="7" t="s">
        <v>20</v>
      </c>
      <c r="L2079" s="7" t="s">
        <v>27</v>
      </c>
      <c r="M2079" s="7" t="s">
        <v>21</v>
      </c>
      <c r="N2079" s="7">
        <f>COUNTIFS(A:A,A2079,D:D,D2079,E:E,I2079)</f>
        <v>0</v>
      </c>
    </row>
    <row r="2080" spans="1:14" x14ac:dyDescent="0.3">
      <c r="A2080" s="7" t="s">
        <v>75</v>
      </c>
      <c r="B2080" s="7" t="s">
        <v>76</v>
      </c>
      <c r="C2080" s="7" t="s">
        <v>64</v>
      </c>
      <c r="D2080" s="8">
        <v>45627</v>
      </c>
      <c r="E2080" s="8" t="str">
        <f t="shared" si="127"/>
        <v>December</v>
      </c>
      <c r="F2080">
        <f t="shared" si="128"/>
        <v>2024</v>
      </c>
      <c r="G2080">
        <f t="shared" si="129"/>
        <v>1</v>
      </c>
      <c r="H2080">
        <f t="shared" si="130"/>
        <v>1</v>
      </c>
      <c r="I2080" s="6">
        <v>0.3347222222222222</v>
      </c>
      <c r="J2080" s="6">
        <v>0.7993055555555556</v>
      </c>
      <c r="K2080" s="7" t="s">
        <v>26</v>
      </c>
      <c r="L2080" s="7" t="s">
        <v>27</v>
      </c>
      <c r="M2080" s="7" t="s">
        <v>21</v>
      </c>
      <c r="N2080" s="7">
        <f>COUNTIFS(A:A,A2080,D:D,D2080,E:E,I2080)</f>
        <v>0</v>
      </c>
    </row>
    <row r="2081" spans="1:14" x14ac:dyDescent="0.3">
      <c r="A2081" s="7" t="s">
        <v>112</v>
      </c>
      <c r="B2081" s="7" t="s">
        <v>113</v>
      </c>
      <c r="C2081" s="7" t="s">
        <v>64</v>
      </c>
      <c r="D2081" s="8">
        <v>45370</v>
      </c>
      <c r="E2081" s="8" t="str">
        <f t="shared" si="127"/>
        <v>March</v>
      </c>
      <c r="F2081">
        <f t="shared" si="128"/>
        <v>2024</v>
      </c>
      <c r="G2081">
        <f t="shared" si="129"/>
        <v>1</v>
      </c>
      <c r="H2081">
        <f t="shared" si="130"/>
        <v>1</v>
      </c>
      <c r="I2081" s="6">
        <v>0.33611111111111114</v>
      </c>
      <c r="J2081" s="6">
        <v>0.86111111111111116</v>
      </c>
      <c r="K2081" s="7" t="s">
        <v>26</v>
      </c>
      <c r="L2081" s="7" t="s">
        <v>27</v>
      </c>
      <c r="M2081" s="7" t="s">
        <v>15</v>
      </c>
      <c r="N2081" s="7">
        <f>COUNTIFS(A:A,A2081,D:D,D2081,E:E,I2081)</f>
        <v>0</v>
      </c>
    </row>
    <row r="2082" spans="1:14" x14ac:dyDescent="0.3">
      <c r="A2082" s="7" t="s">
        <v>93</v>
      </c>
      <c r="B2082" s="7" t="s">
        <v>94</v>
      </c>
      <c r="C2082" s="7" t="s">
        <v>64</v>
      </c>
      <c r="D2082" s="8">
        <v>45331</v>
      </c>
      <c r="E2082" s="8" t="str">
        <f t="shared" si="127"/>
        <v>February</v>
      </c>
      <c r="F2082">
        <f t="shared" si="128"/>
        <v>2024</v>
      </c>
      <c r="G2082">
        <f t="shared" si="129"/>
        <v>0</v>
      </c>
      <c r="H2082">
        <f t="shared" si="130"/>
        <v>0</v>
      </c>
      <c r="I2082" s="6"/>
      <c r="J2082" s="6"/>
      <c r="K2082" s="7" t="s">
        <v>44</v>
      </c>
      <c r="L2082" s="7" t="s">
        <v>14</v>
      </c>
      <c r="M2082" s="7" t="s">
        <v>15</v>
      </c>
      <c r="N2082" s="7">
        <f>COUNTIFS(A:A,A2082,D:D,D2082,E:E,I2082)</f>
        <v>0</v>
      </c>
    </row>
    <row r="2083" spans="1:14" x14ac:dyDescent="0.3">
      <c r="A2083" s="7" t="s">
        <v>40</v>
      </c>
      <c r="B2083" s="7" t="s">
        <v>41</v>
      </c>
      <c r="C2083" s="7" t="s">
        <v>426</v>
      </c>
      <c r="D2083" s="8">
        <v>45293</v>
      </c>
      <c r="E2083" s="8" t="str">
        <f t="shared" si="127"/>
        <v>January</v>
      </c>
      <c r="F2083">
        <f t="shared" si="128"/>
        <v>2024</v>
      </c>
      <c r="G2083">
        <f t="shared" si="129"/>
        <v>1</v>
      </c>
      <c r="H2083">
        <f t="shared" si="130"/>
        <v>0</v>
      </c>
      <c r="I2083" s="6">
        <v>0.33541666666666664</v>
      </c>
      <c r="J2083" s="6">
        <v>0.70972222222222225</v>
      </c>
      <c r="K2083" s="7" t="s">
        <v>20</v>
      </c>
      <c r="L2083" s="7" t="s">
        <v>14</v>
      </c>
      <c r="M2083" s="7" t="s">
        <v>21</v>
      </c>
      <c r="N2083" s="7">
        <f>COUNTIFS(A:A,A2083,D:D,D2083,E:E,I2083)</f>
        <v>0</v>
      </c>
    </row>
    <row r="2084" spans="1:14" x14ac:dyDescent="0.3">
      <c r="A2084" s="7" t="s">
        <v>197</v>
      </c>
      <c r="B2084" s="7" t="s">
        <v>198</v>
      </c>
      <c r="C2084" s="7" t="s">
        <v>42</v>
      </c>
      <c r="D2084" s="8">
        <v>45320</v>
      </c>
      <c r="E2084" s="8" t="str">
        <f t="shared" si="127"/>
        <v>January</v>
      </c>
      <c r="F2084">
        <f t="shared" si="128"/>
        <v>2024</v>
      </c>
      <c r="G2084">
        <f t="shared" si="129"/>
        <v>1</v>
      </c>
      <c r="H2084">
        <f t="shared" si="130"/>
        <v>0</v>
      </c>
      <c r="I2084" s="6">
        <v>0.43125000000000002</v>
      </c>
      <c r="J2084" s="6">
        <v>0.79513888888888884</v>
      </c>
      <c r="K2084" s="7" t="s">
        <v>20</v>
      </c>
      <c r="L2084" s="7" t="s">
        <v>14</v>
      </c>
      <c r="M2084" s="7" t="s">
        <v>15</v>
      </c>
      <c r="N2084" s="7">
        <f>COUNTIFS(A:A,A2084,D:D,D2084,E:E,I2084)</f>
        <v>0</v>
      </c>
    </row>
    <row r="2085" spans="1:14" x14ac:dyDescent="0.3">
      <c r="A2085" s="7" t="s">
        <v>99</v>
      </c>
      <c r="B2085" s="7" t="s">
        <v>100</v>
      </c>
      <c r="C2085" s="7" t="s">
        <v>426</v>
      </c>
      <c r="D2085" s="8">
        <v>45339</v>
      </c>
      <c r="E2085" s="8" t="str">
        <f t="shared" si="127"/>
        <v>February</v>
      </c>
      <c r="F2085">
        <f t="shared" si="128"/>
        <v>2024</v>
      </c>
      <c r="G2085">
        <f t="shared" si="129"/>
        <v>1</v>
      </c>
      <c r="H2085">
        <f t="shared" si="130"/>
        <v>0</v>
      </c>
      <c r="I2085" s="6">
        <v>0.48541666666666666</v>
      </c>
      <c r="J2085" s="6">
        <v>0.71736111111111112</v>
      </c>
      <c r="K2085" s="7" t="s">
        <v>20</v>
      </c>
      <c r="L2085" s="7" t="s">
        <v>27</v>
      </c>
      <c r="M2085" s="7" t="s">
        <v>15</v>
      </c>
      <c r="N2085" s="7">
        <f>COUNTIFS(A:A,A2085,D:D,D2085,E:E,I2085)</f>
        <v>0</v>
      </c>
    </row>
    <row r="2086" spans="1:14" x14ac:dyDescent="0.3">
      <c r="A2086" s="7" t="s">
        <v>154</v>
      </c>
      <c r="B2086" s="7" t="s">
        <v>155</v>
      </c>
      <c r="C2086" s="7" t="s">
        <v>60</v>
      </c>
      <c r="D2086" s="8">
        <v>45354</v>
      </c>
      <c r="E2086" s="8" t="str">
        <f t="shared" si="127"/>
        <v>March</v>
      </c>
      <c r="F2086">
        <f t="shared" si="128"/>
        <v>2024</v>
      </c>
      <c r="G2086">
        <f t="shared" si="129"/>
        <v>0</v>
      </c>
      <c r="H2086">
        <f t="shared" si="130"/>
        <v>0</v>
      </c>
      <c r="I2086" s="6"/>
      <c r="J2086" s="6"/>
      <c r="K2086" s="7" t="s">
        <v>44</v>
      </c>
      <c r="L2086" s="7" t="s">
        <v>27</v>
      </c>
      <c r="M2086" s="7" t="s">
        <v>15</v>
      </c>
      <c r="N2086" s="7">
        <f>COUNTIFS(A:A,A2086,D:D,D2086,E:E,I2086)</f>
        <v>0</v>
      </c>
    </row>
    <row r="2087" spans="1:14" x14ac:dyDescent="0.3">
      <c r="A2087" s="7" t="s">
        <v>141</v>
      </c>
      <c r="B2087" s="7" t="s">
        <v>142</v>
      </c>
      <c r="C2087" s="7" t="s">
        <v>42</v>
      </c>
      <c r="D2087" s="8">
        <v>45347</v>
      </c>
      <c r="E2087" s="8" t="str">
        <f t="shared" si="127"/>
        <v>February</v>
      </c>
      <c r="F2087">
        <f t="shared" si="128"/>
        <v>2024</v>
      </c>
      <c r="G2087">
        <f t="shared" si="129"/>
        <v>1</v>
      </c>
      <c r="H2087">
        <f t="shared" si="130"/>
        <v>1</v>
      </c>
      <c r="I2087" s="6">
        <v>0.4284722222222222</v>
      </c>
      <c r="J2087" s="6">
        <v>0.82847222222222228</v>
      </c>
      <c r="K2087" s="7" t="s">
        <v>26</v>
      </c>
      <c r="L2087" s="7" t="s">
        <v>27</v>
      </c>
      <c r="M2087" s="7" t="s">
        <v>21</v>
      </c>
      <c r="N2087" s="7">
        <f>COUNTIFS(A:A,A2087,D:D,D2087,E:E,I2087)</f>
        <v>0</v>
      </c>
    </row>
    <row r="2088" spans="1:14" x14ac:dyDescent="0.3">
      <c r="A2088" s="7" t="s">
        <v>150</v>
      </c>
      <c r="B2088" s="7" t="s">
        <v>151</v>
      </c>
      <c r="C2088" s="7" t="s">
        <v>426</v>
      </c>
      <c r="D2088" s="8">
        <v>45343</v>
      </c>
      <c r="E2088" s="8" t="str">
        <f t="shared" si="127"/>
        <v>February</v>
      </c>
      <c r="F2088">
        <f t="shared" si="128"/>
        <v>2024</v>
      </c>
      <c r="G2088">
        <f t="shared" si="129"/>
        <v>1</v>
      </c>
      <c r="H2088">
        <f t="shared" si="130"/>
        <v>1</v>
      </c>
      <c r="I2088" s="6">
        <v>0.34930555555555554</v>
      </c>
      <c r="J2088" s="6">
        <v>0.86875000000000002</v>
      </c>
      <c r="K2088" s="7" t="s">
        <v>26</v>
      </c>
      <c r="L2088" s="7" t="s">
        <v>14</v>
      </c>
      <c r="M2088" s="7" t="s">
        <v>15</v>
      </c>
      <c r="N2088" s="7">
        <f>COUNTIFS(A:A,A2088,D:D,D2088,E:E,I2088)</f>
        <v>0</v>
      </c>
    </row>
    <row r="2089" spans="1:14" x14ac:dyDescent="0.3">
      <c r="A2089" s="7" t="s">
        <v>84</v>
      </c>
      <c r="B2089" s="7" t="s">
        <v>85</v>
      </c>
      <c r="C2089" s="7" t="s">
        <v>60</v>
      </c>
      <c r="D2089" s="8">
        <v>45347</v>
      </c>
      <c r="E2089" s="8" t="str">
        <f t="shared" si="127"/>
        <v>February</v>
      </c>
      <c r="F2089">
        <f t="shared" si="128"/>
        <v>2024</v>
      </c>
      <c r="G2089">
        <f t="shared" si="129"/>
        <v>1</v>
      </c>
      <c r="H2089">
        <f t="shared" si="130"/>
        <v>0</v>
      </c>
      <c r="I2089" s="6">
        <v>0.35486111111111113</v>
      </c>
      <c r="J2089" s="6">
        <v>0.7006944444444444</v>
      </c>
      <c r="K2089" s="7" t="s">
        <v>13</v>
      </c>
      <c r="L2089" s="7" t="s">
        <v>27</v>
      </c>
      <c r="M2089" s="7" t="s">
        <v>21</v>
      </c>
      <c r="N2089" s="7">
        <f>COUNTIFS(A:A,A2089,D:D,D2089,E:E,I2089)</f>
        <v>0</v>
      </c>
    </row>
    <row r="2090" spans="1:14" x14ac:dyDescent="0.3">
      <c r="A2090" s="7" t="s">
        <v>22</v>
      </c>
      <c r="B2090" s="7" t="s">
        <v>23</v>
      </c>
      <c r="C2090" s="7" t="s">
        <v>42</v>
      </c>
      <c r="D2090" s="8">
        <v>45379</v>
      </c>
      <c r="E2090" s="8" t="str">
        <f t="shared" si="127"/>
        <v>March</v>
      </c>
      <c r="F2090">
        <f t="shared" si="128"/>
        <v>2024</v>
      </c>
      <c r="G2090">
        <f t="shared" si="129"/>
        <v>0</v>
      </c>
      <c r="H2090">
        <f t="shared" si="130"/>
        <v>0</v>
      </c>
      <c r="I2090" s="6"/>
      <c r="J2090" s="6"/>
      <c r="K2090" s="7" t="s">
        <v>44</v>
      </c>
      <c r="L2090" s="7" t="s">
        <v>14</v>
      </c>
      <c r="M2090" s="7" t="s">
        <v>21</v>
      </c>
      <c r="N2090" s="7">
        <f>COUNTIFS(A:A,A2090,D:D,D2090,E:E,I2090)</f>
        <v>0</v>
      </c>
    </row>
    <row r="2091" spans="1:14" x14ac:dyDescent="0.3">
      <c r="A2091" s="7" t="s">
        <v>194</v>
      </c>
      <c r="B2091" s="7" t="s">
        <v>195</v>
      </c>
      <c r="C2091" s="7" t="s">
        <v>64</v>
      </c>
      <c r="D2091" s="8">
        <v>45372</v>
      </c>
      <c r="E2091" s="8" t="str">
        <f t="shared" si="127"/>
        <v>March</v>
      </c>
      <c r="F2091">
        <f t="shared" si="128"/>
        <v>2024</v>
      </c>
      <c r="G2091">
        <f t="shared" si="129"/>
        <v>0</v>
      </c>
      <c r="H2091">
        <f t="shared" si="130"/>
        <v>0</v>
      </c>
      <c r="I2091" s="6"/>
      <c r="J2091" s="6"/>
      <c r="K2091" s="7" t="s">
        <v>44</v>
      </c>
      <c r="L2091" s="7" t="s">
        <v>27</v>
      </c>
      <c r="M2091" s="7" t="s">
        <v>15</v>
      </c>
      <c r="N2091" s="7">
        <f>COUNTIFS(A:A,A2091,D:D,D2091,E:E,I2091)</f>
        <v>0</v>
      </c>
    </row>
    <row r="2092" spans="1:14" x14ac:dyDescent="0.3">
      <c r="A2092" s="7" t="s">
        <v>87</v>
      </c>
      <c r="B2092" s="7" t="s">
        <v>88</v>
      </c>
      <c r="C2092" s="7" t="s">
        <v>64</v>
      </c>
      <c r="D2092" s="8">
        <v>45292</v>
      </c>
      <c r="E2092" s="8" t="str">
        <f t="shared" si="127"/>
        <v>January</v>
      </c>
      <c r="F2092">
        <f t="shared" si="128"/>
        <v>2024</v>
      </c>
      <c r="G2092">
        <f t="shared" si="129"/>
        <v>1</v>
      </c>
      <c r="H2092">
        <f t="shared" si="130"/>
        <v>0</v>
      </c>
      <c r="I2092" s="6">
        <v>0.38333333333333336</v>
      </c>
      <c r="J2092" s="6">
        <v>0.84722222222222221</v>
      </c>
      <c r="K2092" s="7" t="s">
        <v>20</v>
      </c>
      <c r="L2092" s="7" t="s">
        <v>14</v>
      </c>
      <c r="M2092" s="7" t="s">
        <v>15</v>
      </c>
      <c r="N2092" s="7">
        <f>COUNTIFS(A:A,A2092,D:D,D2092,E:E,I2092)</f>
        <v>0</v>
      </c>
    </row>
    <row r="2093" spans="1:14" x14ac:dyDescent="0.3">
      <c r="A2093" s="7" t="s">
        <v>165</v>
      </c>
      <c r="B2093" s="7" t="s">
        <v>166</v>
      </c>
      <c r="C2093" s="7" t="s">
        <v>64</v>
      </c>
      <c r="D2093" s="8">
        <v>45339</v>
      </c>
      <c r="E2093" s="8" t="str">
        <f t="shared" si="127"/>
        <v>February</v>
      </c>
      <c r="F2093">
        <f t="shared" si="128"/>
        <v>2024</v>
      </c>
      <c r="G2093">
        <f t="shared" si="129"/>
        <v>1</v>
      </c>
      <c r="H2093">
        <f t="shared" si="130"/>
        <v>0</v>
      </c>
      <c r="I2093" s="6">
        <v>0.36249999999999999</v>
      </c>
      <c r="J2093" s="6">
        <v>0.69166666666666665</v>
      </c>
      <c r="K2093" s="7" t="s">
        <v>20</v>
      </c>
      <c r="L2093" s="7" t="s">
        <v>14</v>
      </c>
      <c r="M2093" s="7" t="s">
        <v>15</v>
      </c>
      <c r="N2093" s="7">
        <f>COUNTIFS(A:A,A2093,D:D,D2093,E:E,I2093)</f>
        <v>0</v>
      </c>
    </row>
    <row r="2094" spans="1:14" x14ac:dyDescent="0.3">
      <c r="A2094" s="7" t="s">
        <v>338</v>
      </c>
      <c r="B2094" s="7" t="s">
        <v>339</v>
      </c>
      <c r="C2094" s="7" t="s">
        <v>426</v>
      </c>
      <c r="D2094" s="8">
        <v>45383</v>
      </c>
      <c r="E2094" s="8" t="str">
        <f t="shared" si="127"/>
        <v>April</v>
      </c>
      <c r="F2094">
        <f t="shared" si="128"/>
        <v>2024</v>
      </c>
      <c r="G2094">
        <f t="shared" si="129"/>
        <v>1</v>
      </c>
      <c r="H2094">
        <f t="shared" si="130"/>
        <v>1</v>
      </c>
      <c r="I2094" s="6">
        <v>0.3888888888888889</v>
      </c>
      <c r="J2094" s="6">
        <v>0.84583333333333333</v>
      </c>
      <c r="K2094" s="7" t="s">
        <v>26</v>
      </c>
      <c r="L2094" s="7" t="s">
        <v>14</v>
      </c>
      <c r="M2094" s="7" t="s">
        <v>15</v>
      </c>
      <c r="N2094" s="7">
        <f>COUNTIFS(A:A,A2094,D:D,D2094,E:E,I2094)</f>
        <v>0</v>
      </c>
    </row>
    <row r="2095" spans="1:14" x14ac:dyDescent="0.3">
      <c r="A2095" s="7" t="s">
        <v>93</v>
      </c>
      <c r="B2095" s="7" t="s">
        <v>94</v>
      </c>
      <c r="C2095" s="7" t="s">
        <v>426</v>
      </c>
      <c r="D2095" s="8">
        <v>45311</v>
      </c>
      <c r="E2095" s="8" t="str">
        <f t="shared" si="127"/>
        <v>January</v>
      </c>
      <c r="F2095">
        <f t="shared" si="128"/>
        <v>2024</v>
      </c>
      <c r="G2095">
        <f t="shared" si="129"/>
        <v>0</v>
      </c>
      <c r="H2095">
        <f t="shared" si="130"/>
        <v>0</v>
      </c>
      <c r="I2095" s="6"/>
      <c r="J2095" s="6"/>
      <c r="K2095" s="7" t="s">
        <v>44</v>
      </c>
      <c r="L2095" s="7" t="s">
        <v>27</v>
      </c>
      <c r="M2095" s="7" t="s">
        <v>21</v>
      </c>
      <c r="N2095" s="7">
        <f>COUNTIFS(A:A,A2095,D:D,D2095,E:E,I2095)</f>
        <v>0</v>
      </c>
    </row>
    <row r="2096" spans="1:14" x14ac:dyDescent="0.3">
      <c r="A2096" s="7" t="s">
        <v>204</v>
      </c>
      <c r="B2096" s="7" t="s">
        <v>205</v>
      </c>
      <c r="C2096" s="7" t="s">
        <v>64</v>
      </c>
      <c r="D2096" s="8">
        <v>45381</v>
      </c>
      <c r="E2096" s="8" t="str">
        <f t="shared" si="127"/>
        <v>March</v>
      </c>
      <c r="F2096">
        <f t="shared" si="128"/>
        <v>2024</v>
      </c>
      <c r="G2096">
        <f t="shared" si="129"/>
        <v>1</v>
      </c>
      <c r="H2096">
        <f t="shared" si="130"/>
        <v>0</v>
      </c>
      <c r="I2096" s="6">
        <v>0.33750000000000002</v>
      </c>
      <c r="J2096" s="6">
        <v>0.86458333333333337</v>
      </c>
      <c r="K2096" s="7" t="s">
        <v>13</v>
      </c>
      <c r="L2096" s="7" t="s">
        <v>27</v>
      </c>
      <c r="M2096" s="7" t="s">
        <v>15</v>
      </c>
      <c r="N2096" s="7">
        <f>COUNTIFS(A:A,A2096,D:D,D2096,E:E,I2096)</f>
        <v>0</v>
      </c>
    </row>
    <row r="2097" spans="1:14" x14ac:dyDescent="0.3">
      <c r="A2097" s="7" t="s">
        <v>216</v>
      </c>
      <c r="B2097" s="7" t="s">
        <v>217</v>
      </c>
      <c r="C2097" s="7" t="s">
        <v>64</v>
      </c>
      <c r="D2097" s="8">
        <v>45566</v>
      </c>
      <c r="E2097" s="8" t="str">
        <f t="shared" si="127"/>
        <v>October</v>
      </c>
      <c r="F2097">
        <f t="shared" si="128"/>
        <v>2024</v>
      </c>
      <c r="G2097">
        <f t="shared" si="129"/>
        <v>1</v>
      </c>
      <c r="H2097">
        <f t="shared" si="130"/>
        <v>0</v>
      </c>
      <c r="I2097" s="6">
        <v>0.44722222222222224</v>
      </c>
      <c r="J2097" s="6">
        <v>0.67569444444444449</v>
      </c>
      <c r="K2097" s="7" t="s">
        <v>20</v>
      </c>
      <c r="L2097" s="7" t="s">
        <v>27</v>
      </c>
      <c r="M2097" s="7" t="s">
        <v>21</v>
      </c>
      <c r="N2097" s="7">
        <f>COUNTIFS(A:A,A2097,D:D,D2097,E:E,I2097)</f>
        <v>0</v>
      </c>
    </row>
    <row r="2098" spans="1:14" x14ac:dyDescent="0.3">
      <c r="A2098" s="7" t="s">
        <v>58</v>
      </c>
      <c r="B2098" s="7" t="s">
        <v>59</v>
      </c>
      <c r="C2098" s="7" t="s">
        <v>426</v>
      </c>
      <c r="D2098" s="8">
        <v>45306</v>
      </c>
      <c r="E2098" s="8" t="str">
        <f t="shared" si="127"/>
        <v>January</v>
      </c>
      <c r="F2098">
        <f t="shared" si="128"/>
        <v>2024</v>
      </c>
      <c r="G2098">
        <f t="shared" si="129"/>
        <v>1</v>
      </c>
      <c r="H2098">
        <f t="shared" si="130"/>
        <v>0</v>
      </c>
      <c r="I2098" s="6">
        <v>0.41041666666666665</v>
      </c>
      <c r="J2098" s="6">
        <v>0.80972222222222223</v>
      </c>
      <c r="K2098" s="7" t="s">
        <v>13</v>
      </c>
      <c r="L2098" s="7" t="s">
        <v>27</v>
      </c>
      <c r="M2098" s="7" t="s">
        <v>15</v>
      </c>
      <c r="N2098" s="7">
        <f>COUNTIFS(A:A,A2098,D:D,D2098,E:E,I2098)</f>
        <v>0</v>
      </c>
    </row>
    <row r="2099" spans="1:14" x14ac:dyDescent="0.3">
      <c r="A2099" s="7" t="s">
        <v>246</v>
      </c>
      <c r="B2099" s="7" t="s">
        <v>247</v>
      </c>
      <c r="C2099" s="7" t="s">
        <v>64</v>
      </c>
      <c r="D2099" s="8">
        <v>45325</v>
      </c>
      <c r="E2099" s="8" t="str">
        <f t="shared" si="127"/>
        <v>February</v>
      </c>
      <c r="F2099">
        <f t="shared" si="128"/>
        <v>2024</v>
      </c>
      <c r="G2099">
        <f t="shared" si="129"/>
        <v>0</v>
      </c>
      <c r="H2099">
        <f t="shared" si="130"/>
        <v>0</v>
      </c>
      <c r="I2099" s="6"/>
      <c r="J2099" s="6"/>
      <c r="K2099" s="7" t="s">
        <v>44</v>
      </c>
      <c r="L2099" s="7" t="s">
        <v>14</v>
      </c>
      <c r="M2099" s="7" t="s">
        <v>21</v>
      </c>
      <c r="N2099" s="7">
        <f>COUNTIFS(A:A,A2099,D:D,D2099,E:E,I2099)</f>
        <v>0</v>
      </c>
    </row>
    <row r="2100" spans="1:14" x14ac:dyDescent="0.3">
      <c r="A2100" s="7" t="s">
        <v>338</v>
      </c>
      <c r="B2100" s="7" t="s">
        <v>339</v>
      </c>
      <c r="C2100" s="7" t="s">
        <v>425</v>
      </c>
      <c r="D2100" s="8">
        <v>45368</v>
      </c>
      <c r="E2100" s="8" t="str">
        <f t="shared" si="127"/>
        <v>March</v>
      </c>
      <c r="F2100">
        <f t="shared" si="128"/>
        <v>2024</v>
      </c>
      <c r="G2100">
        <f t="shared" si="129"/>
        <v>1</v>
      </c>
      <c r="H2100">
        <f t="shared" si="130"/>
        <v>1</v>
      </c>
      <c r="I2100" s="6">
        <v>0.4597222222222222</v>
      </c>
      <c r="J2100" s="6">
        <v>0.72361111111111109</v>
      </c>
      <c r="K2100" s="7" t="s">
        <v>26</v>
      </c>
      <c r="L2100" s="7" t="s">
        <v>14</v>
      </c>
      <c r="M2100" s="7" t="s">
        <v>21</v>
      </c>
      <c r="N2100" s="7">
        <f>COUNTIFS(A:A,A2100,D:D,D2100,E:E,I2100)</f>
        <v>0</v>
      </c>
    </row>
    <row r="2101" spans="1:14" x14ac:dyDescent="0.3">
      <c r="A2101" s="7" t="s">
        <v>194</v>
      </c>
      <c r="B2101" s="7" t="s">
        <v>195</v>
      </c>
      <c r="C2101" s="7" t="s">
        <v>42</v>
      </c>
      <c r="D2101" s="8">
        <v>45566</v>
      </c>
      <c r="E2101" s="8" t="str">
        <f t="shared" si="127"/>
        <v>October</v>
      </c>
      <c r="F2101">
        <f t="shared" si="128"/>
        <v>2024</v>
      </c>
      <c r="G2101">
        <f t="shared" si="129"/>
        <v>1</v>
      </c>
      <c r="H2101">
        <f t="shared" si="130"/>
        <v>1</v>
      </c>
      <c r="I2101" s="6">
        <v>0.48194444444444445</v>
      </c>
      <c r="J2101" s="6">
        <v>0.68958333333333333</v>
      </c>
      <c r="K2101" s="7" t="s">
        <v>26</v>
      </c>
      <c r="L2101" s="7" t="s">
        <v>14</v>
      </c>
      <c r="M2101" s="7" t="s">
        <v>15</v>
      </c>
      <c r="N2101" s="7">
        <f>COUNTIFS(A:A,A2101,D:D,D2101,E:E,I2101)</f>
        <v>0</v>
      </c>
    </row>
    <row r="2102" spans="1:14" x14ac:dyDescent="0.3">
      <c r="A2102" s="7" t="s">
        <v>28</v>
      </c>
      <c r="B2102" s="7" t="s">
        <v>29</v>
      </c>
      <c r="C2102" s="7" t="s">
        <v>60</v>
      </c>
      <c r="D2102" s="8">
        <v>45538</v>
      </c>
      <c r="E2102" s="8" t="str">
        <f t="shared" si="127"/>
        <v>September</v>
      </c>
      <c r="F2102">
        <f t="shared" si="128"/>
        <v>2024</v>
      </c>
      <c r="G2102">
        <f t="shared" si="129"/>
        <v>1</v>
      </c>
      <c r="H2102">
        <f t="shared" si="130"/>
        <v>1</v>
      </c>
      <c r="I2102" s="6">
        <v>0.45</v>
      </c>
      <c r="J2102" s="6">
        <v>0.6743055555555556</v>
      </c>
      <c r="K2102" s="7" t="s">
        <v>26</v>
      </c>
      <c r="L2102" s="7" t="s">
        <v>27</v>
      </c>
      <c r="M2102" s="7" t="s">
        <v>21</v>
      </c>
      <c r="N2102" s="7">
        <f>COUNTIFS(A:A,A2102,D:D,D2102,E:E,I2102)</f>
        <v>0</v>
      </c>
    </row>
    <row r="2103" spans="1:14" x14ac:dyDescent="0.3">
      <c r="A2103" s="7" t="s">
        <v>102</v>
      </c>
      <c r="B2103" s="7" t="s">
        <v>103</v>
      </c>
      <c r="C2103" s="7" t="s">
        <v>425</v>
      </c>
      <c r="D2103" s="8">
        <v>45300</v>
      </c>
      <c r="E2103" s="8" t="str">
        <f t="shared" si="127"/>
        <v>January</v>
      </c>
      <c r="F2103">
        <f t="shared" si="128"/>
        <v>2024</v>
      </c>
      <c r="G2103">
        <f t="shared" si="129"/>
        <v>1</v>
      </c>
      <c r="H2103">
        <f t="shared" si="130"/>
        <v>1</v>
      </c>
      <c r="I2103" s="6">
        <v>0.41249999999999998</v>
      </c>
      <c r="J2103" s="6">
        <v>0.79722222222222228</v>
      </c>
      <c r="K2103" s="7" t="s">
        <v>26</v>
      </c>
      <c r="L2103" s="7" t="s">
        <v>14</v>
      </c>
      <c r="M2103" s="7" t="s">
        <v>15</v>
      </c>
      <c r="N2103" s="7">
        <f>COUNTIFS(A:A,A2103,D:D,D2103,E:E,I2103)</f>
        <v>0</v>
      </c>
    </row>
    <row r="2104" spans="1:14" x14ac:dyDescent="0.3">
      <c r="A2104" s="7" t="s">
        <v>157</v>
      </c>
      <c r="B2104" s="7" t="s">
        <v>158</v>
      </c>
      <c r="C2104" s="7" t="s">
        <v>425</v>
      </c>
      <c r="D2104" s="8">
        <v>45364</v>
      </c>
      <c r="E2104" s="8" t="str">
        <f t="shared" si="127"/>
        <v>March</v>
      </c>
      <c r="F2104">
        <f t="shared" si="128"/>
        <v>2024</v>
      </c>
      <c r="G2104">
        <f t="shared" si="129"/>
        <v>1</v>
      </c>
      <c r="H2104">
        <f t="shared" si="130"/>
        <v>0</v>
      </c>
      <c r="I2104" s="6">
        <v>0.42291666666666666</v>
      </c>
      <c r="J2104" s="6">
        <v>0.74583333333333335</v>
      </c>
      <c r="K2104" s="7" t="s">
        <v>13</v>
      </c>
      <c r="L2104" s="7" t="s">
        <v>14</v>
      </c>
      <c r="M2104" s="7" t="s">
        <v>15</v>
      </c>
      <c r="N2104" s="7">
        <f>COUNTIFS(A:A,A2104,D:D,D2104,E:E,I2104)</f>
        <v>0</v>
      </c>
    </row>
    <row r="2105" spans="1:14" x14ac:dyDescent="0.3">
      <c r="A2105" s="7" t="s">
        <v>154</v>
      </c>
      <c r="B2105" s="7" t="s">
        <v>155</v>
      </c>
      <c r="C2105" s="7" t="s">
        <v>64</v>
      </c>
      <c r="D2105" s="8">
        <v>45343</v>
      </c>
      <c r="E2105" s="8" t="str">
        <f t="shared" si="127"/>
        <v>February</v>
      </c>
      <c r="F2105">
        <f t="shared" si="128"/>
        <v>2024</v>
      </c>
      <c r="G2105">
        <f t="shared" si="129"/>
        <v>0</v>
      </c>
      <c r="H2105">
        <f t="shared" si="130"/>
        <v>0</v>
      </c>
      <c r="I2105" s="6"/>
      <c r="J2105" s="6"/>
      <c r="K2105" s="7" t="s">
        <v>44</v>
      </c>
      <c r="L2105" s="7" t="s">
        <v>27</v>
      </c>
      <c r="M2105" s="7" t="s">
        <v>15</v>
      </c>
      <c r="N2105" s="7">
        <f>COUNTIFS(A:A,A2105,D:D,D2105,E:E,I2105)</f>
        <v>0</v>
      </c>
    </row>
    <row r="2106" spans="1:14" x14ac:dyDescent="0.3">
      <c r="A2106" s="7" t="s">
        <v>141</v>
      </c>
      <c r="B2106" s="7" t="s">
        <v>142</v>
      </c>
      <c r="C2106" s="7" t="s">
        <v>426</v>
      </c>
      <c r="D2106" s="8">
        <v>45319</v>
      </c>
      <c r="E2106" s="8" t="str">
        <f t="shared" si="127"/>
        <v>January</v>
      </c>
      <c r="F2106">
        <f t="shared" si="128"/>
        <v>2024</v>
      </c>
      <c r="G2106">
        <f t="shared" si="129"/>
        <v>1</v>
      </c>
      <c r="H2106">
        <f t="shared" si="130"/>
        <v>1</v>
      </c>
      <c r="I2106" s="6">
        <v>0.49027777777777776</v>
      </c>
      <c r="J2106" s="6">
        <v>0.8125</v>
      </c>
      <c r="K2106" s="7" t="s">
        <v>26</v>
      </c>
      <c r="L2106" s="7" t="s">
        <v>27</v>
      </c>
      <c r="M2106" s="7" t="s">
        <v>15</v>
      </c>
      <c r="N2106" s="7">
        <f>COUNTIFS(A:A,A2106,D:D,D2106,E:E,I2106)</f>
        <v>0</v>
      </c>
    </row>
    <row r="2107" spans="1:14" x14ac:dyDescent="0.3">
      <c r="A2107" s="7" t="s">
        <v>72</v>
      </c>
      <c r="B2107" s="7" t="s">
        <v>73</v>
      </c>
      <c r="C2107" s="7" t="s">
        <v>60</v>
      </c>
      <c r="D2107" s="8">
        <v>45302</v>
      </c>
      <c r="E2107" s="8" t="str">
        <f t="shared" si="127"/>
        <v>January</v>
      </c>
      <c r="F2107">
        <f t="shared" si="128"/>
        <v>2024</v>
      </c>
      <c r="G2107">
        <f t="shared" si="129"/>
        <v>1</v>
      </c>
      <c r="H2107">
        <f t="shared" si="130"/>
        <v>1</v>
      </c>
      <c r="I2107" s="6">
        <v>0.38750000000000001</v>
      </c>
      <c r="J2107" s="6">
        <v>0.87083333333333335</v>
      </c>
      <c r="K2107" s="7" t="s">
        <v>26</v>
      </c>
      <c r="L2107" s="7" t="s">
        <v>14</v>
      </c>
      <c r="M2107" s="7" t="s">
        <v>15</v>
      </c>
      <c r="N2107" s="7">
        <f>COUNTIFS(A:A,A2107,D:D,D2107,E:E,I2107)</f>
        <v>0</v>
      </c>
    </row>
    <row r="2108" spans="1:14" x14ac:dyDescent="0.3">
      <c r="A2108" s="7" t="s">
        <v>84</v>
      </c>
      <c r="B2108" s="7" t="s">
        <v>85</v>
      </c>
      <c r="C2108" s="7" t="s">
        <v>64</v>
      </c>
      <c r="D2108" s="8">
        <v>45341</v>
      </c>
      <c r="E2108" s="8" t="str">
        <f t="shared" si="127"/>
        <v>February</v>
      </c>
      <c r="F2108">
        <f t="shared" si="128"/>
        <v>2024</v>
      </c>
      <c r="G2108">
        <f t="shared" si="129"/>
        <v>1</v>
      </c>
      <c r="H2108">
        <f t="shared" si="130"/>
        <v>1</v>
      </c>
      <c r="I2108" s="6">
        <v>0.49166666666666664</v>
      </c>
      <c r="J2108" s="6">
        <v>0.79861111111111116</v>
      </c>
      <c r="K2108" s="7" t="s">
        <v>26</v>
      </c>
      <c r="L2108" s="7" t="s">
        <v>14</v>
      </c>
      <c r="M2108" s="7" t="s">
        <v>21</v>
      </c>
      <c r="N2108" s="7">
        <f>COUNTIFS(A:A,A2108,D:D,D2108,E:E,I2108)</f>
        <v>0</v>
      </c>
    </row>
    <row r="2109" spans="1:14" x14ac:dyDescent="0.3">
      <c r="A2109" s="7" t="s">
        <v>194</v>
      </c>
      <c r="B2109" s="7" t="s">
        <v>195</v>
      </c>
      <c r="C2109" s="7" t="s">
        <v>425</v>
      </c>
      <c r="D2109" s="8">
        <v>45446</v>
      </c>
      <c r="E2109" s="8" t="str">
        <f t="shared" si="127"/>
        <v>June</v>
      </c>
      <c r="F2109">
        <f t="shared" si="128"/>
        <v>2024</v>
      </c>
      <c r="G2109">
        <f t="shared" si="129"/>
        <v>1</v>
      </c>
      <c r="H2109">
        <f t="shared" si="130"/>
        <v>0</v>
      </c>
      <c r="I2109" s="6">
        <v>0.43611111111111112</v>
      </c>
      <c r="J2109" s="6">
        <v>0.82638888888888884</v>
      </c>
      <c r="K2109" s="7" t="s">
        <v>13</v>
      </c>
      <c r="L2109" s="7" t="s">
        <v>14</v>
      </c>
      <c r="M2109" s="7" t="s">
        <v>15</v>
      </c>
      <c r="N2109" s="7">
        <f>COUNTIFS(A:A,A2109,D:D,D2109,E:E,I2109)</f>
        <v>0</v>
      </c>
    </row>
    <row r="2110" spans="1:14" x14ac:dyDescent="0.3">
      <c r="A2110" s="7" t="s">
        <v>34</v>
      </c>
      <c r="B2110" s="7" t="s">
        <v>35</v>
      </c>
      <c r="C2110" s="7" t="s">
        <v>426</v>
      </c>
      <c r="D2110" s="8">
        <v>45301</v>
      </c>
      <c r="E2110" s="8" t="str">
        <f t="shared" si="127"/>
        <v>January</v>
      </c>
      <c r="F2110">
        <f t="shared" si="128"/>
        <v>2024</v>
      </c>
      <c r="G2110">
        <f t="shared" si="129"/>
        <v>0</v>
      </c>
      <c r="H2110">
        <f t="shared" si="130"/>
        <v>0</v>
      </c>
      <c r="I2110" s="6"/>
      <c r="J2110" s="6"/>
      <c r="K2110" s="7" t="s">
        <v>44</v>
      </c>
      <c r="L2110" s="7" t="s">
        <v>14</v>
      </c>
      <c r="M2110" s="7" t="s">
        <v>21</v>
      </c>
      <c r="N2110" s="7">
        <f>COUNTIFS(A:A,A2110,D:D,D2110,E:E,I2110)</f>
        <v>0</v>
      </c>
    </row>
    <row r="2111" spans="1:14" x14ac:dyDescent="0.3">
      <c r="A2111" s="7" t="s">
        <v>175</v>
      </c>
      <c r="B2111" s="7" t="s">
        <v>176</v>
      </c>
      <c r="C2111" s="7" t="s">
        <v>425</v>
      </c>
      <c r="D2111" s="8">
        <v>45378</v>
      </c>
      <c r="E2111" s="8" t="str">
        <f t="shared" si="127"/>
        <v>March</v>
      </c>
      <c r="F2111">
        <f t="shared" si="128"/>
        <v>2024</v>
      </c>
      <c r="G2111">
        <f t="shared" si="129"/>
        <v>0</v>
      </c>
      <c r="H2111">
        <f t="shared" si="130"/>
        <v>0</v>
      </c>
      <c r="I2111" s="6"/>
      <c r="J2111" s="6"/>
      <c r="K2111" s="7" t="s">
        <v>44</v>
      </c>
      <c r="L2111" s="7" t="s">
        <v>27</v>
      </c>
      <c r="M2111" s="7" t="s">
        <v>15</v>
      </c>
      <c r="N2111" s="7">
        <f>COUNTIFS(A:A,A2111,D:D,D2111,E:E,I2111)</f>
        <v>0</v>
      </c>
    </row>
    <row r="2112" spans="1:14" x14ac:dyDescent="0.3">
      <c r="A2112" s="7" t="s">
        <v>90</v>
      </c>
      <c r="B2112" s="7" t="s">
        <v>91</v>
      </c>
      <c r="C2112" s="7" t="s">
        <v>42</v>
      </c>
      <c r="D2112" s="8">
        <v>45322</v>
      </c>
      <c r="E2112" s="8" t="str">
        <f t="shared" si="127"/>
        <v>January</v>
      </c>
      <c r="F2112">
        <f t="shared" si="128"/>
        <v>2024</v>
      </c>
      <c r="G2112">
        <f t="shared" si="129"/>
        <v>1</v>
      </c>
      <c r="H2112">
        <f t="shared" si="130"/>
        <v>1</v>
      </c>
      <c r="I2112" s="6">
        <v>0.44305555555555554</v>
      </c>
      <c r="J2112" s="6">
        <v>0.81111111111111112</v>
      </c>
      <c r="K2112" s="7" t="s">
        <v>26</v>
      </c>
      <c r="L2112" s="7" t="s">
        <v>14</v>
      </c>
      <c r="M2112" s="7" t="s">
        <v>15</v>
      </c>
      <c r="N2112" s="7">
        <f>COUNTIFS(A:A,A2112,D:D,D2112,E:E,I2112)</f>
        <v>0</v>
      </c>
    </row>
    <row r="2113" spans="1:14" x14ac:dyDescent="0.3">
      <c r="A2113" s="7" t="s">
        <v>315</v>
      </c>
      <c r="B2113" s="7" t="s">
        <v>316</v>
      </c>
      <c r="C2113" s="7" t="s">
        <v>42</v>
      </c>
      <c r="D2113" s="8">
        <v>45344</v>
      </c>
      <c r="E2113" s="8" t="str">
        <f t="shared" si="127"/>
        <v>February</v>
      </c>
      <c r="F2113">
        <f t="shared" si="128"/>
        <v>2024</v>
      </c>
      <c r="G2113">
        <f t="shared" si="129"/>
        <v>1</v>
      </c>
      <c r="H2113">
        <f t="shared" si="130"/>
        <v>0</v>
      </c>
      <c r="I2113" s="6">
        <v>0.42291666666666666</v>
      </c>
      <c r="J2113" s="6">
        <v>0.82638888888888884</v>
      </c>
      <c r="K2113" s="7" t="s">
        <v>13</v>
      </c>
      <c r="L2113" s="7" t="s">
        <v>27</v>
      </c>
      <c r="M2113" s="7" t="s">
        <v>15</v>
      </c>
      <c r="N2113" s="7">
        <f>COUNTIFS(A:A,A2113,D:D,D2113,E:E,I2113)</f>
        <v>0</v>
      </c>
    </row>
    <row r="2114" spans="1:14" x14ac:dyDescent="0.3">
      <c r="A2114" s="7" t="s">
        <v>171</v>
      </c>
      <c r="B2114" s="7" t="s">
        <v>172</v>
      </c>
      <c r="C2114" s="7" t="s">
        <v>60</v>
      </c>
      <c r="D2114" s="8">
        <v>45415</v>
      </c>
      <c r="E2114" s="8" t="str">
        <f t="shared" ref="E2114:E2177" si="131">TEXT(D2114,"mmmm")</f>
        <v>May</v>
      </c>
      <c r="F2114">
        <f t="shared" ref="F2114:F2177" si="132">YEAR(D2114)</f>
        <v>2024</v>
      </c>
      <c r="G2114">
        <f t="shared" ref="G2114:G2177" si="133">IF(LOWER(K2114)="absent",0,1)</f>
        <v>1</v>
      </c>
      <c r="H2114">
        <f t="shared" ref="H2114:H2177" si="134">IF(K2114="Late",1,0)</f>
        <v>0</v>
      </c>
      <c r="I2114" s="6">
        <v>0.45</v>
      </c>
      <c r="J2114" s="6">
        <v>0.80347222222222225</v>
      </c>
      <c r="K2114" s="7" t="s">
        <v>13</v>
      </c>
      <c r="L2114" s="7" t="s">
        <v>14</v>
      </c>
      <c r="M2114" s="7" t="s">
        <v>15</v>
      </c>
      <c r="N2114" s="7">
        <f>COUNTIFS(A:A,A2114,D:D,D2114,E:E,I2114)</f>
        <v>0</v>
      </c>
    </row>
    <row r="2115" spans="1:14" x14ac:dyDescent="0.3">
      <c r="A2115" s="7" t="s">
        <v>165</v>
      </c>
      <c r="B2115" s="7" t="s">
        <v>166</v>
      </c>
      <c r="C2115" s="7" t="s">
        <v>60</v>
      </c>
      <c r="D2115" s="8">
        <v>45367</v>
      </c>
      <c r="E2115" s="8" t="str">
        <f t="shared" si="131"/>
        <v>March</v>
      </c>
      <c r="F2115">
        <f t="shared" si="132"/>
        <v>2024</v>
      </c>
      <c r="G2115">
        <f t="shared" si="133"/>
        <v>0</v>
      </c>
      <c r="H2115">
        <f t="shared" si="134"/>
        <v>0</v>
      </c>
      <c r="I2115" s="6"/>
      <c r="J2115" s="6"/>
      <c r="K2115" s="7" t="s">
        <v>44</v>
      </c>
      <c r="L2115" s="7" t="s">
        <v>14</v>
      </c>
      <c r="M2115" s="7" t="s">
        <v>15</v>
      </c>
      <c r="N2115" s="7">
        <f>COUNTIFS(A:A,A2115,D:D,D2115,E:E,I2115)</f>
        <v>0</v>
      </c>
    </row>
    <row r="2116" spans="1:14" x14ac:dyDescent="0.3">
      <c r="A2116" s="7" t="s">
        <v>58</v>
      </c>
      <c r="B2116" s="7" t="s">
        <v>59</v>
      </c>
      <c r="C2116" s="7" t="s">
        <v>425</v>
      </c>
      <c r="D2116" s="8">
        <v>45375</v>
      </c>
      <c r="E2116" s="8" t="str">
        <f t="shared" si="131"/>
        <v>March</v>
      </c>
      <c r="F2116">
        <f t="shared" si="132"/>
        <v>2024</v>
      </c>
      <c r="G2116">
        <f t="shared" si="133"/>
        <v>0</v>
      </c>
      <c r="H2116">
        <f t="shared" si="134"/>
        <v>0</v>
      </c>
      <c r="I2116" s="6"/>
      <c r="J2116" s="6"/>
      <c r="K2116" s="7" t="s">
        <v>44</v>
      </c>
      <c r="L2116" s="7" t="s">
        <v>14</v>
      </c>
      <c r="M2116" s="7" t="s">
        <v>15</v>
      </c>
      <c r="N2116" s="7">
        <f>COUNTIFS(A:A,A2116,D:D,D2116,E:E,I2116)</f>
        <v>0</v>
      </c>
    </row>
    <row r="2117" spans="1:14" x14ac:dyDescent="0.3">
      <c r="A2117" s="7" t="s">
        <v>141</v>
      </c>
      <c r="B2117" s="7" t="s">
        <v>142</v>
      </c>
      <c r="C2117" s="7" t="s">
        <v>64</v>
      </c>
      <c r="D2117" s="8">
        <v>45347</v>
      </c>
      <c r="E2117" s="8" t="str">
        <f t="shared" si="131"/>
        <v>February</v>
      </c>
      <c r="F2117">
        <f t="shared" si="132"/>
        <v>2024</v>
      </c>
      <c r="G2117">
        <f t="shared" si="133"/>
        <v>1</v>
      </c>
      <c r="H2117">
        <f t="shared" si="134"/>
        <v>0</v>
      </c>
      <c r="I2117" s="6">
        <v>0.3347222222222222</v>
      </c>
      <c r="J2117" s="6">
        <v>0.70416666666666672</v>
      </c>
      <c r="K2117" s="7" t="s">
        <v>20</v>
      </c>
      <c r="L2117" s="7" t="s">
        <v>14</v>
      </c>
      <c r="M2117" s="7" t="s">
        <v>15</v>
      </c>
      <c r="N2117" s="7">
        <f>COUNTIFS(A:A,A2117,D:D,D2117,E:E,I2117)</f>
        <v>0</v>
      </c>
    </row>
    <row r="2118" spans="1:14" x14ac:dyDescent="0.3">
      <c r="A2118" s="7" t="s">
        <v>171</v>
      </c>
      <c r="B2118" s="7" t="s">
        <v>172</v>
      </c>
      <c r="C2118" s="7" t="s">
        <v>425</v>
      </c>
      <c r="D2118" s="8">
        <v>45323</v>
      </c>
      <c r="E2118" s="8" t="str">
        <f t="shared" si="131"/>
        <v>February</v>
      </c>
      <c r="F2118">
        <f t="shared" si="132"/>
        <v>2024</v>
      </c>
      <c r="G2118">
        <f t="shared" si="133"/>
        <v>0</v>
      </c>
      <c r="H2118">
        <f t="shared" si="134"/>
        <v>0</v>
      </c>
      <c r="I2118" s="6"/>
      <c r="J2118" s="6"/>
      <c r="K2118" s="7" t="s">
        <v>44</v>
      </c>
      <c r="L2118" s="7" t="s">
        <v>14</v>
      </c>
      <c r="M2118" s="7" t="s">
        <v>15</v>
      </c>
      <c r="N2118" s="7">
        <f>COUNTIFS(A:A,A2118,D:D,D2118,E:E,I2118)</f>
        <v>0</v>
      </c>
    </row>
    <row r="2119" spans="1:14" x14ac:dyDescent="0.3">
      <c r="A2119" s="7" t="s">
        <v>75</v>
      </c>
      <c r="B2119" s="7" t="s">
        <v>76</v>
      </c>
      <c r="C2119" s="7" t="s">
        <v>42</v>
      </c>
      <c r="D2119" s="8">
        <v>45318</v>
      </c>
      <c r="E2119" s="8" t="str">
        <f t="shared" si="131"/>
        <v>January</v>
      </c>
      <c r="F2119">
        <f t="shared" si="132"/>
        <v>2024</v>
      </c>
      <c r="G2119">
        <f t="shared" si="133"/>
        <v>1</v>
      </c>
      <c r="H2119">
        <f t="shared" si="134"/>
        <v>0</v>
      </c>
      <c r="I2119" s="6">
        <v>0.46458333333333335</v>
      </c>
      <c r="J2119" s="6">
        <v>0.75763888888888886</v>
      </c>
      <c r="K2119" s="7" t="s">
        <v>13</v>
      </c>
      <c r="L2119" s="7" t="s">
        <v>14</v>
      </c>
      <c r="M2119" s="7" t="s">
        <v>21</v>
      </c>
      <c r="N2119" s="7">
        <f>COUNTIFS(A:A,A2119,D:D,D2119,E:E,I2119)</f>
        <v>0</v>
      </c>
    </row>
    <row r="2120" spans="1:14" x14ac:dyDescent="0.3">
      <c r="A2120" s="7" t="s">
        <v>93</v>
      </c>
      <c r="B2120" s="7" t="s">
        <v>94</v>
      </c>
      <c r="C2120" s="7" t="s">
        <v>42</v>
      </c>
      <c r="D2120" s="8">
        <v>45340</v>
      </c>
      <c r="E2120" s="8" t="str">
        <f t="shared" si="131"/>
        <v>February</v>
      </c>
      <c r="F2120">
        <f t="shared" si="132"/>
        <v>2024</v>
      </c>
      <c r="G2120">
        <f t="shared" si="133"/>
        <v>0</v>
      </c>
      <c r="H2120">
        <f t="shared" si="134"/>
        <v>0</v>
      </c>
      <c r="I2120" s="6"/>
      <c r="J2120" s="6"/>
      <c r="K2120" s="7" t="s">
        <v>44</v>
      </c>
      <c r="L2120" s="7" t="s">
        <v>27</v>
      </c>
      <c r="M2120" s="7" t="s">
        <v>15</v>
      </c>
      <c r="N2120" s="7">
        <f>COUNTIFS(A:A,A2120,D:D,D2120,E:E,I2120)</f>
        <v>0</v>
      </c>
    </row>
    <row r="2121" spans="1:14" x14ac:dyDescent="0.3">
      <c r="A2121" s="7" t="s">
        <v>146</v>
      </c>
      <c r="B2121" s="7" t="s">
        <v>147</v>
      </c>
      <c r="C2121" s="7" t="s">
        <v>42</v>
      </c>
      <c r="D2121" s="8">
        <v>45323</v>
      </c>
      <c r="E2121" s="8" t="str">
        <f t="shared" si="131"/>
        <v>February</v>
      </c>
      <c r="F2121">
        <f t="shared" si="132"/>
        <v>2024</v>
      </c>
      <c r="G2121">
        <f t="shared" si="133"/>
        <v>1</v>
      </c>
      <c r="H2121">
        <f t="shared" si="134"/>
        <v>1</v>
      </c>
      <c r="I2121" s="6">
        <v>0.41944444444444445</v>
      </c>
      <c r="J2121" s="6">
        <v>0.76597222222222228</v>
      </c>
      <c r="K2121" s="7" t="s">
        <v>26</v>
      </c>
      <c r="L2121" s="7" t="s">
        <v>27</v>
      </c>
      <c r="M2121" s="7" t="s">
        <v>21</v>
      </c>
      <c r="N2121" s="7">
        <f>COUNTIFS(A:A,A2121,D:D,D2121,E:E,I2121)</f>
        <v>0</v>
      </c>
    </row>
    <row r="2122" spans="1:14" x14ac:dyDescent="0.3">
      <c r="A2122" s="7" t="s">
        <v>146</v>
      </c>
      <c r="B2122" s="7" t="s">
        <v>147</v>
      </c>
      <c r="C2122" s="7" t="s">
        <v>425</v>
      </c>
      <c r="D2122" s="8">
        <v>45309</v>
      </c>
      <c r="E2122" s="8" t="str">
        <f t="shared" si="131"/>
        <v>January</v>
      </c>
      <c r="F2122">
        <f t="shared" si="132"/>
        <v>2024</v>
      </c>
      <c r="G2122">
        <f t="shared" si="133"/>
        <v>1</v>
      </c>
      <c r="H2122">
        <f t="shared" si="134"/>
        <v>0</v>
      </c>
      <c r="I2122" s="6">
        <v>0.47986111111111113</v>
      </c>
      <c r="J2122" s="6">
        <v>0.76597222222222228</v>
      </c>
      <c r="K2122" s="7" t="s">
        <v>13</v>
      </c>
      <c r="L2122" s="7" t="s">
        <v>27</v>
      </c>
      <c r="M2122" s="7" t="s">
        <v>15</v>
      </c>
      <c r="N2122" s="7">
        <f>COUNTIFS(A:A,A2122,D:D,D2122,E:E,I2122)</f>
        <v>0</v>
      </c>
    </row>
    <row r="2123" spans="1:14" x14ac:dyDescent="0.3">
      <c r="A2123" s="7" t="s">
        <v>22</v>
      </c>
      <c r="B2123" s="7" t="s">
        <v>23</v>
      </c>
      <c r="C2123" s="7" t="s">
        <v>60</v>
      </c>
      <c r="D2123" s="8">
        <v>45349</v>
      </c>
      <c r="E2123" s="8" t="str">
        <f t="shared" si="131"/>
        <v>February</v>
      </c>
      <c r="F2123">
        <f t="shared" si="132"/>
        <v>2024</v>
      </c>
      <c r="G2123">
        <f t="shared" si="133"/>
        <v>1</v>
      </c>
      <c r="H2123">
        <f t="shared" si="134"/>
        <v>1</v>
      </c>
      <c r="I2123" s="6">
        <v>0.36527777777777776</v>
      </c>
      <c r="J2123" s="6">
        <v>0.79027777777777775</v>
      </c>
      <c r="K2123" s="7" t="s">
        <v>26</v>
      </c>
      <c r="L2123" s="7" t="s">
        <v>14</v>
      </c>
      <c r="M2123" s="7" t="s">
        <v>15</v>
      </c>
      <c r="N2123" s="7">
        <f>COUNTIFS(A:A,A2123,D:D,D2123,E:E,I2123)</f>
        <v>0</v>
      </c>
    </row>
    <row r="2124" spans="1:14" x14ac:dyDescent="0.3">
      <c r="A2124" s="7" t="s">
        <v>87</v>
      </c>
      <c r="B2124" s="7" t="s">
        <v>88</v>
      </c>
      <c r="C2124" s="7" t="s">
        <v>42</v>
      </c>
      <c r="D2124" s="8">
        <v>45628</v>
      </c>
      <c r="E2124" s="8" t="str">
        <f t="shared" si="131"/>
        <v>December</v>
      </c>
      <c r="F2124">
        <f t="shared" si="132"/>
        <v>2024</v>
      </c>
      <c r="G2124">
        <f t="shared" si="133"/>
        <v>1</v>
      </c>
      <c r="H2124">
        <f t="shared" si="134"/>
        <v>0</v>
      </c>
      <c r="I2124" s="6">
        <v>0.49513888888888891</v>
      </c>
      <c r="J2124" s="6">
        <v>0.81666666666666665</v>
      </c>
      <c r="K2124" s="7" t="s">
        <v>20</v>
      </c>
      <c r="L2124" s="7" t="s">
        <v>14</v>
      </c>
      <c r="M2124" s="7" t="s">
        <v>21</v>
      </c>
      <c r="N2124" s="7">
        <f>COUNTIFS(A:A,A2124,D:D,D2124,E:E,I2124)</f>
        <v>0</v>
      </c>
    </row>
    <row r="2125" spans="1:14" x14ac:dyDescent="0.3">
      <c r="A2125" s="7" t="s">
        <v>81</v>
      </c>
      <c r="B2125" s="7" t="s">
        <v>82</v>
      </c>
      <c r="C2125" s="7" t="s">
        <v>42</v>
      </c>
      <c r="D2125" s="8">
        <v>45383</v>
      </c>
      <c r="E2125" s="8" t="str">
        <f t="shared" si="131"/>
        <v>April</v>
      </c>
      <c r="F2125">
        <f t="shared" si="132"/>
        <v>2024</v>
      </c>
      <c r="G2125">
        <f t="shared" si="133"/>
        <v>1</v>
      </c>
      <c r="H2125">
        <f t="shared" si="134"/>
        <v>1</v>
      </c>
      <c r="I2125" s="6">
        <v>0.45069444444444445</v>
      </c>
      <c r="J2125" s="6">
        <v>0.81874999999999998</v>
      </c>
      <c r="K2125" s="7" t="s">
        <v>26</v>
      </c>
      <c r="L2125" s="7" t="s">
        <v>27</v>
      </c>
      <c r="M2125" s="7" t="s">
        <v>15</v>
      </c>
      <c r="N2125" s="7">
        <f>COUNTIFS(A:A,A2125,D:D,D2125,E:E,I2125)</f>
        <v>0</v>
      </c>
    </row>
    <row r="2126" spans="1:14" x14ac:dyDescent="0.3">
      <c r="A2126" s="7" t="s">
        <v>16</v>
      </c>
      <c r="B2126" s="7" t="s">
        <v>17</v>
      </c>
      <c r="C2126" s="7" t="s">
        <v>60</v>
      </c>
      <c r="D2126" s="8">
        <v>45599</v>
      </c>
      <c r="E2126" s="8" t="str">
        <f t="shared" si="131"/>
        <v>November</v>
      </c>
      <c r="F2126">
        <f t="shared" si="132"/>
        <v>2024</v>
      </c>
      <c r="G2126">
        <f t="shared" si="133"/>
        <v>1</v>
      </c>
      <c r="H2126">
        <f t="shared" si="134"/>
        <v>1</v>
      </c>
      <c r="I2126" s="6">
        <v>0.45347222222222222</v>
      </c>
      <c r="J2126" s="6">
        <v>0.74444444444444446</v>
      </c>
      <c r="K2126" s="7" t="s">
        <v>26</v>
      </c>
      <c r="L2126" s="7" t="s">
        <v>27</v>
      </c>
      <c r="M2126" s="7" t="s">
        <v>21</v>
      </c>
      <c r="N2126" s="7">
        <f>COUNTIFS(A:A,A2126,D:D,D2126,E:E,I2126)</f>
        <v>0</v>
      </c>
    </row>
    <row r="2127" spans="1:14" x14ac:dyDescent="0.3">
      <c r="A2127" s="7" t="s">
        <v>48</v>
      </c>
      <c r="B2127" s="7" t="s">
        <v>49</v>
      </c>
      <c r="C2127" s="7" t="s">
        <v>64</v>
      </c>
      <c r="D2127" s="8">
        <v>45369</v>
      </c>
      <c r="E2127" s="8" t="str">
        <f t="shared" si="131"/>
        <v>March</v>
      </c>
      <c r="F2127">
        <f t="shared" si="132"/>
        <v>2024</v>
      </c>
      <c r="G2127">
        <f t="shared" si="133"/>
        <v>1</v>
      </c>
      <c r="H2127">
        <f t="shared" si="134"/>
        <v>0</v>
      </c>
      <c r="I2127" s="6">
        <v>0.45208333333333334</v>
      </c>
      <c r="J2127" s="6">
        <v>0.75277777777777777</v>
      </c>
      <c r="K2127" s="7" t="s">
        <v>13</v>
      </c>
      <c r="L2127" s="7" t="s">
        <v>14</v>
      </c>
      <c r="M2127" s="7" t="s">
        <v>15</v>
      </c>
      <c r="N2127" s="7">
        <f>COUNTIFS(A:A,A2127,D:D,D2127,E:E,I2127)</f>
        <v>0</v>
      </c>
    </row>
    <row r="2128" spans="1:14" x14ac:dyDescent="0.3">
      <c r="A2128" s="7" t="s">
        <v>81</v>
      </c>
      <c r="B2128" s="7" t="s">
        <v>82</v>
      </c>
      <c r="C2128" s="7" t="s">
        <v>426</v>
      </c>
      <c r="D2128" s="8">
        <v>45307</v>
      </c>
      <c r="E2128" s="8" t="str">
        <f t="shared" si="131"/>
        <v>January</v>
      </c>
      <c r="F2128">
        <f t="shared" si="132"/>
        <v>2024</v>
      </c>
      <c r="G2128">
        <f t="shared" si="133"/>
        <v>1</v>
      </c>
      <c r="H2128">
        <f t="shared" si="134"/>
        <v>0</v>
      </c>
      <c r="I2128" s="6">
        <v>0.49583333333333335</v>
      </c>
      <c r="J2128" s="6">
        <v>0.84930555555555554</v>
      </c>
      <c r="K2128" s="7" t="s">
        <v>13</v>
      </c>
      <c r="L2128" s="7" t="s">
        <v>14</v>
      </c>
      <c r="M2128" s="7" t="s">
        <v>15</v>
      </c>
      <c r="N2128" s="7">
        <f>COUNTIFS(A:A,A2128,D:D,D2128,E:E,I2128)</f>
        <v>0</v>
      </c>
    </row>
    <row r="2129" spans="1:14" x14ac:dyDescent="0.3">
      <c r="A2129" s="7" t="s">
        <v>112</v>
      </c>
      <c r="B2129" s="7" t="s">
        <v>113</v>
      </c>
      <c r="C2129" s="7" t="s">
        <v>60</v>
      </c>
      <c r="D2129" s="8">
        <v>45339</v>
      </c>
      <c r="E2129" s="8" t="str">
        <f t="shared" si="131"/>
        <v>February</v>
      </c>
      <c r="F2129">
        <f t="shared" si="132"/>
        <v>2024</v>
      </c>
      <c r="G2129">
        <f t="shared" si="133"/>
        <v>1</v>
      </c>
      <c r="H2129">
        <f t="shared" si="134"/>
        <v>0</v>
      </c>
      <c r="I2129" s="6">
        <v>0.33541666666666664</v>
      </c>
      <c r="J2129" s="6">
        <v>0.7368055555555556</v>
      </c>
      <c r="K2129" s="7" t="s">
        <v>13</v>
      </c>
      <c r="L2129" s="7" t="s">
        <v>14</v>
      </c>
      <c r="M2129" s="7" t="s">
        <v>21</v>
      </c>
      <c r="N2129" s="7">
        <f>COUNTIFS(A:A,A2129,D:D,D2129,E:E,I2129)</f>
        <v>0</v>
      </c>
    </row>
    <row r="2130" spans="1:14" x14ac:dyDescent="0.3">
      <c r="A2130" s="7" t="s">
        <v>236</v>
      </c>
      <c r="B2130" s="7" t="s">
        <v>237</v>
      </c>
      <c r="C2130" s="7" t="s">
        <v>425</v>
      </c>
      <c r="D2130" s="8">
        <v>45629</v>
      </c>
      <c r="E2130" s="8" t="str">
        <f t="shared" si="131"/>
        <v>December</v>
      </c>
      <c r="F2130">
        <f t="shared" si="132"/>
        <v>2024</v>
      </c>
      <c r="G2130">
        <f t="shared" si="133"/>
        <v>1</v>
      </c>
      <c r="H2130">
        <f t="shared" si="134"/>
        <v>0</v>
      </c>
      <c r="I2130" s="6">
        <v>0.34305555555555556</v>
      </c>
      <c r="J2130" s="6">
        <v>0.82430555555555551</v>
      </c>
      <c r="K2130" s="7" t="s">
        <v>13</v>
      </c>
      <c r="L2130" s="7" t="s">
        <v>14</v>
      </c>
      <c r="M2130" s="7" t="s">
        <v>15</v>
      </c>
      <c r="N2130" s="7">
        <f>COUNTIFS(A:A,A2130,D:D,D2130,E:E,I2130)</f>
        <v>0</v>
      </c>
    </row>
    <row r="2131" spans="1:14" x14ac:dyDescent="0.3">
      <c r="A2131" s="7" t="s">
        <v>175</v>
      </c>
      <c r="B2131" s="7" t="s">
        <v>176</v>
      </c>
      <c r="C2131" s="7" t="s">
        <v>42</v>
      </c>
      <c r="D2131" s="8">
        <v>45381</v>
      </c>
      <c r="E2131" s="8" t="str">
        <f t="shared" si="131"/>
        <v>March</v>
      </c>
      <c r="F2131">
        <f t="shared" si="132"/>
        <v>2024</v>
      </c>
      <c r="G2131">
        <f t="shared" si="133"/>
        <v>1</v>
      </c>
      <c r="H2131">
        <f t="shared" si="134"/>
        <v>0</v>
      </c>
      <c r="I2131" s="6">
        <v>0.47569444444444442</v>
      </c>
      <c r="J2131" s="6">
        <v>0.71736111111111112</v>
      </c>
      <c r="K2131" s="7" t="s">
        <v>20</v>
      </c>
      <c r="L2131" s="7" t="s">
        <v>14</v>
      </c>
      <c r="M2131" s="7" t="s">
        <v>15</v>
      </c>
      <c r="N2131" s="7">
        <f>COUNTIFS(A:A,A2131,D:D,D2131,E:E,I2131)</f>
        <v>0</v>
      </c>
    </row>
    <row r="2132" spans="1:14" x14ac:dyDescent="0.3">
      <c r="A2132" s="7" t="s">
        <v>37</v>
      </c>
      <c r="B2132" s="7" t="s">
        <v>38</v>
      </c>
      <c r="C2132" s="7" t="s">
        <v>42</v>
      </c>
      <c r="D2132" s="8">
        <v>45568</v>
      </c>
      <c r="E2132" s="8" t="str">
        <f t="shared" si="131"/>
        <v>October</v>
      </c>
      <c r="F2132">
        <f t="shared" si="132"/>
        <v>2024</v>
      </c>
      <c r="G2132">
        <f t="shared" si="133"/>
        <v>1</v>
      </c>
      <c r="H2132">
        <f t="shared" si="134"/>
        <v>0</v>
      </c>
      <c r="I2132" s="6">
        <v>0.4861111111111111</v>
      </c>
      <c r="J2132" s="6">
        <v>0.86111111111111116</v>
      </c>
      <c r="K2132" s="7" t="s">
        <v>20</v>
      </c>
      <c r="L2132" s="7" t="s">
        <v>14</v>
      </c>
      <c r="M2132" s="7" t="s">
        <v>15</v>
      </c>
      <c r="N2132" s="7">
        <f>COUNTIFS(A:A,A2132,D:D,D2132,E:E,I2132)</f>
        <v>0</v>
      </c>
    </row>
    <row r="2133" spans="1:14" x14ac:dyDescent="0.3">
      <c r="A2133" s="7" t="s">
        <v>216</v>
      </c>
      <c r="B2133" s="7" t="s">
        <v>217</v>
      </c>
      <c r="C2133" s="7" t="s">
        <v>426</v>
      </c>
      <c r="D2133" s="8">
        <v>45629</v>
      </c>
      <c r="E2133" s="8" t="str">
        <f t="shared" si="131"/>
        <v>December</v>
      </c>
      <c r="F2133">
        <f t="shared" si="132"/>
        <v>2024</v>
      </c>
      <c r="G2133">
        <f t="shared" si="133"/>
        <v>1</v>
      </c>
      <c r="H2133">
        <f t="shared" si="134"/>
        <v>0</v>
      </c>
      <c r="I2133" s="6">
        <v>0.46527777777777779</v>
      </c>
      <c r="J2133" s="6">
        <v>0.68611111111111112</v>
      </c>
      <c r="K2133" s="7" t="s">
        <v>20</v>
      </c>
      <c r="L2133" s="7" t="s">
        <v>14</v>
      </c>
      <c r="M2133" s="7" t="s">
        <v>21</v>
      </c>
      <c r="N2133" s="7">
        <f>COUNTIFS(A:A,A2133,D:D,D2133,E:E,I2133)</f>
        <v>0</v>
      </c>
    </row>
    <row r="2134" spans="1:14" x14ac:dyDescent="0.3">
      <c r="A2134" s="7" t="s">
        <v>48</v>
      </c>
      <c r="B2134" s="7" t="s">
        <v>49</v>
      </c>
      <c r="C2134" s="7" t="s">
        <v>425</v>
      </c>
      <c r="D2134" s="8">
        <v>45349</v>
      </c>
      <c r="E2134" s="8" t="str">
        <f t="shared" si="131"/>
        <v>February</v>
      </c>
      <c r="F2134">
        <f t="shared" si="132"/>
        <v>2024</v>
      </c>
      <c r="G2134">
        <f t="shared" si="133"/>
        <v>1</v>
      </c>
      <c r="H2134">
        <f t="shared" si="134"/>
        <v>0</v>
      </c>
      <c r="I2134" s="6">
        <v>0.39374999999999999</v>
      </c>
      <c r="J2134" s="6">
        <v>0.75902777777777775</v>
      </c>
      <c r="K2134" s="7" t="s">
        <v>20</v>
      </c>
      <c r="L2134" s="7" t="s">
        <v>27</v>
      </c>
      <c r="M2134" s="7" t="s">
        <v>15</v>
      </c>
      <c r="N2134" s="7">
        <f>COUNTIFS(A:A,A2134,D:D,D2134,E:E,I2134)</f>
        <v>0</v>
      </c>
    </row>
    <row r="2135" spans="1:14" x14ac:dyDescent="0.3">
      <c r="A2135" s="7" t="s">
        <v>291</v>
      </c>
      <c r="B2135" s="7" t="s">
        <v>292</v>
      </c>
      <c r="C2135" s="7" t="s">
        <v>42</v>
      </c>
      <c r="D2135" s="8">
        <v>45323</v>
      </c>
      <c r="E2135" s="8" t="str">
        <f t="shared" si="131"/>
        <v>February</v>
      </c>
      <c r="F2135">
        <f t="shared" si="132"/>
        <v>2024</v>
      </c>
      <c r="G2135">
        <f t="shared" si="133"/>
        <v>1</v>
      </c>
      <c r="H2135">
        <f t="shared" si="134"/>
        <v>1</v>
      </c>
      <c r="I2135" s="6">
        <v>0.46250000000000002</v>
      </c>
      <c r="J2135" s="6">
        <v>0.71597222222222223</v>
      </c>
      <c r="K2135" s="7" t="s">
        <v>26</v>
      </c>
      <c r="L2135" s="7" t="s">
        <v>27</v>
      </c>
      <c r="M2135" s="7" t="s">
        <v>21</v>
      </c>
      <c r="N2135" s="7">
        <f>COUNTIFS(A:A,A2135,D:D,D2135,E:E,I2135)</f>
        <v>0</v>
      </c>
    </row>
    <row r="2136" spans="1:14" x14ac:dyDescent="0.3">
      <c r="A2136" s="7" t="s">
        <v>191</v>
      </c>
      <c r="B2136" s="7" t="s">
        <v>192</v>
      </c>
      <c r="C2136" s="7" t="s">
        <v>426</v>
      </c>
      <c r="D2136" s="8">
        <v>45368</v>
      </c>
      <c r="E2136" s="8" t="str">
        <f t="shared" si="131"/>
        <v>March</v>
      </c>
      <c r="F2136">
        <f t="shared" si="132"/>
        <v>2024</v>
      </c>
      <c r="G2136">
        <f t="shared" si="133"/>
        <v>1</v>
      </c>
      <c r="H2136">
        <f t="shared" si="134"/>
        <v>1</v>
      </c>
      <c r="I2136" s="6">
        <v>0.43958333333333333</v>
      </c>
      <c r="J2136" s="6">
        <v>0.69722222222222219</v>
      </c>
      <c r="K2136" s="7" t="s">
        <v>26</v>
      </c>
      <c r="L2136" s="7" t="s">
        <v>27</v>
      </c>
      <c r="M2136" s="7" t="s">
        <v>21</v>
      </c>
      <c r="N2136" s="7">
        <f>COUNTIFS(A:A,A2136,D:D,D2136,E:E,I2136)</f>
        <v>0</v>
      </c>
    </row>
    <row r="2137" spans="1:14" x14ac:dyDescent="0.3">
      <c r="A2137" s="7" t="s">
        <v>45</v>
      </c>
      <c r="B2137" s="7" t="s">
        <v>46</v>
      </c>
      <c r="C2137" s="7" t="s">
        <v>426</v>
      </c>
      <c r="D2137" s="8">
        <v>45342</v>
      </c>
      <c r="E2137" s="8" t="str">
        <f t="shared" si="131"/>
        <v>February</v>
      </c>
      <c r="F2137">
        <f t="shared" si="132"/>
        <v>2024</v>
      </c>
      <c r="G2137">
        <f t="shared" si="133"/>
        <v>1</v>
      </c>
      <c r="H2137">
        <f t="shared" si="134"/>
        <v>1</v>
      </c>
      <c r="I2137" s="6">
        <v>0.48333333333333334</v>
      </c>
      <c r="J2137" s="6">
        <v>0.79513888888888884</v>
      </c>
      <c r="K2137" s="7" t="s">
        <v>26</v>
      </c>
      <c r="L2137" s="7" t="s">
        <v>27</v>
      </c>
      <c r="M2137" s="7" t="s">
        <v>15</v>
      </c>
      <c r="N2137" s="7">
        <f>COUNTIFS(A:A,A2137,D:D,D2137,E:E,I2137)</f>
        <v>0</v>
      </c>
    </row>
    <row r="2138" spans="1:14" x14ac:dyDescent="0.3">
      <c r="A2138" s="7" t="s">
        <v>99</v>
      </c>
      <c r="B2138" s="7" t="s">
        <v>100</v>
      </c>
      <c r="C2138" s="7" t="s">
        <v>426</v>
      </c>
      <c r="D2138" s="8">
        <v>45364</v>
      </c>
      <c r="E2138" s="8" t="str">
        <f t="shared" si="131"/>
        <v>March</v>
      </c>
      <c r="F2138">
        <f t="shared" si="132"/>
        <v>2024</v>
      </c>
      <c r="G2138">
        <f t="shared" si="133"/>
        <v>1</v>
      </c>
      <c r="H2138">
        <f t="shared" si="134"/>
        <v>0</v>
      </c>
      <c r="I2138" s="6">
        <v>0.38750000000000001</v>
      </c>
      <c r="J2138" s="6">
        <v>0.74305555555555558</v>
      </c>
      <c r="K2138" s="7" t="s">
        <v>13</v>
      </c>
      <c r="L2138" s="7" t="s">
        <v>27</v>
      </c>
      <c r="M2138" s="7" t="s">
        <v>15</v>
      </c>
      <c r="N2138" s="7">
        <f>COUNTIFS(A:A,A2138,D:D,D2138,E:E,I2138)</f>
        <v>0</v>
      </c>
    </row>
    <row r="2139" spans="1:14" x14ac:dyDescent="0.3">
      <c r="A2139" s="7" t="s">
        <v>22</v>
      </c>
      <c r="B2139" s="7" t="s">
        <v>23</v>
      </c>
      <c r="C2139" s="7" t="s">
        <v>60</v>
      </c>
      <c r="D2139" s="8">
        <v>45379</v>
      </c>
      <c r="E2139" s="8" t="str">
        <f t="shared" si="131"/>
        <v>March</v>
      </c>
      <c r="F2139">
        <f t="shared" si="132"/>
        <v>2024</v>
      </c>
      <c r="G2139">
        <f t="shared" si="133"/>
        <v>0</v>
      </c>
      <c r="H2139">
        <f t="shared" si="134"/>
        <v>0</v>
      </c>
      <c r="I2139" s="6"/>
      <c r="J2139" s="6"/>
      <c r="K2139" s="7" t="s">
        <v>44</v>
      </c>
      <c r="L2139" s="7" t="s">
        <v>14</v>
      </c>
      <c r="M2139" s="7" t="s">
        <v>21</v>
      </c>
      <c r="N2139" s="7">
        <f>COUNTIFS(A:A,A2139,D:D,D2139,E:E,I2139)</f>
        <v>0</v>
      </c>
    </row>
    <row r="2140" spans="1:14" x14ac:dyDescent="0.3">
      <c r="A2140" s="7" t="s">
        <v>157</v>
      </c>
      <c r="B2140" s="7" t="s">
        <v>158</v>
      </c>
      <c r="C2140" s="7" t="s">
        <v>64</v>
      </c>
      <c r="D2140" s="8">
        <v>45568</v>
      </c>
      <c r="E2140" s="8" t="str">
        <f t="shared" si="131"/>
        <v>October</v>
      </c>
      <c r="F2140">
        <f t="shared" si="132"/>
        <v>2024</v>
      </c>
      <c r="G2140">
        <f t="shared" si="133"/>
        <v>1</v>
      </c>
      <c r="H2140">
        <f t="shared" si="134"/>
        <v>0</v>
      </c>
      <c r="I2140" s="6">
        <v>0.47361111111111109</v>
      </c>
      <c r="J2140" s="6">
        <v>0.8125</v>
      </c>
      <c r="K2140" s="7" t="s">
        <v>13</v>
      </c>
      <c r="L2140" s="7" t="s">
        <v>14</v>
      </c>
      <c r="M2140" s="7" t="s">
        <v>21</v>
      </c>
      <c r="N2140" s="7">
        <f>COUNTIFS(A:A,A2140,D:D,D2140,E:E,I2140)</f>
        <v>0</v>
      </c>
    </row>
    <row r="2141" spans="1:14" x14ac:dyDescent="0.3">
      <c r="A2141" s="7" t="s">
        <v>90</v>
      </c>
      <c r="B2141" s="7" t="s">
        <v>91</v>
      </c>
      <c r="C2141" s="7" t="s">
        <v>426</v>
      </c>
      <c r="D2141" s="8">
        <v>45360</v>
      </c>
      <c r="E2141" s="8" t="str">
        <f t="shared" si="131"/>
        <v>March</v>
      </c>
      <c r="F2141">
        <f t="shared" si="132"/>
        <v>2024</v>
      </c>
      <c r="G2141">
        <f t="shared" si="133"/>
        <v>0</v>
      </c>
      <c r="H2141">
        <f t="shared" si="134"/>
        <v>0</v>
      </c>
      <c r="I2141" s="6"/>
      <c r="J2141" s="6"/>
      <c r="K2141" s="7" t="s">
        <v>44</v>
      </c>
      <c r="L2141" s="7" t="s">
        <v>27</v>
      </c>
      <c r="M2141" s="7" t="s">
        <v>15</v>
      </c>
      <c r="N2141" s="7">
        <f>COUNTIFS(A:A,A2141,D:D,D2141,E:E,I2141)</f>
        <v>0</v>
      </c>
    </row>
    <row r="2142" spans="1:14" x14ac:dyDescent="0.3">
      <c r="A2142" s="7" t="s">
        <v>55</v>
      </c>
      <c r="B2142" s="7" t="s">
        <v>56</v>
      </c>
      <c r="C2142" s="7" t="s">
        <v>64</v>
      </c>
      <c r="D2142" s="8">
        <v>45318</v>
      </c>
      <c r="E2142" s="8" t="str">
        <f t="shared" si="131"/>
        <v>January</v>
      </c>
      <c r="F2142">
        <f t="shared" si="132"/>
        <v>2024</v>
      </c>
      <c r="G2142">
        <f t="shared" si="133"/>
        <v>1</v>
      </c>
      <c r="H2142">
        <f t="shared" si="134"/>
        <v>1</v>
      </c>
      <c r="I2142" s="6">
        <v>0.46875</v>
      </c>
      <c r="J2142" s="6">
        <v>0.70694444444444449</v>
      </c>
      <c r="K2142" s="7" t="s">
        <v>26</v>
      </c>
      <c r="L2142" s="7" t="s">
        <v>27</v>
      </c>
      <c r="M2142" s="7" t="s">
        <v>21</v>
      </c>
      <c r="N2142" s="7">
        <f>COUNTIFS(A:A,A2142,D:D,D2142,E:E,I2142)</f>
        <v>0</v>
      </c>
    </row>
    <row r="2143" spans="1:14" x14ac:dyDescent="0.3">
      <c r="A2143" s="7" t="s">
        <v>84</v>
      </c>
      <c r="B2143" s="7" t="s">
        <v>85</v>
      </c>
      <c r="C2143" s="7" t="s">
        <v>60</v>
      </c>
      <c r="D2143" s="8">
        <v>45568</v>
      </c>
      <c r="E2143" s="8" t="str">
        <f t="shared" si="131"/>
        <v>October</v>
      </c>
      <c r="F2143">
        <f t="shared" si="132"/>
        <v>2024</v>
      </c>
      <c r="G2143">
        <f t="shared" si="133"/>
        <v>1</v>
      </c>
      <c r="H2143">
        <f t="shared" si="134"/>
        <v>0</v>
      </c>
      <c r="I2143" s="6">
        <v>0.42222222222222222</v>
      </c>
      <c r="J2143" s="6">
        <v>0.7993055555555556</v>
      </c>
      <c r="K2143" s="7" t="s">
        <v>13</v>
      </c>
      <c r="L2143" s="7" t="s">
        <v>27</v>
      </c>
      <c r="M2143" s="7" t="s">
        <v>21</v>
      </c>
      <c r="N2143" s="7">
        <f>COUNTIFS(A:A,A2143,D:D,D2143,E:E,I2143)</f>
        <v>0</v>
      </c>
    </row>
    <row r="2144" spans="1:14" x14ac:dyDescent="0.3">
      <c r="A2144" s="7" t="s">
        <v>112</v>
      </c>
      <c r="B2144" s="7" t="s">
        <v>113</v>
      </c>
      <c r="C2144" s="7" t="s">
        <v>60</v>
      </c>
      <c r="D2144" s="8">
        <v>45308</v>
      </c>
      <c r="E2144" s="8" t="str">
        <f t="shared" si="131"/>
        <v>January</v>
      </c>
      <c r="F2144">
        <f t="shared" si="132"/>
        <v>2024</v>
      </c>
      <c r="G2144">
        <f t="shared" si="133"/>
        <v>1</v>
      </c>
      <c r="H2144">
        <f t="shared" si="134"/>
        <v>1</v>
      </c>
      <c r="I2144" s="6">
        <v>0.44097222222222221</v>
      </c>
      <c r="J2144" s="6">
        <v>0.76527777777777772</v>
      </c>
      <c r="K2144" s="7" t="s">
        <v>26</v>
      </c>
      <c r="L2144" s="7" t="s">
        <v>27</v>
      </c>
      <c r="M2144" s="7" t="s">
        <v>15</v>
      </c>
      <c r="N2144" s="7">
        <f>COUNTIFS(A:A,A2144,D:D,D2144,E:E,I2144)</f>
        <v>0</v>
      </c>
    </row>
    <row r="2145" spans="1:14" x14ac:dyDescent="0.3">
      <c r="A2145" s="7" t="s">
        <v>146</v>
      </c>
      <c r="B2145" s="7" t="s">
        <v>147</v>
      </c>
      <c r="C2145" s="7" t="s">
        <v>60</v>
      </c>
      <c r="D2145" s="8">
        <v>45365</v>
      </c>
      <c r="E2145" s="8" t="str">
        <f t="shared" si="131"/>
        <v>March</v>
      </c>
      <c r="F2145">
        <f t="shared" si="132"/>
        <v>2024</v>
      </c>
      <c r="G2145">
        <f t="shared" si="133"/>
        <v>1</v>
      </c>
      <c r="H2145">
        <f t="shared" si="134"/>
        <v>0</v>
      </c>
      <c r="I2145" s="6">
        <v>0.45069444444444445</v>
      </c>
      <c r="J2145" s="6">
        <v>0.81666666666666665</v>
      </c>
      <c r="K2145" s="7" t="s">
        <v>20</v>
      </c>
      <c r="L2145" s="7" t="s">
        <v>27</v>
      </c>
      <c r="M2145" s="7" t="s">
        <v>21</v>
      </c>
      <c r="N2145" s="7">
        <f>COUNTIFS(A:A,A2145,D:D,D2145,E:E,I2145)</f>
        <v>0</v>
      </c>
    </row>
    <row r="2146" spans="1:14" x14ac:dyDescent="0.3">
      <c r="A2146" s="7" t="s">
        <v>78</v>
      </c>
      <c r="B2146" s="7" t="s">
        <v>79</v>
      </c>
      <c r="C2146" s="7" t="s">
        <v>426</v>
      </c>
      <c r="D2146" s="8">
        <v>45338</v>
      </c>
      <c r="E2146" s="8" t="str">
        <f t="shared" si="131"/>
        <v>February</v>
      </c>
      <c r="F2146">
        <f t="shared" si="132"/>
        <v>2024</v>
      </c>
      <c r="G2146">
        <f t="shared" si="133"/>
        <v>1</v>
      </c>
      <c r="H2146">
        <f t="shared" si="134"/>
        <v>0</v>
      </c>
      <c r="I2146" s="6">
        <v>0.40555555555555556</v>
      </c>
      <c r="J2146" s="6">
        <v>0.84444444444444444</v>
      </c>
      <c r="K2146" s="7" t="s">
        <v>13</v>
      </c>
      <c r="L2146" s="7" t="s">
        <v>27</v>
      </c>
      <c r="M2146" s="7" t="s">
        <v>15</v>
      </c>
      <c r="N2146" s="7">
        <f>COUNTIFS(A:A,A2146,D:D,D2146,E:E,I2146)</f>
        <v>0</v>
      </c>
    </row>
    <row r="2147" spans="1:14" x14ac:dyDescent="0.3">
      <c r="A2147" s="7" t="s">
        <v>31</v>
      </c>
      <c r="B2147" s="7" t="s">
        <v>32</v>
      </c>
      <c r="C2147" s="7" t="s">
        <v>60</v>
      </c>
      <c r="D2147" s="8">
        <v>45359</v>
      </c>
      <c r="E2147" s="8" t="str">
        <f t="shared" si="131"/>
        <v>March</v>
      </c>
      <c r="F2147">
        <f t="shared" si="132"/>
        <v>2024</v>
      </c>
      <c r="G2147">
        <f t="shared" si="133"/>
        <v>1</v>
      </c>
      <c r="H2147">
        <f t="shared" si="134"/>
        <v>0</v>
      </c>
      <c r="I2147" s="6">
        <v>0.44444444444444442</v>
      </c>
      <c r="J2147" s="6">
        <v>0.81736111111111109</v>
      </c>
      <c r="K2147" s="7" t="s">
        <v>13</v>
      </c>
      <c r="L2147" s="7" t="s">
        <v>14</v>
      </c>
      <c r="M2147" s="7" t="s">
        <v>21</v>
      </c>
      <c r="N2147" s="7">
        <f>COUNTIFS(A:A,A2147,D:D,D2147,E:E,I2147)</f>
        <v>0</v>
      </c>
    </row>
    <row r="2148" spans="1:14" x14ac:dyDescent="0.3">
      <c r="A2148" s="7" t="s">
        <v>102</v>
      </c>
      <c r="B2148" s="7" t="s">
        <v>103</v>
      </c>
      <c r="C2148" s="7" t="s">
        <v>60</v>
      </c>
      <c r="D2148" s="8">
        <v>45324</v>
      </c>
      <c r="E2148" s="8" t="str">
        <f t="shared" si="131"/>
        <v>February</v>
      </c>
      <c r="F2148">
        <f t="shared" si="132"/>
        <v>2024</v>
      </c>
      <c r="G2148">
        <f t="shared" si="133"/>
        <v>1</v>
      </c>
      <c r="H2148">
        <f t="shared" si="134"/>
        <v>0</v>
      </c>
      <c r="I2148" s="6">
        <v>0.40208333333333335</v>
      </c>
      <c r="J2148" s="6">
        <v>0.75902777777777775</v>
      </c>
      <c r="K2148" s="7" t="s">
        <v>13</v>
      </c>
      <c r="L2148" s="7" t="s">
        <v>14</v>
      </c>
      <c r="M2148" s="7" t="s">
        <v>21</v>
      </c>
      <c r="N2148" s="7">
        <f>COUNTIFS(A:A,A2148,D:D,D2148,E:E,I2148)</f>
        <v>0</v>
      </c>
    </row>
    <row r="2149" spans="1:14" x14ac:dyDescent="0.3">
      <c r="A2149" s="7" t="s">
        <v>87</v>
      </c>
      <c r="B2149" s="7" t="s">
        <v>88</v>
      </c>
      <c r="C2149" s="7" t="s">
        <v>42</v>
      </c>
      <c r="D2149" s="8">
        <v>45567</v>
      </c>
      <c r="E2149" s="8" t="str">
        <f t="shared" si="131"/>
        <v>October</v>
      </c>
      <c r="F2149">
        <f t="shared" si="132"/>
        <v>2024</v>
      </c>
      <c r="G2149">
        <f t="shared" si="133"/>
        <v>1</v>
      </c>
      <c r="H2149">
        <f t="shared" si="134"/>
        <v>0</v>
      </c>
      <c r="I2149" s="6">
        <v>0.43333333333333335</v>
      </c>
      <c r="J2149" s="6">
        <v>0.66805555555555551</v>
      </c>
      <c r="K2149" s="7" t="s">
        <v>13</v>
      </c>
      <c r="L2149" s="7" t="s">
        <v>14</v>
      </c>
      <c r="M2149" s="7" t="s">
        <v>15</v>
      </c>
      <c r="N2149" s="7">
        <f>COUNTIFS(A:A,A2149,D:D,D2149,E:E,I2149)</f>
        <v>0</v>
      </c>
    </row>
    <row r="2150" spans="1:14" x14ac:dyDescent="0.3">
      <c r="A2150" s="7" t="s">
        <v>191</v>
      </c>
      <c r="B2150" s="7" t="s">
        <v>192</v>
      </c>
      <c r="C2150" s="7" t="s">
        <v>60</v>
      </c>
      <c r="D2150" s="8">
        <v>45335</v>
      </c>
      <c r="E2150" s="8" t="str">
        <f t="shared" si="131"/>
        <v>February</v>
      </c>
      <c r="F2150">
        <f t="shared" si="132"/>
        <v>2024</v>
      </c>
      <c r="G2150">
        <f t="shared" si="133"/>
        <v>1</v>
      </c>
      <c r="H2150">
        <f t="shared" si="134"/>
        <v>1</v>
      </c>
      <c r="I2150" s="6">
        <v>0.46805555555555556</v>
      </c>
      <c r="J2150" s="6">
        <v>0.81874999999999998</v>
      </c>
      <c r="K2150" s="7" t="s">
        <v>26</v>
      </c>
      <c r="L2150" s="7" t="s">
        <v>27</v>
      </c>
      <c r="M2150" s="7" t="s">
        <v>15</v>
      </c>
      <c r="N2150" s="7">
        <f>COUNTIFS(A:A,A2150,D:D,D2150,E:E,I2150)</f>
        <v>0</v>
      </c>
    </row>
    <row r="2151" spans="1:14" x14ac:dyDescent="0.3">
      <c r="A2151" s="7" t="s">
        <v>130</v>
      </c>
      <c r="B2151" s="7" t="s">
        <v>131</v>
      </c>
      <c r="C2151" s="7" t="s">
        <v>64</v>
      </c>
      <c r="D2151" s="8">
        <v>45377</v>
      </c>
      <c r="E2151" s="8" t="str">
        <f t="shared" si="131"/>
        <v>March</v>
      </c>
      <c r="F2151">
        <f t="shared" si="132"/>
        <v>2024</v>
      </c>
      <c r="G2151">
        <f t="shared" si="133"/>
        <v>0</v>
      </c>
      <c r="H2151">
        <f t="shared" si="134"/>
        <v>0</v>
      </c>
      <c r="I2151" s="6"/>
      <c r="J2151" s="6"/>
      <c r="K2151" s="7" t="s">
        <v>44</v>
      </c>
      <c r="L2151" s="7" t="s">
        <v>27</v>
      </c>
      <c r="M2151" s="7" t="s">
        <v>21</v>
      </c>
      <c r="N2151" s="7">
        <f>COUNTIFS(A:A,A2151,D:D,D2151,E:E,I2151)</f>
        <v>0</v>
      </c>
    </row>
    <row r="2152" spans="1:14" x14ac:dyDescent="0.3">
      <c r="A2152" s="7" t="s">
        <v>122</v>
      </c>
      <c r="B2152" s="7" t="s">
        <v>123</v>
      </c>
      <c r="C2152" s="7" t="s">
        <v>42</v>
      </c>
      <c r="D2152" s="8">
        <v>45505</v>
      </c>
      <c r="E2152" s="8" t="str">
        <f t="shared" si="131"/>
        <v>August</v>
      </c>
      <c r="F2152">
        <f t="shared" si="132"/>
        <v>2024</v>
      </c>
      <c r="G2152">
        <f t="shared" si="133"/>
        <v>1</v>
      </c>
      <c r="H2152">
        <f t="shared" si="134"/>
        <v>0</v>
      </c>
      <c r="I2152" s="6">
        <v>0.3611111111111111</v>
      </c>
      <c r="J2152" s="6">
        <v>0.79027777777777775</v>
      </c>
      <c r="K2152" s="7" t="s">
        <v>20</v>
      </c>
      <c r="L2152" s="7" t="s">
        <v>14</v>
      </c>
      <c r="M2152" s="7" t="s">
        <v>21</v>
      </c>
      <c r="N2152" s="7">
        <f>COUNTIFS(A:A,A2152,D:D,D2152,E:E,I2152)</f>
        <v>0</v>
      </c>
    </row>
    <row r="2153" spans="1:14" x14ac:dyDescent="0.3">
      <c r="A2153" s="7" t="s">
        <v>69</v>
      </c>
      <c r="B2153" s="7" t="s">
        <v>70</v>
      </c>
      <c r="C2153" s="7" t="s">
        <v>425</v>
      </c>
      <c r="D2153" s="8">
        <v>45338</v>
      </c>
      <c r="E2153" s="8" t="str">
        <f t="shared" si="131"/>
        <v>February</v>
      </c>
      <c r="F2153">
        <f t="shared" si="132"/>
        <v>2024</v>
      </c>
      <c r="G2153">
        <f t="shared" si="133"/>
        <v>1</v>
      </c>
      <c r="H2153">
        <f t="shared" si="134"/>
        <v>0</v>
      </c>
      <c r="I2153" s="6">
        <v>0.45277777777777778</v>
      </c>
      <c r="J2153" s="6">
        <v>0.86250000000000004</v>
      </c>
      <c r="K2153" s="7" t="s">
        <v>13</v>
      </c>
      <c r="L2153" s="7" t="s">
        <v>14</v>
      </c>
      <c r="M2153" s="7" t="s">
        <v>21</v>
      </c>
      <c r="N2153" s="7">
        <f>COUNTIFS(A:A,A2153,D:D,D2153,E:E,I2153)</f>
        <v>0</v>
      </c>
    </row>
    <row r="2154" spans="1:14" x14ac:dyDescent="0.3">
      <c r="A2154" s="7" t="s">
        <v>315</v>
      </c>
      <c r="B2154" s="7" t="s">
        <v>316</v>
      </c>
      <c r="C2154" s="7" t="s">
        <v>60</v>
      </c>
      <c r="D2154" s="8">
        <v>45352</v>
      </c>
      <c r="E2154" s="8" t="str">
        <f t="shared" si="131"/>
        <v>March</v>
      </c>
      <c r="F2154">
        <f t="shared" si="132"/>
        <v>2024</v>
      </c>
      <c r="G2154">
        <f t="shared" si="133"/>
        <v>0</v>
      </c>
      <c r="H2154">
        <f t="shared" si="134"/>
        <v>0</v>
      </c>
      <c r="I2154" s="6"/>
      <c r="J2154" s="6"/>
      <c r="K2154" s="7" t="s">
        <v>44</v>
      </c>
      <c r="L2154" s="7" t="s">
        <v>14</v>
      </c>
      <c r="M2154" s="7" t="s">
        <v>15</v>
      </c>
      <c r="N2154" s="7">
        <f>COUNTIFS(A:A,A2154,D:D,D2154,E:E,I2154)</f>
        <v>0</v>
      </c>
    </row>
    <row r="2155" spans="1:14" x14ac:dyDescent="0.3">
      <c r="A2155" s="7" t="s">
        <v>58</v>
      </c>
      <c r="B2155" s="7" t="s">
        <v>59</v>
      </c>
      <c r="C2155" s="7" t="s">
        <v>42</v>
      </c>
      <c r="D2155" s="8">
        <v>45292</v>
      </c>
      <c r="E2155" s="8" t="str">
        <f t="shared" si="131"/>
        <v>January</v>
      </c>
      <c r="F2155">
        <f t="shared" si="132"/>
        <v>2024</v>
      </c>
      <c r="G2155">
        <f t="shared" si="133"/>
        <v>1</v>
      </c>
      <c r="H2155">
        <f t="shared" si="134"/>
        <v>0</v>
      </c>
      <c r="I2155" s="6">
        <v>0.41875000000000001</v>
      </c>
      <c r="J2155" s="6">
        <v>0.86319444444444449</v>
      </c>
      <c r="K2155" s="7" t="s">
        <v>20</v>
      </c>
      <c r="L2155" s="7" t="s">
        <v>27</v>
      </c>
      <c r="M2155" s="7" t="s">
        <v>21</v>
      </c>
      <c r="N2155" s="7">
        <f>COUNTIFS(A:A,A2155,D:D,D2155,E:E,I2155)</f>
        <v>0</v>
      </c>
    </row>
    <row r="2156" spans="1:14" x14ac:dyDescent="0.3">
      <c r="A2156" s="7" t="s">
        <v>66</v>
      </c>
      <c r="B2156" s="7" t="s">
        <v>67</v>
      </c>
      <c r="C2156" s="7" t="s">
        <v>42</v>
      </c>
      <c r="D2156" s="8">
        <v>45352</v>
      </c>
      <c r="E2156" s="8" t="str">
        <f t="shared" si="131"/>
        <v>March</v>
      </c>
      <c r="F2156">
        <f t="shared" si="132"/>
        <v>2024</v>
      </c>
      <c r="G2156">
        <f t="shared" si="133"/>
        <v>1</v>
      </c>
      <c r="H2156">
        <f t="shared" si="134"/>
        <v>0</v>
      </c>
      <c r="I2156" s="6">
        <v>0.40763888888888888</v>
      </c>
      <c r="J2156" s="6">
        <v>0.71527777777777779</v>
      </c>
      <c r="K2156" s="7" t="s">
        <v>13</v>
      </c>
      <c r="L2156" s="7" t="s">
        <v>27</v>
      </c>
      <c r="M2156" s="7" t="s">
        <v>21</v>
      </c>
      <c r="N2156" s="7">
        <f>COUNTIFS(A:A,A2156,D:D,D2156,E:E,I2156)</f>
        <v>0</v>
      </c>
    </row>
    <row r="2157" spans="1:14" x14ac:dyDescent="0.3">
      <c r="A2157" s="7" t="s">
        <v>45</v>
      </c>
      <c r="B2157" s="7" t="s">
        <v>46</v>
      </c>
      <c r="C2157" s="7" t="s">
        <v>64</v>
      </c>
      <c r="D2157" s="8">
        <v>45324</v>
      </c>
      <c r="E2157" s="8" t="str">
        <f t="shared" si="131"/>
        <v>February</v>
      </c>
      <c r="F2157">
        <f t="shared" si="132"/>
        <v>2024</v>
      </c>
      <c r="G2157">
        <f t="shared" si="133"/>
        <v>1</v>
      </c>
      <c r="H2157">
        <f t="shared" si="134"/>
        <v>1</v>
      </c>
      <c r="I2157" s="6">
        <v>0.35347222222222224</v>
      </c>
      <c r="J2157" s="6">
        <v>0.81388888888888888</v>
      </c>
      <c r="K2157" s="7" t="s">
        <v>26</v>
      </c>
      <c r="L2157" s="7" t="s">
        <v>27</v>
      </c>
      <c r="M2157" s="7" t="s">
        <v>21</v>
      </c>
      <c r="N2157" s="7">
        <f>COUNTIFS(A:A,A2157,D:D,D2157,E:E,I2157)</f>
        <v>0</v>
      </c>
    </row>
    <row r="2158" spans="1:14" x14ac:dyDescent="0.3">
      <c r="A2158" s="7" t="s">
        <v>58</v>
      </c>
      <c r="B2158" s="7" t="s">
        <v>59</v>
      </c>
      <c r="C2158" s="7" t="s">
        <v>42</v>
      </c>
      <c r="D2158" s="8">
        <v>45327</v>
      </c>
      <c r="E2158" s="8" t="str">
        <f t="shared" si="131"/>
        <v>February</v>
      </c>
      <c r="F2158">
        <f t="shared" si="132"/>
        <v>2024</v>
      </c>
      <c r="G2158">
        <f t="shared" si="133"/>
        <v>1</v>
      </c>
      <c r="H2158">
        <f t="shared" si="134"/>
        <v>1</v>
      </c>
      <c r="I2158" s="6">
        <v>0.40208333333333335</v>
      </c>
      <c r="J2158" s="6">
        <v>0.80555555555555558</v>
      </c>
      <c r="K2158" s="7" t="s">
        <v>26</v>
      </c>
      <c r="L2158" s="7" t="s">
        <v>27</v>
      </c>
      <c r="M2158" s="7" t="s">
        <v>15</v>
      </c>
      <c r="N2158" s="7">
        <f>COUNTIFS(A:A,A2158,D:D,D2158,E:E,I2158)</f>
        <v>0</v>
      </c>
    </row>
    <row r="2159" spans="1:14" x14ac:dyDescent="0.3">
      <c r="A2159" s="7" t="s">
        <v>62</v>
      </c>
      <c r="B2159" s="7" t="s">
        <v>63</v>
      </c>
      <c r="C2159" s="7" t="s">
        <v>64</v>
      </c>
      <c r="D2159" s="8">
        <v>45379</v>
      </c>
      <c r="E2159" s="8" t="str">
        <f t="shared" si="131"/>
        <v>March</v>
      </c>
      <c r="F2159">
        <f t="shared" si="132"/>
        <v>2024</v>
      </c>
      <c r="G2159">
        <f t="shared" si="133"/>
        <v>1</v>
      </c>
      <c r="H2159">
        <f t="shared" si="134"/>
        <v>1</v>
      </c>
      <c r="I2159" s="6">
        <v>0.45347222222222222</v>
      </c>
      <c r="J2159" s="6">
        <v>0.8256944444444444</v>
      </c>
      <c r="K2159" s="7" t="s">
        <v>26</v>
      </c>
      <c r="L2159" s="7" t="s">
        <v>27</v>
      </c>
      <c r="M2159" s="7" t="s">
        <v>15</v>
      </c>
      <c r="N2159" s="7">
        <f>COUNTIFS(A:A,A2159,D:D,D2159,E:E,I2159)</f>
        <v>0</v>
      </c>
    </row>
    <row r="2160" spans="1:14" x14ac:dyDescent="0.3">
      <c r="A2160" s="7" t="s">
        <v>87</v>
      </c>
      <c r="B2160" s="7" t="s">
        <v>88</v>
      </c>
      <c r="C2160" s="7" t="s">
        <v>426</v>
      </c>
      <c r="D2160" s="8">
        <v>45304</v>
      </c>
      <c r="E2160" s="8" t="str">
        <f t="shared" si="131"/>
        <v>January</v>
      </c>
      <c r="F2160">
        <f t="shared" si="132"/>
        <v>2024</v>
      </c>
      <c r="G2160">
        <f t="shared" si="133"/>
        <v>1</v>
      </c>
      <c r="H2160">
        <f t="shared" si="134"/>
        <v>0</v>
      </c>
      <c r="I2160" s="6">
        <v>0.4201388888888889</v>
      </c>
      <c r="J2160" s="6">
        <v>0.85833333333333328</v>
      </c>
      <c r="K2160" s="7" t="s">
        <v>20</v>
      </c>
      <c r="L2160" s="7" t="s">
        <v>14</v>
      </c>
      <c r="M2160" s="7" t="s">
        <v>21</v>
      </c>
      <c r="N2160" s="7">
        <f>COUNTIFS(A:A,A2160,D:D,D2160,E:E,I2160)</f>
        <v>0</v>
      </c>
    </row>
    <row r="2161" spans="1:14" x14ac:dyDescent="0.3">
      <c r="A2161" s="7" t="s">
        <v>157</v>
      </c>
      <c r="B2161" s="7" t="s">
        <v>158</v>
      </c>
      <c r="C2161" s="7" t="s">
        <v>425</v>
      </c>
      <c r="D2161" s="8">
        <v>45339</v>
      </c>
      <c r="E2161" s="8" t="str">
        <f t="shared" si="131"/>
        <v>February</v>
      </c>
      <c r="F2161">
        <f t="shared" si="132"/>
        <v>2024</v>
      </c>
      <c r="G2161">
        <f t="shared" si="133"/>
        <v>1</v>
      </c>
      <c r="H2161">
        <f t="shared" si="134"/>
        <v>1</v>
      </c>
      <c r="I2161" s="6">
        <v>0.38611111111111113</v>
      </c>
      <c r="J2161" s="6">
        <v>0.83333333333333337</v>
      </c>
      <c r="K2161" s="7" t="s">
        <v>26</v>
      </c>
      <c r="L2161" s="7" t="s">
        <v>14</v>
      </c>
      <c r="M2161" s="7" t="s">
        <v>21</v>
      </c>
      <c r="N2161" s="7">
        <f>COUNTIFS(A:A,A2161,D:D,D2161,E:E,I2161)</f>
        <v>0</v>
      </c>
    </row>
    <row r="2162" spans="1:14" x14ac:dyDescent="0.3">
      <c r="A2162" s="7" t="s">
        <v>362</v>
      </c>
      <c r="B2162" s="7" t="s">
        <v>363</v>
      </c>
      <c r="C2162" s="7" t="s">
        <v>426</v>
      </c>
      <c r="D2162" s="8">
        <v>45369</v>
      </c>
      <c r="E2162" s="8" t="str">
        <f t="shared" si="131"/>
        <v>March</v>
      </c>
      <c r="F2162">
        <f t="shared" si="132"/>
        <v>2024</v>
      </c>
      <c r="G2162">
        <f t="shared" si="133"/>
        <v>1</v>
      </c>
      <c r="H2162">
        <f t="shared" si="134"/>
        <v>0</v>
      </c>
      <c r="I2162" s="6">
        <v>0.43333333333333335</v>
      </c>
      <c r="J2162" s="6">
        <v>0.7368055555555556</v>
      </c>
      <c r="K2162" s="7" t="s">
        <v>13</v>
      </c>
      <c r="L2162" s="7" t="s">
        <v>14</v>
      </c>
      <c r="M2162" s="7" t="s">
        <v>21</v>
      </c>
      <c r="N2162" s="7">
        <f>COUNTIFS(A:A,A2162,D:D,D2162,E:E,I2162)</f>
        <v>0</v>
      </c>
    </row>
    <row r="2163" spans="1:14" x14ac:dyDescent="0.3">
      <c r="A2163" s="7" t="s">
        <v>48</v>
      </c>
      <c r="B2163" s="7" t="s">
        <v>49</v>
      </c>
      <c r="C2163" s="7" t="s">
        <v>42</v>
      </c>
      <c r="D2163" s="8">
        <v>45312</v>
      </c>
      <c r="E2163" s="8" t="str">
        <f t="shared" si="131"/>
        <v>January</v>
      </c>
      <c r="F2163">
        <f t="shared" si="132"/>
        <v>2024</v>
      </c>
      <c r="G2163">
        <f t="shared" si="133"/>
        <v>1</v>
      </c>
      <c r="H2163">
        <f t="shared" si="134"/>
        <v>0</v>
      </c>
      <c r="I2163" s="6">
        <v>0.3527777777777778</v>
      </c>
      <c r="J2163" s="6">
        <v>0.70347222222222228</v>
      </c>
      <c r="K2163" s="7" t="s">
        <v>20</v>
      </c>
      <c r="L2163" s="7" t="s">
        <v>14</v>
      </c>
      <c r="M2163" s="7" t="s">
        <v>15</v>
      </c>
      <c r="N2163" s="7">
        <f>COUNTIFS(A:A,A2163,D:D,D2163,E:E,I2163)</f>
        <v>0</v>
      </c>
    </row>
    <row r="2164" spans="1:14" x14ac:dyDescent="0.3">
      <c r="A2164" s="7" t="s">
        <v>175</v>
      </c>
      <c r="B2164" s="7" t="s">
        <v>176</v>
      </c>
      <c r="C2164" s="7" t="s">
        <v>425</v>
      </c>
      <c r="D2164" s="8">
        <v>45341</v>
      </c>
      <c r="E2164" s="8" t="str">
        <f t="shared" si="131"/>
        <v>February</v>
      </c>
      <c r="F2164">
        <f t="shared" si="132"/>
        <v>2024</v>
      </c>
      <c r="G2164">
        <f t="shared" si="133"/>
        <v>0</v>
      </c>
      <c r="H2164">
        <f t="shared" si="134"/>
        <v>0</v>
      </c>
      <c r="I2164" s="6"/>
      <c r="J2164" s="6"/>
      <c r="K2164" s="7" t="s">
        <v>44</v>
      </c>
      <c r="L2164" s="7" t="s">
        <v>14</v>
      </c>
      <c r="M2164" s="7" t="s">
        <v>15</v>
      </c>
      <c r="N2164" s="7">
        <f>COUNTIFS(A:A,A2164,D:D,D2164,E:E,I2164)</f>
        <v>0</v>
      </c>
    </row>
    <row r="2165" spans="1:14" x14ac:dyDescent="0.3">
      <c r="A2165" s="7" t="s">
        <v>250</v>
      </c>
      <c r="B2165" s="7" t="s">
        <v>251</v>
      </c>
      <c r="C2165" s="7" t="s">
        <v>425</v>
      </c>
      <c r="D2165" s="8">
        <v>45599</v>
      </c>
      <c r="E2165" s="8" t="str">
        <f t="shared" si="131"/>
        <v>November</v>
      </c>
      <c r="F2165">
        <f t="shared" si="132"/>
        <v>2024</v>
      </c>
      <c r="G2165">
        <f t="shared" si="133"/>
        <v>0</v>
      </c>
      <c r="H2165">
        <f t="shared" si="134"/>
        <v>0</v>
      </c>
      <c r="I2165" s="6"/>
      <c r="J2165" s="6"/>
      <c r="K2165" s="7" t="s">
        <v>44</v>
      </c>
      <c r="L2165" s="7" t="s">
        <v>14</v>
      </c>
      <c r="M2165" s="7" t="s">
        <v>21</v>
      </c>
      <c r="N2165" s="7">
        <f>COUNTIFS(A:A,A2165,D:D,D2165,E:E,I2165)</f>
        <v>0</v>
      </c>
    </row>
    <row r="2166" spans="1:14" x14ac:dyDescent="0.3">
      <c r="A2166" s="7" t="s">
        <v>213</v>
      </c>
      <c r="B2166" s="7" t="s">
        <v>214</v>
      </c>
      <c r="C2166" s="7" t="s">
        <v>42</v>
      </c>
      <c r="D2166" s="8">
        <v>45319</v>
      </c>
      <c r="E2166" s="8" t="str">
        <f t="shared" si="131"/>
        <v>January</v>
      </c>
      <c r="F2166">
        <f t="shared" si="132"/>
        <v>2024</v>
      </c>
      <c r="G2166">
        <f t="shared" si="133"/>
        <v>1</v>
      </c>
      <c r="H2166">
        <f t="shared" si="134"/>
        <v>0</v>
      </c>
      <c r="I2166" s="6">
        <v>0.37777777777777777</v>
      </c>
      <c r="J2166" s="6">
        <v>0.7270833333333333</v>
      </c>
      <c r="K2166" s="7" t="s">
        <v>20</v>
      </c>
      <c r="L2166" s="7" t="s">
        <v>14</v>
      </c>
      <c r="M2166" s="7" t="s">
        <v>21</v>
      </c>
      <c r="N2166" s="7">
        <f>COUNTIFS(A:A,A2166,D:D,D2166,E:E,I2166)</f>
        <v>0</v>
      </c>
    </row>
    <row r="2167" spans="1:14" x14ac:dyDescent="0.3">
      <c r="A2167" s="7" t="s">
        <v>37</v>
      </c>
      <c r="B2167" s="7" t="s">
        <v>38</v>
      </c>
      <c r="C2167" s="7" t="s">
        <v>60</v>
      </c>
      <c r="D2167" s="8">
        <v>45335</v>
      </c>
      <c r="E2167" s="8" t="str">
        <f t="shared" si="131"/>
        <v>February</v>
      </c>
      <c r="F2167">
        <f t="shared" si="132"/>
        <v>2024</v>
      </c>
      <c r="G2167">
        <f t="shared" si="133"/>
        <v>1</v>
      </c>
      <c r="H2167">
        <f t="shared" si="134"/>
        <v>1</v>
      </c>
      <c r="I2167" s="6">
        <v>0.375</v>
      </c>
      <c r="J2167" s="6">
        <v>0.68472222222222223</v>
      </c>
      <c r="K2167" s="7" t="s">
        <v>26</v>
      </c>
      <c r="L2167" s="7" t="s">
        <v>27</v>
      </c>
      <c r="M2167" s="7" t="s">
        <v>21</v>
      </c>
      <c r="N2167" s="7">
        <f>COUNTIFS(A:A,A2167,D:D,D2167,E:E,I2167)</f>
        <v>0</v>
      </c>
    </row>
    <row r="2168" spans="1:14" x14ac:dyDescent="0.3">
      <c r="A2168" s="7" t="s">
        <v>102</v>
      </c>
      <c r="B2168" s="7" t="s">
        <v>103</v>
      </c>
      <c r="C2168" s="7" t="s">
        <v>426</v>
      </c>
      <c r="D2168" s="8">
        <v>45313</v>
      </c>
      <c r="E2168" s="8" t="str">
        <f t="shared" si="131"/>
        <v>January</v>
      </c>
      <c r="F2168">
        <f t="shared" si="132"/>
        <v>2024</v>
      </c>
      <c r="G2168">
        <f t="shared" si="133"/>
        <v>1</v>
      </c>
      <c r="H2168">
        <f t="shared" si="134"/>
        <v>1</v>
      </c>
      <c r="I2168" s="6">
        <v>0.43055555555555558</v>
      </c>
      <c r="J2168" s="6">
        <v>0.81944444444444442</v>
      </c>
      <c r="K2168" s="7" t="s">
        <v>26</v>
      </c>
      <c r="L2168" s="7" t="s">
        <v>14</v>
      </c>
      <c r="M2168" s="7" t="s">
        <v>21</v>
      </c>
      <c r="N2168" s="7">
        <f>COUNTIFS(A:A,A2168,D:D,D2168,E:E,I2168)</f>
        <v>0</v>
      </c>
    </row>
    <row r="2169" spans="1:14" x14ac:dyDescent="0.3">
      <c r="A2169" s="7" t="s">
        <v>269</v>
      </c>
      <c r="B2169" s="7" t="s">
        <v>270</v>
      </c>
      <c r="C2169" s="7" t="s">
        <v>60</v>
      </c>
      <c r="D2169" s="8">
        <v>45380</v>
      </c>
      <c r="E2169" s="8" t="str">
        <f t="shared" si="131"/>
        <v>March</v>
      </c>
      <c r="F2169">
        <f t="shared" si="132"/>
        <v>2024</v>
      </c>
      <c r="G2169">
        <f t="shared" si="133"/>
        <v>1</v>
      </c>
      <c r="H2169">
        <f t="shared" si="134"/>
        <v>0</v>
      </c>
      <c r="I2169" s="6">
        <v>0.4465277777777778</v>
      </c>
      <c r="J2169" s="6">
        <v>0.82361111111111107</v>
      </c>
      <c r="K2169" s="7" t="s">
        <v>13</v>
      </c>
      <c r="L2169" s="7" t="s">
        <v>14</v>
      </c>
      <c r="M2169" s="7" t="s">
        <v>15</v>
      </c>
      <c r="N2169" s="7">
        <f>COUNTIFS(A:A,A2169,D:D,D2169,E:E,I2169)</f>
        <v>0</v>
      </c>
    </row>
    <row r="2170" spans="1:14" x14ac:dyDescent="0.3">
      <c r="A2170" s="7" t="s">
        <v>115</v>
      </c>
      <c r="B2170" s="7" t="s">
        <v>116</v>
      </c>
      <c r="C2170" s="7" t="s">
        <v>42</v>
      </c>
      <c r="D2170" s="8">
        <v>45378</v>
      </c>
      <c r="E2170" s="8" t="str">
        <f t="shared" si="131"/>
        <v>March</v>
      </c>
      <c r="F2170">
        <f t="shared" si="132"/>
        <v>2024</v>
      </c>
      <c r="G2170">
        <f t="shared" si="133"/>
        <v>1</v>
      </c>
      <c r="H2170">
        <f t="shared" si="134"/>
        <v>0</v>
      </c>
      <c r="I2170" s="6">
        <v>0.36458333333333331</v>
      </c>
      <c r="J2170" s="6">
        <v>0.75486111111111109</v>
      </c>
      <c r="K2170" s="7" t="s">
        <v>20</v>
      </c>
      <c r="L2170" s="7" t="s">
        <v>14</v>
      </c>
      <c r="M2170" s="7" t="s">
        <v>15</v>
      </c>
      <c r="N2170" s="7">
        <f>COUNTIFS(A:A,A2170,D:D,D2170,E:E,I2170)</f>
        <v>0</v>
      </c>
    </row>
    <row r="2171" spans="1:14" x14ac:dyDescent="0.3">
      <c r="A2171" s="7" t="s">
        <v>78</v>
      </c>
      <c r="B2171" s="7" t="s">
        <v>79</v>
      </c>
      <c r="C2171" s="7" t="s">
        <v>64</v>
      </c>
      <c r="D2171" s="8">
        <v>45334</v>
      </c>
      <c r="E2171" s="8" t="str">
        <f t="shared" si="131"/>
        <v>February</v>
      </c>
      <c r="F2171">
        <f t="shared" si="132"/>
        <v>2024</v>
      </c>
      <c r="G2171">
        <f t="shared" si="133"/>
        <v>0</v>
      </c>
      <c r="H2171">
        <f t="shared" si="134"/>
        <v>0</v>
      </c>
      <c r="I2171" s="6"/>
      <c r="J2171" s="6"/>
      <c r="K2171" s="7" t="s">
        <v>44</v>
      </c>
      <c r="L2171" s="7" t="s">
        <v>27</v>
      </c>
      <c r="M2171" s="7" t="s">
        <v>21</v>
      </c>
      <c r="N2171" s="7">
        <f>COUNTIFS(A:A,A2171,D:D,D2171,E:E,I2171)</f>
        <v>0</v>
      </c>
    </row>
    <row r="2172" spans="1:14" x14ac:dyDescent="0.3">
      <c r="A2172" s="7" t="s">
        <v>204</v>
      </c>
      <c r="B2172" s="7" t="s">
        <v>205</v>
      </c>
      <c r="C2172" s="7" t="s">
        <v>64</v>
      </c>
      <c r="D2172" s="8">
        <v>45446</v>
      </c>
      <c r="E2172" s="8" t="str">
        <f t="shared" si="131"/>
        <v>June</v>
      </c>
      <c r="F2172">
        <f t="shared" si="132"/>
        <v>2024</v>
      </c>
      <c r="G2172">
        <f t="shared" si="133"/>
        <v>1</v>
      </c>
      <c r="H2172">
        <f t="shared" si="134"/>
        <v>0</v>
      </c>
      <c r="I2172" s="6">
        <v>0.44097222222222221</v>
      </c>
      <c r="J2172" s="6">
        <v>0.84791666666666665</v>
      </c>
      <c r="K2172" s="7" t="s">
        <v>20</v>
      </c>
      <c r="L2172" s="7" t="s">
        <v>14</v>
      </c>
      <c r="M2172" s="7" t="s">
        <v>21</v>
      </c>
      <c r="N2172" s="7">
        <f>COUNTIFS(A:A,A2172,D:D,D2172,E:E,I2172)</f>
        <v>0</v>
      </c>
    </row>
    <row r="2173" spans="1:14" x14ac:dyDescent="0.3">
      <c r="A2173" s="7" t="s">
        <v>87</v>
      </c>
      <c r="B2173" s="7" t="s">
        <v>88</v>
      </c>
      <c r="C2173" s="7" t="s">
        <v>42</v>
      </c>
      <c r="D2173" s="8">
        <v>45336</v>
      </c>
      <c r="E2173" s="8" t="str">
        <f t="shared" si="131"/>
        <v>February</v>
      </c>
      <c r="F2173">
        <f t="shared" si="132"/>
        <v>2024</v>
      </c>
      <c r="G2173">
        <f t="shared" si="133"/>
        <v>0</v>
      </c>
      <c r="H2173">
        <f t="shared" si="134"/>
        <v>0</v>
      </c>
      <c r="I2173" s="6"/>
      <c r="J2173" s="6"/>
      <c r="K2173" s="7" t="s">
        <v>44</v>
      </c>
      <c r="L2173" s="7" t="s">
        <v>27</v>
      </c>
      <c r="M2173" s="7" t="s">
        <v>15</v>
      </c>
      <c r="N2173" s="7">
        <f>COUNTIFS(A:A,A2173,D:D,D2173,E:E,I2173)</f>
        <v>0</v>
      </c>
    </row>
    <row r="2174" spans="1:14" x14ac:dyDescent="0.3">
      <c r="A2174" s="7" t="s">
        <v>134</v>
      </c>
      <c r="B2174" s="7" t="s">
        <v>135</v>
      </c>
      <c r="C2174" s="7" t="s">
        <v>42</v>
      </c>
      <c r="D2174" s="8">
        <v>45321</v>
      </c>
      <c r="E2174" s="8" t="str">
        <f t="shared" si="131"/>
        <v>January</v>
      </c>
      <c r="F2174">
        <f t="shared" si="132"/>
        <v>2024</v>
      </c>
      <c r="G2174">
        <f t="shared" si="133"/>
        <v>0</v>
      </c>
      <c r="H2174">
        <f t="shared" si="134"/>
        <v>0</v>
      </c>
      <c r="I2174" s="6"/>
      <c r="J2174" s="6"/>
      <c r="K2174" s="7" t="s">
        <v>44</v>
      </c>
      <c r="L2174" s="7" t="s">
        <v>14</v>
      </c>
      <c r="M2174" s="7" t="s">
        <v>15</v>
      </c>
      <c r="N2174" s="7">
        <f>COUNTIFS(A:A,A2174,D:D,D2174,E:E,I2174)</f>
        <v>0</v>
      </c>
    </row>
    <row r="2175" spans="1:14" x14ac:dyDescent="0.3">
      <c r="A2175" s="7" t="s">
        <v>45</v>
      </c>
      <c r="B2175" s="7" t="s">
        <v>46</v>
      </c>
      <c r="C2175" s="7" t="s">
        <v>60</v>
      </c>
      <c r="D2175" s="8">
        <v>45352</v>
      </c>
      <c r="E2175" s="8" t="str">
        <f t="shared" si="131"/>
        <v>March</v>
      </c>
      <c r="F2175">
        <f t="shared" si="132"/>
        <v>2024</v>
      </c>
      <c r="G2175">
        <f t="shared" si="133"/>
        <v>1</v>
      </c>
      <c r="H2175">
        <f t="shared" si="134"/>
        <v>1</v>
      </c>
      <c r="I2175" s="6">
        <v>0.34444444444444444</v>
      </c>
      <c r="J2175" s="6">
        <v>0.76736111111111116</v>
      </c>
      <c r="K2175" s="7" t="s">
        <v>26</v>
      </c>
      <c r="L2175" s="7" t="s">
        <v>14</v>
      </c>
      <c r="M2175" s="7" t="s">
        <v>21</v>
      </c>
      <c r="N2175" s="7">
        <f>COUNTIFS(A:A,A2175,D:D,D2175,E:E,I2175)</f>
        <v>0</v>
      </c>
    </row>
    <row r="2176" spans="1:14" x14ac:dyDescent="0.3">
      <c r="A2176" s="7" t="s">
        <v>157</v>
      </c>
      <c r="B2176" s="7" t="s">
        <v>158</v>
      </c>
      <c r="C2176" s="7" t="s">
        <v>60</v>
      </c>
      <c r="D2176" s="8">
        <v>45316</v>
      </c>
      <c r="E2176" s="8" t="str">
        <f t="shared" si="131"/>
        <v>January</v>
      </c>
      <c r="F2176">
        <f t="shared" si="132"/>
        <v>2024</v>
      </c>
      <c r="G2176">
        <f t="shared" si="133"/>
        <v>0</v>
      </c>
      <c r="H2176">
        <f t="shared" si="134"/>
        <v>0</v>
      </c>
      <c r="I2176" s="6"/>
      <c r="J2176" s="6"/>
      <c r="K2176" s="7" t="s">
        <v>44</v>
      </c>
      <c r="L2176" s="7" t="s">
        <v>14</v>
      </c>
      <c r="M2176" s="7" t="s">
        <v>15</v>
      </c>
      <c r="N2176" s="7">
        <f>COUNTIFS(A:A,A2176,D:D,D2176,E:E,I2176)</f>
        <v>0</v>
      </c>
    </row>
    <row r="2177" spans="1:14" x14ac:dyDescent="0.3">
      <c r="A2177" s="7" t="s">
        <v>90</v>
      </c>
      <c r="B2177" s="7" t="s">
        <v>91</v>
      </c>
      <c r="C2177" s="7" t="s">
        <v>42</v>
      </c>
      <c r="D2177" s="8">
        <v>45343</v>
      </c>
      <c r="E2177" s="8" t="str">
        <f t="shared" si="131"/>
        <v>February</v>
      </c>
      <c r="F2177">
        <f t="shared" si="132"/>
        <v>2024</v>
      </c>
      <c r="G2177">
        <f t="shared" si="133"/>
        <v>0</v>
      </c>
      <c r="H2177">
        <f t="shared" si="134"/>
        <v>0</v>
      </c>
      <c r="I2177" s="6"/>
      <c r="J2177" s="6"/>
      <c r="K2177" s="7" t="s">
        <v>44</v>
      </c>
      <c r="L2177" s="7" t="s">
        <v>14</v>
      </c>
      <c r="M2177" s="7" t="s">
        <v>15</v>
      </c>
      <c r="N2177" s="7">
        <f>COUNTIFS(A:A,A2177,D:D,D2177,E:E,I2177)</f>
        <v>0</v>
      </c>
    </row>
    <row r="2178" spans="1:14" x14ac:dyDescent="0.3">
      <c r="A2178" s="7" t="s">
        <v>122</v>
      </c>
      <c r="B2178" s="7" t="s">
        <v>123</v>
      </c>
      <c r="C2178" s="7" t="s">
        <v>42</v>
      </c>
      <c r="D2178" s="8">
        <v>45629</v>
      </c>
      <c r="E2178" s="8" t="str">
        <f t="shared" ref="E2178:E2241" si="135">TEXT(D2178,"mmmm")</f>
        <v>December</v>
      </c>
      <c r="F2178">
        <f t="shared" ref="F2178:F2241" si="136">YEAR(D2178)</f>
        <v>2024</v>
      </c>
      <c r="G2178">
        <f t="shared" ref="G2178:G2241" si="137">IF(LOWER(K2178)="absent",0,1)</f>
        <v>1</v>
      </c>
      <c r="H2178">
        <f t="shared" ref="H2178:H2241" si="138">IF(K2178="Late",1,0)</f>
        <v>0</v>
      </c>
      <c r="I2178" s="6">
        <v>0.48819444444444443</v>
      </c>
      <c r="J2178" s="6">
        <v>0.72847222222222219</v>
      </c>
      <c r="K2178" s="7" t="s">
        <v>20</v>
      </c>
      <c r="L2178" s="7" t="s">
        <v>27</v>
      </c>
      <c r="M2178" s="7" t="s">
        <v>21</v>
      </c>
      <c r="N2178" s="7">
        <f>COUNTIFS(A:A,A2178,D:D,D2178,E:E,I2178)</f>
        <v>0</v>
      </c>
    </row>
    <row r="2179" spans="1:14" x14ac:dyDescent="0.3">
      <c r="A2179" s="7" t="s">
        <v>40</v>
      </c>
      <c r="B2179" s="7" t="s">
        <v>41</v>
      </c>
      <c r="C2179" s="7" t="s">
        <v>425</v>
      </c>
      <c r="D2179" s="8">
        <v>45367</v>
      </c>
      <c r="E2179" s="8" t="str">
        <f t="shared" si="135"/>
        <v>March</v>
      </c>
      <c r="F2179">
        <f t="shared" si="136"/>
        <v>2024</v>
      </c>
      <c r="G2179">
        <f t="shared" si="137"/>
        <v>1</v>
      </c>
      <c r="H2179">
        <f t="shared" si="138"/>
        <v>0</v>
      </c>
      <c r="I2179" s="6">
        <v>0.47708333333333336</v>
      </c>
      <c r="J2179" s="6">
        <v>0.77152777777777781</v>
      </c>
      <c r="K2179" s="7" t="s">
        <v>20</v>
      </c>
      <c r="L2179" s="7" t="s">
        <v>27</v>
      </c>
      <c r="M2179" s="7" t="s">
        <v>15</v>
      </c>
      <c r="N2179" s="7">
        <f>COUNTIFS(A:A,A2179,D:D,D2179,E:E,I2179)</f>
        <v>0</v>
      </c>
    </row>
    <row r="2180" spans="1:14" x14ac:dyDescent="0.3">
      <c r="A2180" s="7" t="s">
        <v>216</v>
      </c>
      <c r="B2180" s="7" t="s">
        <v>217</v>
      </c>
      <c r="C2180" s="7" t="s">
        <v>426</v>
      </c>
      <c r="D2180" s="8">
        <v>45315</v>
      </c>
      <c r="E2180" s="8" t="str">
        <f t="shared" si="135"/>
        <v>January</v>
      </c>
      <c r="F2180">
        <f t="shared" si="136"/>
        <v>2024</v>
      </c>
      <c r="G2180">
        <f t="shared" si="137"/>
        <v>1</v>
      </c>
      <c r="H2180">
        <f t="shared" si="138"/>
        <v>0</v>
      </c>
      <c r="I2180" s="6">
        <v>0.35486111111111113</v>
      </c>
      <c r="J2180" s="6">
        <v>0.77847222222222223</v>
      </c>
      <c r="K2180" s="7" t="s">
        <v>20</v>
      </c>
      <c r="L2180" s="7" t="s">
        <v>27</v>
      </c>
      <c r="M2180" s="7" t="s">
        <v>15</v>
      </c>
      <c r="N2180" s="7">
        <f>COUNTIFS(A:A,A2180,D:D,D2180,E:E,I2180)</f>
        <v>0</v>
      </c>
    </row>
    <row r="2181" spans="1:14" x14ac:dyDescent="0.3">
      <c r="A2181" s="7" t="s">
        <v>269</v>
      </c>
      <c r="B2181" s="7" t="s">
        <v>270</v>
      </c>
      <c r="C2181" s="7" t="s">
        <v>425</v>
      </c>
      <c r="D2181" s="8">
        <v>45378</v>
      </c>
      <c r="E2181" s="8" t="str">
        <f t="shared" si="135"/>
        <v>March</v>
      </c>
      <c r="F2181">
        <f t="shared" si="136"/>
        <v>2024</v>
      </c>
      <c r="G2181">
        <f t="shared" si="137"/>
        <v>1</v>
      </c>
      <c r="H2181">
        <f t="shared" si="138"/>
        <v>0</v>
      </c>
      <c r="I2181" s="6">
        <v>0.33541666666666664</v>
      </c>
      <c r="J2181" s="6">
        <v>0.72638888888888886</v>
      </c>
      <c r="K2181" s="7" t="s">
        <v>13</v>
      </c>
      <c r="L2181" s="7" t="s">
        <v>14</v>
      </c>
      <c r="M2181" s="7" t="s">
        <v>21</v>
      </c>
      <c r="N2181" s="7">
        <f>COUNTIFS(A:A,A2181,D:D,D2181,E:E,I2181)</f>
        <v>0</v>
      </c>
    </row>
    <row r="2182" spans="1:14" x14ac:dyDescent="0.3">
      <c r="A2182" s="7" t="s">
        <v>134</v>
      </c>
      <c r="B2182" s="7" t="s">
        <v>135</v>
      </c>
      <c r="C2182" s="7" t="s">
        <v>426</v>
      </c>
      <c r="D2182" s="8">
        <v>45628</v>
      </c>
      <c r="E2182" s="8" t="str">
        <f t="shared" si="135"/>
        <v>December</v>
      </c>
      <c r="F2182">
        <f t="shared" si="136"/>
        <v>2024</v>
      </c>
      <c r="G2182">
        <f t="shared" si="137"/>
        <v>1</v>
      </c>
      <c r="H2182">
        <f t="shared" si="138"/>
        <v>0</v>
      </c>
      <c r="I2182" s="6">
        <v>0.49722222222222223</v>
      </c>
      <c r="J2182" s="6">
        <v>0.70972222222222225</v>
      </c>
      <c r="K2182" s="7" t="s">
        <v>13</v>
      </c>
      <c r="L2182" s="7" t="s">
        <v>14</v>
      </c>
      <c r="M2182" s="7" t="s">
        <v>21</v>
      </c>
      <c r="N2182" s="7">
        <f>COUNTIFS(A:A,A2182,D:D,D2182,E:E,I2182)</f>
        <v>0</v>
      </c>
    </row>
    <row r="2183" spans="1:14" x14ac:dyDescent="0.3">
      <c r="A2183" s="7" t="s">
        <v>216</v>
      </c>
      <c r="B2183" s="7" t="s">
        <v>217</v>
      </c>
      <c r="C2183" s="7" t="s">
        <v>60</v>
      </c>
      <c r="D2183" s="8">
        <v>45343</v>
      </c>
      <c r="E2183" s="8" t="str">
        <f t="shared" si="135"/>
        <v>February</v>
      </c>
      <c r="F2183">
        <f t="shared" si="136"/>
        <v>2024</v>
      </c>
      <c r="G2183">
        <f t="shared" si="137"/>
        <v>0</v>
      </c>
      <c r="H2183">
        <f t="shared" si="138"/>
        <v>0</v>
      </c>
      <c r="I2183" s="6"/>
      <c r="J2183" s="6"/>
      <c r="K2183" s="7" t="s">
        <v>44</v>
      </c>
      <c r="L2183" s="7" t="s">
        <v>14</v>
      </c>
      <c r="M2183" s="7" t="s">
        <v>21</v>
      </c>
      <c r="N2183" s="7">
        <f>COUNTIFS(A:A,A2183,D:D,D2183,E:E,I2183)</f>
        <v>0</v>
      </c>
    </row>
    <row r="2184" spans="1:14" x14ac:dyDescent="0.3">
      <c r="A2184" s="7" t="s">
        <v>291</v>
      </c>
      <c r="B2184" s="7" t="s">
        <v>292</v>
      </c>
      <c r="C2184" s="7" t="s">
        <v>60</v>
      </c>
      <c r="D2184" s="8">
        <v>45365</v>
      </c>
      <c r="E2184" s="8" t="str">
        <f t="shared" si="135"/>
        <v>March</v>
      </c>
      <c r="F2184">
        <f t="shared" si="136"/>
        <v>2024</v>
      </c>
      <c r="G2184">
        <f t="shared" si="137"/>
        <v>1</v>
      </c>
      <c r="H2184">
        <f t="shared" si="138"/>
        <v>1</v>
      </c>
      <c r="I2184" s="6">
        <v>0.49166666666666664</v>
      </c>
      <c r="J2184" s="6">
        <v>0.68055555555555558</v>
      </c>
      <c r="K2184" s="7" t="s">
        <v>26</v>
      </c>
      <c r="L2184" s="7" t="s">
        <v>27</v>
      </c>
      <c r="M2184" s="7" t="s">
        <v>21</v>
      </c>
      <c r="N2184" s="7">
        <f>COUNTIFS(A:A,A2184,D:D,D2184,E:E,I2184)</f>
        <v>0</v>
      </c>
    </row>
    <row r="2185" spans="1:14" x14ac:dyDescent="0.3">
      <c r="A2185" s="7" t="s">
        <v>52</v>
      </c>
      <c r="B2185" s="7" t="s">
        <v>53</v>
      </c>
      <c r="C2185" s="7" t="s">
        <v>64</v>
      </c>
      <c r="D2185" s="8">
        <v>45376</v>
      </c>
      <c r="E2185" s="8" t="str">
        <f t="shared" si="135"/>
        <v>March</v>
      </c>
      <c r="F2185">
        <f t="shared" si="136"/>
        <v>2024</v>
      </c>
      <c r="G2185">
        <f t="shared" si="137"/>
        <v>0</v>
      </c>
      <c r="H2185">
        <f t="shared" si="138"/>
        <v>0</v>
      </c>
      <c r="I2185" s="6"/>
      <c r="J2185" s="6"/>
      <c r="K2185" s="7" t="s">
        <v>44</v>
      </c>
      <c r="L2185" s="7" t="s">
        <v>14</v>
      </c>
      <c r="M2185" s="7" t="s">
        <v>15</v>
      </c>
      <c r="N2185" s="7">
        <f>COUNTIFS(A:A,A2185,D:D,D2185,E:E,I2185)</f>
        <v>0</v>
      </c>
    </row>
    <row r="2186" spans="1:14" x14ac:dyDescent="0.3">
      <c r="A2186" s="7" t="s">
        <v>66</v>
      </c>
      <c r="B2186" s="7" t="s">
        <v>67</v>
      </c>
      <c r="C2186" s="7" t="s">
        <v>425</v>
      </c>
      <c r="D2186" s="8">
        <v>45385</v>
      </c>
      <c r="E2186" s="8" t="str">
        <f t="shared" si="135"/>
        <v>April</v>
      </c>
      <c r="F2186">
        <f t="shared" si="136"/>
        <v>2024</v>
      </c>
      <c r="G2186">
        <f t="shared" si="137"/>
        <v>1</v>
      </c>
      <c r="H2186">
        <f t="shared" si="138"/>
        <v>1</v>
      </c>
      <c r="I2186" s="6">
        <v>0.36736111111111114</v>
      </c>
      <c r="J2186" s="6">
        <v>0.75</v>
      </c>
      <c r="K2186" s="7" t="s">
        <v>26</v>
      </c>
      <c r="L2186" s="7" t="s">
        <v>14</v>
      </c>
      <c r="M2186" s="7" t="s">
        <v>21</v>
      </c>
      <c r="N2186" s="7">
        <f>COUNTIFS(A:A,A2186,D:D,D2186,E:E,I2186)</f>
        <v>0</v>
      </c>
    </row>
    <row r="2187" spans="1:14" x14ac:dyDescent="0.3">
      <c r="A2187" s="7" t="s">
        <v>171</v>
      </c>
      <c r="B2187" s="7" t="s">
        <v>172</v>
      </c>
      <c r="C2187" s="7" t="s">
        <v>42</v>
      </c>
      <c r="D2187" s="8">
        <v>45366</v>
      </c>
      <c r="E2187" s="8" t="str">
        <f t="shared" si="135"/>
        <v>March</v>
      </c>
      <c r="F2187">
        <f t="shared" si="136"/>
        <v>2024</v>
      </c>
      <c r="G2187">
        <f t="shared" si="137"/>
        <v>1</v>
      </c>
      <c r="H2187">
        <f t="shared" si="138"/>
        <v>0</v>
      </c>
      <c r="I2187" s="6">
        <v>0.43680555555555556</v>
      </c>
      <c r="J2187" s="6">
        <v>0.76388888888888884</v>
      </c>
      <c r="K2187" s="7" t="s">
        <v>13</v>
      </c>
      <c r="L2187" s="7" t="s">
        <v>14</v>
      </c>
      <c r="M2187" s="7" t="s">
        <v>15</v>
      </c>
      <c r="N2187" s="7">
        <f>COUNTIFS(A:A,A2187,D:D,D2187,E:E,I2187)</f>
        <v>0</v>
      </c>
    </row>
    <row r="2188" spans="1:14" x14ac:dyDescent="0.3">
      <c r="A2188" s="7" t="s">
        <v>62</v>
      </c>
      <c r="B2188" s="7" t="s">
        <v>63</v>
      </c>
      <c r="C2188" s="7" t="s">
        <v>425</v>
      </c>
      <c r="D2188" s="8">
        <v>45315</v>
      </c>
      <c r="E2188" s="8" t="str">
        <f t="shared" si="135"/>
        <v>January</v>
      </c>
      <c r="F2188">
        <f t="shared" si="136"/>
        <v>2024</v>
      </c>
      <c r="G2188">
        <f t="shared" si="137"/>
        <v>1</v>
      </c>
      <c r="H2188">
        <f t="shared" si="138"/>
        <v>0</v>
      </c>
      <c r="I2188" s="6">
        <v>0.41319444444444442</v>
      </c>
      <c r="J2188" s="6">
        <v>0.72083333333333333</v>
      </c>
      <c r="K2188" s="7" t="s">
        <v>13</v>
      </c>
      <c r="L2188" s="7" t="s">
        <v>14</v>
      </c>
      <c r="M2188" s="7" t="s">
        <v>21</v>
      </c>
      <c r="N2188" s="7">
        <f>COUNTIFS(A:A,A2188,D:D,D2188,E:E,I2188)</f>
        <v>0</v>
      </c>
    </row>
    <row r="2189" spans="1:14" x14ac:dyDescent="0.3">
      <c r="A2189" s="7" t="s">
        <v>187</v>
      </c>
      <c r="B2189" s="7" t="s">
        <v>188</v>
      </c>
      <c r="C2189" s="7" t="s">
        <v>60</v>
      </c>
      <c r="D2189" s="8">
        <v>45320</v>
      </c>
      <c r="E2189" s="8" t="str">
        <f t="shared" si="135"/>
        <v>January</v>
      </c>
      <c r="F2189">
        <f t="shared" si="136"/>
        <v>2024</v>
      </c>
      <c r="G2189">
        <f t="shared" si="137"/>
        <v>1</v>
      </c>
      <c r="H2189">
        <f t="shared" si="138"/>
        <v>1</v>
      </c>
      <c r="I2189" s="6">
        <v>0.37638888888888888</v>
      </c>
      <c r="J2189" s="6">
        <v>0.82013888888888886</v>
      </c>
      <c r="K2189" s="7" t="s">
        <v>26</v>
      </c>
      <c r="L2189" s="7" t="s">
        <v>27</v>
      </c>
      <c r="M2189" s="7" t="s">
        <v>21</v>
      </c>
      <c r="N2189" s="7">
        <f>COUNTIFS(A:A,A2189,D:D,D2189,E:E,I2189)</f>
        <v>0</v>
      </c>
    </row>
    <row r="2190" spans="1:14" x14ac:dyDescent="0.3">
      <c r="A2190" s="7" t="s">
        <v>72</v>
      </c>
      <c r="B2190" s="7" t="s">
        <v>73</v>
      </c>
      <c r="C2190" s="7" t="s">
        <v>425</v>
      </c>
      <c r="D2190" s="8">
        <v>45325</v>
      </c>
      <c r="E2190" s="8" t="str">
        <f t="shared" si="135"/>
        <v>February</v>
      </c>
      <c r="F2190">
        <f t="shared" si="136"/>
        <v>2024</v>
      </c>
      <c r="G2190">
        <f t="shared" si="137"/>
        <v>1</v>
      </c>
      <c r="H2190">
        <f t="shared" si="138"/>
        <v>0</v>
      </c>
      <c r="I2190" s="6">
        <v>0.47222222222222221</v>
      </c>
      <c r="J2190" s="6">
        <v>0.69236111111111109</v>
      </c>
      <c r="K2190" s="7" t="s">
        <v>13</v>
      </c>
      <c r="L2190" s="7" t="s">
        <v>27</v>
      </c>
      <c r="M2190" s="7" t="s">
        <v>21</v>
      </c>
      <c r="N2190" s="7">
        <f>COUNTIFS(A:A,A2190,D:D,D2190,E:E,I2190)</f>
        <v>0</v>
      </c>
    </row>
    <row r="2191" spans="1:14" x14ac:dyDescent="0.3">
      <c r="A2191" s="7" t="s">
        <v>102</v>
      </c>
      <c r="B2191" s="7" t="s">
        <v>103</v>
      </c>
      <c r="C2191" s="7" t="s">
        <v>425</v>
      </c>
      <c r="D2191" s="8">
        <v>45335</v>
      </c>
      <c r="E2191" s="8" t="str">
        <f t="shared" si="135"/>
        <v>February</v>
      </c>
      <c r="F2191">
        <f t="shared" si="136"/>
        <v>2024</v>
      </c>
      <c r="G2191">
        <f t="shared" si="137"/>
        <v>1</v>
      </c>
      <c r="H2191">
        <f t="shared" si="138"/>
        <v>0</v>
      </c>
      <c r="I2191" s="6">
        <v>0.48749999999999999</v>
      </c>
      <c r="J2191" s="6">
        <v>0.71388888888888891</v>
      </c>
      <c r="K2191" s="7" t="s">
        <v>20</v>
      </c>
      <c r="L2191" s="7" t="s">
        <v>14</v>
      </c>
      <c r="M2191" s="7" t="s">
        <v>15</v>
      </c>
      <c r="N2191" s="7">
        <f>COUNTIFS(A:A,A2191,D:D,D2191,E:E,I2191)</f>
        <v>0</v>
      </c>
    </row>
    <row r="2192" spans="1:14" x14ac:dyDescent="0.3">
      <c r="A2192" s="7" t="s">
        <v>146</v>
      </c>
      <c r="B2192" s="7" t="s">
        <v>147</v>
      </c>
      <c r="C2192" s="7" t="s">
        <v>426</v>
      </c>
      <c r="D2192" s="8">
        <v>45310</v>
      </c>
      <c r="E2192" s="8" t="str">
        <f t="shared" si="135"/>
        <v>January</v>
      </c>
      <c r="F2192">
        <f t="shared" si="136"/>
        <v>2024</v>
      </c>
      <c r="G2192">
        <f t="shared" si="137"/>
        <v>1</v>
      </c>
      <c r="H2192">
        <f t="shared" si="138"/>
        <v>1</v>
      </c>
      <c r="I2192" s="6">
        <v>0.41944444444444445</v>
      </c>
      <c r="J2192" s="6">
        <v>0.80763888888888891</v>
      </c>
      <c r="K2192" s="7" t="s">
        <v>26</v>
      </c>
      <c r="L2192" s="7" t="s">
        <v>27</v>
      </c>
      <c r="M2192" s="7" t="s">
        <v>15</v>
      </c>
      <c r="N2192" s="7">
        <f>COUNTIFS(A:A,A2192,D:D,D2192,E:E,I2192)</f>
        <v>0</v>
      </c>
    </row>
    <row r="2193" spans="1:14" x14ac:dyDescent="0.3">
      <c r="A2193" s="7" t="s">
        <v>130</v>
      </c>
      <c r="B2193" s="7" t="s">
        <v>131</v>
      </c>
      <c r="C2193" s="7" t="s">
        <v>60</v>
      </c>
      <c r="D2193" s="8">
        <v>45325</v>
      </c>
      <c r="E2193" s="8" t="str">
        <f t="shared" si="135"/>
        <v>February</v>
      </c>
      <c r="F2193">
        <f t="shared" si="136"/>
        <v>2024</v>
      </c>
      <c r="G2193">
        <f t="shared" si="137"/>
        <v>0</v>
      </c>
      <c r="H2193">
        <f t="shared" si="138"/>
        <v>0</v>
      </c>
      <c r="I2193" s="6"/>
      <c r="J2193" s="6"/>
      <c r="K2193" s="7" t="s">
        <v>44</v>
      </c>
      <c r="L2193" s="7" t="s">
        <v>14</v>
      </c>
      <c r="M2193" s="7" t="s">
        <v>15</v>
      </c>
      <c r="N2193" s="7">
        <f>COUNTIFS(A:A,A2193,D:D,D2193,E:E,I2193)</f>
        <v>0</v>
      </c>
    </row>
    <row r="2194" spans="1:14" x14ac:dyDescent="0.3">
      <c r="A2194" s="7" t="s">
        <v>62</v>
      </c>
      <c r="B2194" s="7" t="s">
        <v>63</v>
      </c>
      <c r="C2194" s="7" t="s">
        <v>64</v>
      </c>
      <c r="D2194" s="8">
        <v>45311</v>
      </c>
      <c r="E2194" s="8" t="str">
        <f t="shared" si="135"/>
        <v>January</v>
      </c>
      <c r="F2194">
        <f t="shared" si="136"/>
        <v>2024</v>
      </c>
      <c r="G2194">
        <f t="shared" si="137"/>
        <v>1</v>
      </c>
      <c r="H2194">
        <f t="shared" si="138"/>
        <v>0</v>
      </c>
      <c r="I2194" s="6">
        <v>0.42638888888888887</v>
      </c>
      <c r="J2194" s="6">
        <v>0.82708333333333328</v>
      </c>
      <c r="K2194" s="7" t="s">
        <v>20</v>
      </c>
      <c r="L2194" s="7" t="s">
        <v>27</v>
      </c>
      <c r="M2194" s="7" t="s">
        <v>15</v>
      </c>
      <c r="N2194" s="7">
        <f>COUNTIFS(A:A,A2194,D:D,D2194,E:E,I2194)</f>
        <v>0</v>
      </c>
    </row>
    <row r="2195" spans="1:14" x14ac:dyDescent="0.3">
      <c r="A2195" s="7" t="s">
        <v>102</v>
      </c>
      <c r="B2195" s="7" t="s">
        <v>103</v>
      </c>
      <c r="C2195" s="7" t="s">
        <v>426</v>
      </c>
      <c r="D2195" s="8">
        <v>45342</v>
      </c>
      <c r="E2195" s="8" t="str">
        <f t="shared" si="135"/>
        <v>February</v>
      </c>
      <c r="F2195">
        <f t="shared" si="136"/>
        <v>2024</v>
      </c>
      <c r="G2195">
        <f t="shared" si="137"/>
        <v>1</v>
      </c>
      <c r="H2195">
        <f t="shared" si="138"/>
        <v>0</v>
      </c>
      <c r="I2195" s="6">
        <v>0.46527777777777779</v>
      </c>
      <c r="J2195" s="6">
        <v>0.73819444444444449</v>
      </c>
      <c r="K2195" s="7" t="s">
        <v>13</v>
      </c>
      <c r="L2195" s="7" t="s">
        <v>14</v>
      </c>
      <c r="M2195" s="7" t="s">
        <v>21</v>
      </c>
      <c r="N2195" s="7">
        <f>COUNTIFS(A:A,A2195,D:D,D2195,E:E,I2195)</f>
        <v>0</v>
      </c>
    </row>
    <row r="2196" spans="1:14" x14ac:dyDescent="0.3">
      <c r="A2196" s="7" t="s">
        <v>119</v>
      </c>
      <c r="B2196" s="7" t="s">
        <v>120</v>
      </c>
      <c r="C2196" s="7" t="s">
        <v>426</v>
      </c>
      <c r="D2196" s="8">
        <v>45321</v>
      </c>
      <c r="E2196" s="8" t="str">
        <f t="shared" si="135"/>
        <v>January</v>
      </c>
      <c r="F2196">
        <f t="shared" si="136"/>
        <v>2024</v>
      </c>
      <c r="G2196">
        <f t="shared" si="137"/>
        <v>1</v>
      </c>
      <c r="H2196">
        <f t="shared" si="138"/>
        <v>0</v>
      </c>
      <c r="I2196" s="6">
        <v>0.43194444444444446</v>
      </c>
      <c r="J2196" s="6">
        <v>0.73888888888888893</v>
      </c>
      <c r="K2196" s="7" t="s">
        <v>20</v>
      </c>
      <c r="L2196" s="7" t="s">
        <v>14</v>
      </c>
      <c r="M2196" s="7" t="s">
        <v>21</v>
      </c>
      <c r="N2196" s="7">
        <f>COUNTIFS(A:A,A2196,D:D,D2196,E:E,I2196)</f>
        <v>0</v>
      </c>
    </row>
    <row r="2197" spans="1:14" x14ac:dyDescent="0.3">
      <c r="A2197" s="7" t="s">
        <v>269</v>
      </c>
      <c r="B2197" s="7" t="s">
        <v>270</v>
      </c>
      <c r="C2197" s="7" t="s">
        <v>42</v>
      </c>
      <c r="D2197" s="8">
        <v>45537</v>
      </c>
      <c r="E2197" s="8" t="str">
        <f t="shared" si="135"/>
        <v>September</v>
      </c>
      <c r="F2197">
        <f t="shared" si="136"/>
        <v>2024</v>
      </c>
      <c r="G2197">
        <f t="shared" si="137"/>
        <v>1</v>
      </c>
      <c r="H2197">
        <f t="shared" si="138"/>
        <v>1</v>
      </c>
      <c r="I2197" s="6">
        <v>0.4597222222222222</v>
      </c>
      <c r="J2197" s="6">
        <v>0.78333333333333333</v>
      </c>
      <c r="K2197" s="7" t="s">
        <v>26</v>
      </c>
      <c r="L2197" s="7" t="s">
        <v>14</v>
      </c>
      <c r="M2197" s="7" t="s">
        <v>21</v>
      </c>
      <c r="N2197" s="7">
        <f>COUNTIFS(A:A,A2197,D:D,D2197,E:E,I2197)</f>
        <v>0</v>
      </c>
    </row>
    <row r="2198" spans="1:14" x14ac:dyDescent="0.3">
      <c r="A2198" s="7" t="s">
        <v>291</v>
      </c>
      <c r="B2198" s="7" t="s">
        <v>292</v>
      </c>
      <c r="C2198" s="7" t="s">
        <v>60</v>
      </c>
      <c r="D2198" s="8">
        <v>45319</v>
      </c>
      <c r="E2198" s="8" t="str">
        <f t="shared" si="135"/>
        <v>January</v>
      </c>
      <c r="F2198">
        <f t="shared" si="136"/>
        <v>2024</v>
      </c>
      <c r="G2198">
        <f t="shared" si="137"/>
        <v>1</v>
      </c>
      <c r="H2198">
        <f t="shared" si="138"/>
        <v>0</v>
      </c>
      <c r="I2198" s="6">
        <v>0.37847222222222221</v>
      </c>
      <c r="J2198" s="6">
        <v>0.67777777777777781</v>
      </c>
      <c r="K2198" s="7" t="s">
        <v>13</v>
      </c>
      <c r="L2198" s="7" t="s">
        <v>14</v>
      </c>
      <c r="M2198" s="7" t="s">
        <v>21</v>
      </c>
      <c r="N2198" s="7">
        <f>COUNTIFS(A:A,A2198,D:D,D2198,E:E,I2198)</f>
        <v>0</v>
      </c>
    </row>
    <row r="2199" spans="1:14" x14ac:dyDescent="0.3">
      <c r="A2199" s="7" t="s">
        <v>141</v>
      </c>
      <c r="B2199" s="7" t="s">
        <v>142</v>
      </c>
      <c r="C2199" s="7" t="s">
        <v>425</v>
      </c>
      <c r="D2199" s="8">
        <v>45305</v>
      </c>
      <c r="E2199" s="8" t="str">
        <f t="shared" si="135"/>
        <v>January</v>
      </c>
      <c r="F2199">
        <f t="shared" si="136"/>
        <v>2024</v>
      </c>
      <c r="G2199">
        <f t="shared" si="137"/>
        <v>1</v>
      </c>
      <c r="H2199">
        <f t="shared" si="138"/>
        <v>1</v>
      </c>
      <c r="I2199" s="6">
        <v>0.40486111111111112</v>
      </c>
      <c r="J2199" s="6">
        <v>0.70833333333333337</v>
      </c>
      <c r="K2199" s="7" t="s">
        <v>26</v>
      </c>
      <c r="L2199" s="7" t="s">
        <v>14</v>
      </c>
      <c r="M2199" s="7" t="s">
        <v>15</v>
      </c>
      <c r="N2199" s="7">
        <f>COUNTIFS(A:A,A2199,D:D,D2199,E:E,I2199)</f>
        <v>0</v>
      </c>
    </row>
    <row r="2200" spans="1:14" x14ac:dyDescent="0.3">
      <c r="A2200" s="7" t="s">
        <v>62</v>
      </c>
      <c r="B2200" s="7" t="s">
        <v>63</v>
      </c>
      <c r="C2200" s="7" t="s">
        <v>60</v>
      </c>
      <c r="D2200" s="8">
        <v>45326</v>
      </c>
      <c r="E2200" s="8" t="str">
        <f t="shared" si="135"/>
        <v>February</v>
      </c>
      <c r="F2200">
        <f t="shared" si="136"/>
        <v>2024</v>
      </c>
      <c r="G2200">
        <f t="shared" si="137"/>
        <v>0</v>
      </c>
      <c r="H2200">
        <f t="shared" si="138"/>
        <v>0</v>
      </c>
      <c r="I2200" s="6"/>
      <c r="J2200" s="6"/>
      <c r="K2200" s="7" t="s">
        <v>44</v>
      </c>
      <c r="L2200" s="7" t="s">
        <v>27</v>
      </c>
      <c r="M2200" s="7" t="s">
        <v>21</v>
      </c>
      <c r="N2200" s="7">
        <f>COUNTIFS(A:A,A2200,D:D,D2200,E:E,I2200)</f>
        <v>0</v>
      </c>
    </row>
    <row r="2201" spans="1:14" x14ac:dyDescent="0.3">
      <c r="A2201" s="7" t="s">
        <v>200</v>
      </c>
      <c r="B2201" s="7" t="s">
        <v>201</v>
      </c>
      <c r="C2201" s="7" t="s">
        <v>425</v>
      </c>
      <c r="D2201" s="8">
        <v>45292</v>
      </c>
      <c r="E2201" s="8" t="str">
        <f t="shared" si="135"/>
        <v>January</v>
      </c>
      <c r="F2201">
        <f t="shared" si="136"/>
        <v>2024</v>
      </c>
      <c r="G2201">
        <f t="shared" si="137"/>
        <v>1</v>
      </c>
      <c r="H2201">
        <f t="shared" si="138"/>
        <v>1</v>
      </c>
      <c r="I2201" s="6">
        <v>0.45763888888888887</v>
      </c>
      <c r="J2201" s="6">
        <v>0.70416666666666672</v>
      </c>
      <c r="K2201" s="7" t="s">
        <v>26</v>
      </c>
      <c r="L2201" s="7" t="s">
        <v>27</v>
      </c>
      <c r="M2201" s="7" t="s">
        <v>21</v>
      </c>
      <c r="N2201" s="7">
        <f>COUNTIFS(A:A,A2201,D:D,D2201,E:E,I2201)</f>
        <v>0</v>
      </c>
    </row>
    <row r="2202" spans="1:14" x14ac:dyDescent="0.3">
      <c r="A2202" s="7" t="s">
        <v>58</v>
      </c>
      <c r="B2202" s="7" t="s">
        <v>59</v>
      </c>
      <c r="C2202" s="7" t="s">
        <v>425</v>
      </c>
      <c r="D2202" s="8">
        <v>45567</v>
      </c>
      <c r="E2202" s="8" t="str">
        <f t="shared" si="135"/>
        <v>October</v>
      </c>
      <c r="F2202">
        <f t="shared" si="136"/>
        <v>2024</v>
      </c>
      <c r="G2202">
        <f t="shared" si="137"/>
        <v>1</v>
      </c>
      <c r="H2202">
        <f t="shared" si="138"/>
        <v>0</v>
      </c>
      <c r="I2202" s="6">
        <v>0.43055555555555558</v>
      </c>
      <c r="J2202" s="6">
        <v>0.86319444444444449</v>
      </c>
      <c r="K2202" s="7" t="s">
        <v>20</v>
      </c>
      <c r="L2202" s="7" t="s">
        <v>14</v>
      </c>
      <c r="M2202" s="7" t="s">
        <v>21</v>
      </c>
      <c r="N2202" s="7">
        <f>COUNTIFS(A:A,A2202,D:D,D2202,E:E,I2202)</f>
        <v>0</v>
      </c>
    </row>
    <row r="2203" spans="1:14" x14ac:dyDescent="0.3">
      <c r="A2203" s="7" t="s">
        <v>37</v>
      </c>
      <c r="B2203" s="7" t="s">
        <v>38</v>
      </c>
      <c r="C2203" s="7" t="s">
        <v>60</v>
      </c>
      <c r="D2203" s="8">
        <v>45302</v>
      </c>
      <c r="E2203" s="8" t="str">
        <f t="shared" si="135"/>
        <v>January</v>
      </c>
      <c r="F2203">
        <f t="shared" si="136"/>
        <v>2024</v>
      </c>
      <c r="G2203">
        <f t="shared" si="137"/>
        <v>0</v>
      </c>
      <c r="H2203">
        <f t="shared" si="138"/>
        <v>0</v>
      </c>
      <c r="I2203" s="6"/>
      <c r="J2203" s="6"/>
      <c r="K2203" s="7" t="s">
        <v>44</v>
      </c>
      <c r="L2203" s="7" t="s">
        <v>27</v>
      </c>
      <c r="M2203" s="7" t="s">
        <v>15</v>
      </c>
      <c r="N2203" s="7">
        <f>COUNTIFS(A:A,A2203,D:D,D2203,E:E,I2203)</f>
        <v>0</v>
      </c>
    </row>
    <row r="2204" spans="1:14" x14ac:dyDescent="0.3">
      <c r="A2204" s="7" t="s">
        <v>37</v>
      </c>
      <c r="B2204" s="7" t="s">
        <v>38</v>
      </c>
      <c r="C2204" s="7" t="s">
        <v>425</v>
      </c>
      <c r="D2204" s="8">
        <v>45361</v>
      </c>
      <c r="E2204" s="8" t="str">
        <f t="shared" si="135"/>
        <v>March</v>
      </c>
      <c r="F2204">
        <f t="shared" si="136"/>
        <v>2024</v>
      </c>
      <c r="G2204">
        <f t="shared" si="137"/>
        <v>1</v>
      </c>
      <c r="H2204">
        <f t="shared" si="138"/>
        <v>1</v>
      </c>
      <c r="I2204" s="6">
        <v>0.34930555555555554</v>
      </c>
      <c r="J2204" s="6">
        <v>0.82638888888888884</v>
      </c>
      <c r="K2204" s="7" t="s">
        <v>26</v>
      </c>
      <c r="L2204" s="7" t="s">
        <v>14</v>
      </c>
      <c r="M2204" s="7" t="s">
        <v>21</v>
      </c>
      <c r="N2204" s="7">
        <f>COUNTIFS(A:A,A2204,D:D,D2204,E:E,I2204)</f>
        <v>0</v>
      </c>
    </row>
    <row r="2205" spans="1:14" x14ac:dyDescent="0.3">
      <c r="A2205" s="7" t="s">
        <v>62</v>
      </c>
      <c r="B2205" s="7" t="s">
        <v>63</v>
      </c>
      <c r="C2205" s="7" t="s">
        <v>425</v>
      </c>
      <c r="D2205" s="8">
        <v>45335</v>
      </c>
      <c r="E2205" s="8" t="str">
        <f t="shared" si="135"/>
        <v>February</v>
      </c>
      <c r="F2205">
        <f t="shared" si="136"/>
        <v>2024</v>
      </c>
      <c r="G2205">
        <f t="shared" si="137"/>
        <v>0</v>
      </c>
      <c r="H2205">
        <f t="shared" si="138"/>
        <v>0</v>
      </c>
      <c r="I2205" s="6"/>
      <c r="J2205" s="6"/>
      <c r="K2205" s="7" t="s">
        <v>44</v>
      </c>
      <c r="L2205" s="7" t="s">
        <v>14</v>
      </c>
      <c r="M2205" s="7" t="s">
        <v>21</v>
      </c>
      <c r="N2205" s="7">
        <f>COUNTIFS(A:A,A2205,D:D,D2205,E:E,I2205)</f>
        <v>0</v>
      </c>
    </row>
    <row r="2206" spans="1:14" x14ac:dyDescent="0.3">
      <c r="A2206" s="7" t="s">
        <v>58</v>
      </c>
      <c r="B2206" s="7" t="s">
        <v>59</v>
      </c>
      <c r="C2206" s="7" t="s">
        <v>64</v>
      </c>
      <c r="D2206" s="8">
        <v>45383</v>
      </c>
      <c r="E2206" s="8" t="str">
        <f t="shared" si="135"/>
        <v>April</v>
      </c>
      <c r="F2206">
        <f t="shared" si="136"/>
        <v>2024</v>
      </c>
      <c r="G2206">
        <f t="shared" si="137"/>
        <v>0</v>
      </c>
      <c r="H2206">
        <f t="shared" si="138"/>
        <v>0</v>
      </c>
      <c r="I2206" s="6"/>
      <c r="J2206" s="6"/>
      <c r="K2206" s="7" t="s">
        <v>44</v>
      </c>
      <c r="L2206" s="7" t="s">
        <v>14</v>
      </c>
      <c r="M2206" s="7" t="s">
        <v>15</v>
      </c>
      <c r="N2206" s="7">
        <f>COUNTIFS(A:A,A2206,D:D,D2206,E:E,I2206)</f>
        <v>0</v>
      </c>
    </row>
    <row r="2207" spans="1:14" x14ac:dyDescent="0.3">
      <c r="A2207" s="7" t="s">
        <v>87</v>
      </c>
      <c r="B2207" s="7" t="s">
        <v>88</v>
      </c>
      <c r="C2207" s="7" t="s">
        <v>426</v>
      </c>
      <c r="D2207" s="8">
        <v>45309</v>
      </c>
      <c r="E2207" s="8" t="str">
        <f t="shared" si="135"/>
        <v>January</v>
      </c>
      <c r="F2207">
        <f t="shared" si="136"/>
        <v>2024</v>
      </c>
      <c r="G2207">
        <f t="shared" si="137"/>
        <v>1</v>
      </c>
      <c r="H2207">
        <f t="shared" si="138"/>
        <v>1</v>
      </c>
      <c r="I2207" s="6">
        <v>0.47152777777777777</v>
      </c>
      <c r="J2207" s="6">
        <v>0.86111111111111116</v>
      </c>
      <c r="K2207" s="7" t="s">
        <v>26</v>
      </c>
      <c r="L2207" s="7" t="s">
        <v>14</v>
      </c>
      <c r="M2207" s="7" t="s">
        <v>15</v>
      </c>
      <c r="N2207" s="7">
        <f>COUNTIFS(A:A,A2207,D:D,D2207,E:E,I2207)</f>
        <v>0</v>
      </c>
    </row>
    <row r="2208" spans="1:14" x14ac:dyDescent="0.3">
      <c r="A2208" s="7" t="s">
        <v>52</v>
      </c>
      <c r="B2208" s="7" t="s">
        <v>53</v>
      </c>
      <c r="C2208" s="7" t="s">
        <v>42</v>
      </c>
      <c r="D2208" s="8">
        <v>45413</v>
      </c>
      <c r="E2208" s="8" t="str">
        <f t="shared" si="135"/>
        <v>May</v>
      </c>
      <c r="F2208">
        <f t="shared" si="136"/>
        <v>2024</v>
      </c>
      <c r="G2208">
        <f t="shared" si="137"/>
        <v>0</v>
      </c>
      <c r="H2208">
        <f t="shared" si="138"/>
        <v>0</v>
      </c>
      <c r="I2208" s="6"/>
      <c r="J2208" s="6"/>
      <c r="K2208" s="7" t="s">
        <v>44</v>
      </c>
      <c r="L2208" s="7" t="s">
        <v>27</v>
      </c>
      <c r="M2208" s="7" t="s">
        <v>21</v>
      </c>
      <c r="N2208" s="7">
        <f>COUNTIFS(A:A,A2208,D:D,D2208,E:E,I2208)</f>
        <v>0</v>
      </c>
    </row>
    <row r="2209" spans="1:14" x14ac:dyDescent="0.3">
      <c r="A2209" s="7" t="s">
        <v>78</v>
      </c>
      <c r="B2209" s="7" t="s">
        <v>79</v>
      </c>
      <c r="C2209" s="7" t="s">
        <v>60</v>
      </c>
      <c r="D2209" s="8">
        <v>45345</v>
      </c>
      <c r="E2209" s="8" t="str">
        <f t="shared" si="135"/>
        <v>February</v>
      </c>
      <c r="F2209">
        <f t="shared" si="136"/>
        <v>2024</v>
      </c>
      <c r="G2209">
        <f t="shared" si="137"/>
        <v>0</v>
      </c>
      <c r="H2209">
        <f t="shared" si="138"/>
        <v>0</v>
      </c>
      <c r="I2209" s="6"/>
      <c r="J2209" s="6"/>
      <c r="K2209" s="7" t="s">
        <v>44</v>
      </c>
      <c r="L2209" s="7" t="s">
        <v>27</v>
      </c>
      <c r="M2209" s="7" t="s">
        <v>15</v>
      </c>
      <c r="N2209" s="7">
        <f>COUNTIFS(A:A,A2209,D:D,D2209,E:E,I2209)</f>
        <v>0</v>
      </c>
    </row>
    <row r="2210" spans="1:14" x14ac:dyDescent="0.3">
      <c r="A2210" s="7" t="s">
        <v>291</v>
      </c>
      <c r="B2210" s="7" t="s">
        <v>292</v>
      </c>
      <c r="C2210" s="7" t="s">
        <v>60</v>
      </c>
      <c r="D2210" s="8">
        <v>45323</v>
      </c>
      <c r="E2210" s="8" t="str">
        <f t="shared" si="135"/>
        <v>February</v>
      </c>
      <c r="F2210">
        <f t="shared" si="136"/>
        <v>2024</v>
      </c>
      <c r="G2210">
        <f t="shared" si="137"/>
        <v>0</v>
      </c>
      <c r="H2210">
        <f t="shared" si="138"/>
        <v>0</v>
      </c>
      <c r="I2210" s="6"/>
      <c r="J2210" s="6"/>
      <c r="K2210" s="7" t="s">
        <v>44</v>
      </c>
      <c r="L2210" s="7" t="s">
        <v>14</v>
      </c>
      <c r="M2210" s="7" t="s">
        <v>15</v>
      </c>
      <c r="N2210" s="7">
        <f>COUNTIFS(A:A,A2210,D:D,D2210,E:E,I2210)</f>
        <v>0</v>
      </c>
    </row>
    <row r="2211" spans="1:14" x14ac:dyDescent="0.3">
      <c r="A2211" s="7" t="s">
        <v>246</v>
      </c>
      <c r="B2211" s="7" t="s">
        <v>247</v>
      </c>
      <c r="C2211" s="7" t="s">
        <v>64</v>
      </c>
      <c r="D2211" s="8">
        <v>45341</v>
      </c>
      <c r="E2211" s="8" t="str">
        <f t="shared" si="135"/>
        <v>February</v>
      </c>
      <c r="F2211">
        <f t="shared" si="136"/>
        <v>2024</v>
      </c>
      <c r="G2211">
        <f t="shared" si="137"/>
        <v>0</v>
      </c>
      <c r="H2211">
        <f t="shared" si="138"/>
        <v>0</v>
      </c>
      <c r="I2211" s="6"/>
      <c r="J2211" s="6"/>
      <c r="K2211" s="7" t="s">
        <v>44</v>
      </c>
      <c r="L2211" s="7" t="s">
        <v>14</v>
      </c>
      <c r="M2211" s="7" t="s">
        <v>21</v>
      </c>
      <c r="N2211" s="7">
        <f>COUNTIFS(A:A,A2211,D:D,D2211,E:E,I2211)</f>
        <v>0</v>
      </c>
    </row>
    <row r="2212" spans="1:14" x14ac:dyDescent="0.3">
      <c r="A2212" s="7" t="s">
        <v>22</v>
      </c>
      <c r="B2212" s="7" t="s">
        <v>23</v>
      </c>
      <c r="C2212" s="7" t="s">
        <v>64</v>
      </c>
      <c r="D2212" s="8">
        <v>45342</v>
      </c>
      <c r="E2212" s="8" t="str">
        <f t="shared" si="135"/>
        <v>February</v>
      </c>
      <c r="F2212">
        <f t="shared" si="136"/>
        <v>2024</v>
      </c>
      <c r="G2212">
        <f t="shared" si="137"/>
        <v>1</v>
      </c>
      <c r="H2212">
        <f t="shared" si="138"/>
        <v>1</v>
      </c>
      <c r="I2212" s="6">
        <v>0.42152777777777778</v>
      </c>
      <c r="J2212" s="6">
        <v>0.79374999999999996</v>
      </c>
      <c r="K2212" s="7" t="s">
        <v>26</v>
      </c>
      <c r="L2212" s="7" t="s">
        <v>27</v>
      </c>
      <c r="M2212" s="7" t="s">
        <v>21</v>
      </c>
      <c r="N2212" s="7">
        <f>COUNTIFS(A:A,A2212,D:D,D2212,E:E,I2212)</f>
        <v>0</v>
      </c>
    </row>
    <row r="2213" spans="1:14" x14ac:dyDescent="0.3">
      <c r="A2213" s="7" t="s">
        <v>34</v>
      </c>
      <c r="B2213" s="7" t="s">
        <v>35</v>
      </c>
      <c r="C2213" s="7" t="s">
        <v>425</v>
      </c>
      <c r="D2213" s="8">
        <v>45377</v>
      </c>
      <c r="E2213" s="8" t="str">
        <f t="shared" si="135"/>
        <v>March</v>
      </c>
      <c r="F2213">
        <f t="shared" si="136"/>
        <v>2024</v>
      </c>
      <c r="G2213">
        <f t="shared" si="137"/>
        <v>1</v>
      </c>
      <c r="H2213">
        <f t="shared" si="138"/>
        <v>0</v>
      </c>
      <c r="I2213" s="6">
        <v>0.42152777777777778</v>
      </c>
      <c r="J2213" s="6">
        <v>0.7993055555555556</v>
      </c>
      <c r="K2213" s="7" t="s">
        <v>20</v>
      </c>
      <c r="L2213" s="7" t="s">
        <v>27</v>
      </c>
      <c r="M2213" s="7" t="s">
        <v>21</v>
      </c>
      <c r="N2213" s="7">
        <f>COUNTIFS(A:A,A2213,D:D,D2213,E:E,I2213)</f>
        <v>0</v>
      </c>
    </row>
    <row r="2214" spans="1:14" x14ac:dyDescent="0.3">
      <c r="A2214" s="7" t="s">
        <v>102</v>
      </c>
      <c r="B2214" s="7" t="s">
        <v>103</v>
      </c>
      <c r="C2214" s="7" t="s">
        <v>426</v>
      </c>
      <c r="D2214" s="8">
        <v>45301</v>
      </c>
      <c r="E2214" s="8" t="str">
        <f t="shared" si="135"/>
        <v>January</v>
      </c>
      <c r="F2214">
        <f t="shared" si="136"/>
        <v>2024</v>
      </c>
      <c r="G2214">
        <f t="shared" si="137"/>
        <v>1</v>
      </c>
      <c r="H2214">
        <f t="shared" si="138"/>
        <v>0</v>
      </c>
      <c r="I2214" s="6">
        <v>0.46527777777777779</v>
      </c>
      <c r="J2214" s="6">
        <v>0.83333333333333337</v>
      </c>
      <c r="K2214" s="7" t="s">
        <v>13</v>
      </c>
      <c r="L2214" s="7" t="s">
        <v>14</v>
      </c>
      <c r="M2214" s="7" t="s">
        <v>21</v>
      </c>
      <c r="N2214" s="7">
        <f>COUNTIFS(A:A,A2214,D:D,D2214,E:E,I2214)</f>
        <v>0</v>
      </c>
    </row>
    <row r="2215" spans="1:14" x14ac:dyDescent="0.3">
      <c r="A2215" s="7" t="s">
        <v>157</v>
      </c>
      <c r="B2215" s="7" t="s">
        <v>158</v>
      </c>
      <c r="C2215" s="7" t="s">
        <v>64</v>
      </c>
      <c r="D2215" s="8">
        <v>45323</v>
      </c>
      <c r="E2215" s="8" t="str">
        <f t="shared" si="135"/>
        <v>February</v>
      </c>
      <c r="F2215">
        <f t="shared" si="136"/>
        <v>2024</v>
      </c>
      <c r="G2215">
        <f t="shared" si="137"/>
        <v>1</v>
      </c>
      <c r="H2215">
        <f t="shared" si="138"/>
        <v>0</v>
      </c>
      <c r="I2215" s="6">
        <v>0.41458333333333336</v>
      </c>
      <c r="J2215" s="6">
        <v>0.7055555555555556</v>
      </c>
      <c r="K2215" s="7" t="s">
        <v>13</v>
      </c>
      <c r="L2215" s="7" t="s">
        <v>14</v>
      </c>
      <c r="M2215" s="7" t="s">
        <v>15</v>
      </c>
      <c r="N2215" s="7">
        <f>COUNTIFS(A:A,A2215,D:D,D2215,E:E,I2215)</f>
        <v>0</v>
      </c>
    </row>
    <row r="2216" spans="1:14" x14ac:dyDescent="0.3">
      <c r="A2216" s="7" t="s">
        <v>362</v>
      </c>
      <c r="B2216" s="7" t="s">
        <v>363</v>
      </c>
      <c r="C2216" s="7" t="s">
        <v>425</v>
      </c>
      <c r="D2216" s="8">
        <v>45305</v>
      </c>
      <c r="E2216" s="8" t="str">
        <f t="shared" si="135"/>
        <v>January</v>
      </c>
      <c r="F2216">
        <f t="shared" si="136"/>
        <v>2024</v>
      </c>
      <c r="G2216">
        <f t="shared" si="137"/>
        <v>1</v>
      </c>
      <c r="H2216">
        <f t="shared" si="138"/>
        <v>0</v>
      </c>
      <c r="I2216" s="6">
        <v>0.41944444444444445</v>
      </c>
      <c r="J2216" s="6">
        <v>0.70486111111111116</v>
      </c>
      <c r="K2216" s="7" t="s">
        <v>13</v>
      </c>
      <c r="L2216" s="7" t="s">
        <v>14</v>
      </c>
      <c r="M2216" s="7" t="s">
        <v>21</v>
      </c>
      <c r="N2216" s="7">
        <f>COUNTIFS(A:A,A2216,D:D,D2216,E:E,I2216)</f>
        <v>0</v>
      </c>
    </row>
    <row r="2217" spans="1:14" x14ac:dyDescent="0.3">
      <c r="A2217" s="7" t="s">
        <v>34</v>
      </c>
      <c r="B2217" s="7" t="s">
        <v>35</v>
      </c>
      <c r="C2217" s="7" t="s">
        <v>64</v>
      </c>
      <c r="D2217" s="8">
        <v>45321</v>
      </c>
      <c r="E2217" s="8" t="str">
        <f t="shared" si="135"/>
        <v>January</v>
      </c>
      <c r="F2217">
        <f t="shared" si="136"/>
        <v>2024</v>
      </c>
      <c r="G2217">
        <f t="shared" si="137"/>
        <v>1</v>
      </c>
      <c r="H2217">
        <f t="shared" si="138"/>
        <v>0</v>
      </c>
      <c r="I2217" s="6">
        <v>0.42916666666666664</v>
      </c>
      <c r="J2217" s="6">
        <v>0.78611111111111109</v>
      </c>
      <c r="K2217" s="7" t="s">
        <v>20</v>
      </c>
      <c r="L2217" s="7" t="s">
        <v>14</v>
      </c>
      <c r="M2217" s="7" t="s">
        <v>15</v>
      </c>
      <c r="N2217" s="7">
        <f>COUNTIFS(A:A,A2217,D:D,D2217,E:E,I2217)</f>
        <v>0</v>
      </c>
    </row>
    <row r="2218" spans="1:14" x14ac:dyDescent="0.3">
      <c r="A2218" s="7" t="s">
        <v>40</v>
      </c>
      <c r="B2218" s="7" t="s">
        <v>41</v>
      </c>
      <c r="C2218" s="7" t="s">
        <v>426</v>
      </c>
      <c r="D2218" s="8">
        <v>45339</v>
      </c>
      <c r="E2218" s="8" t="str">
        <f t="shared" si="135"/>
        <v>February</v>
      </c>
      <c r="F2218">
        <f t="shared" si="136"/>
        <v>2024</v>
      </c>
      <c r="G2218">
        <f t="shared" si="137"/>
        <v>0</v>
      </c>
      <c r="H2218">
        <f t="shared" si="138"/>
        <v>0</v>
      </c>
      <c r="I2218" s="6"/>
      <c r="J2218" s="6"/>
      <c r="K2218" s="7" t="s">
        <v>44</v>
      </c>
      <c r="L2218" s="7" t="s">
        <v>14</v>
      </c>
      <c r="M2218" s="7" t="s">
        <v>15</v>
      </c>
      <c r="N2218" s="7">
        <f>COUNTIFS(A:A,A2218,D:D,D2218,E:E,I2218)</f>
        <v>0</v>
      </c>
    </row>
    <row r="2219" spans="1:14" x14ac:dyDescent="0.3">
      <c r="A2219" s="7" t="s">
        <v>28</v>
      </c>
      <c r="B2219" s="7" t="s">
        <v>29</v>
      </c>
      <c r="C2219" s="7" t="s">
        <v>60</v>
      </c>
      <c r="D2219" s="8">
        <v>45298</v>
      </c>
      <c r="E2219" s="8" t="str">
        <f t="shared" si="135"/>
        <v>January</v>
      </c>
      <c r="F2219">
        <f t="shared" si="136"/>
        <v>2024</v>
      </c>
      <c r="G2219">
        <f t="shared" si="137"/>
        <v>1</v>
      </c>
      <c r="H2219">
        <f t="shared" si="138"/>
        <v>0</v>
      </c>
      <c r="I2219" s="6">
        <v>0.43680555555555556</v>
      </c>
      <c r="J2219" s="6">
        <v>0.82708333333333328</v>
      </c>
      <c r="K2219" s="7" t="s">
        <v>20</v>
      </c>
      <c r="L2219" s="7" t="s">
        <v>27</v>
      </c>
      <c r="M2219" s="7" t="s">
        <v>15</v>
      </c>
      <c r="N2219" s="7">
        <f>COUNTIFS(A:A,A2219,D:D,D2219,E:E,I2219)</f>
        <v>0</v>
      </c>
    </row>
    <row r="2220" spans="1:14" x14ac:dyDescent="0.3">
      <c r="A2220" s="7" t="s">
        <v>187</v>
      </c>
      <c r="B2220" s="7" t="s">
        <v>188</v>
      </c>
      <c r="C2220" s="7" t="s">
        <v>426</v>
      </c>
      <c r="D2220" s="8">
        <v>45321</v>
      </c>
      <c r="E2220" s="8" t="str">
        <f t="shared" si="135"/>
        <v>January</v>
      </c>
      <c r="F2220">
        <f t="shared" si="136"/>
        <v>2024</v>
      </c>
      <c r="G2220">
        <f t="shared" si="137"/>
        <v>0</v>
      </c>
      <c r="H2220">
        <f t="shared" si="138"/>
        <v>0</v>
      </c>
      <c r="I2220" s="6"/>
      <c r="J2220" s="6"/>
      <c r="K2220" s="7" t="s">
        <v>44</v>
      </c>
      <c r="L2220" s="7" t="s">
        <v>27</v>
      </c>
      <c r="M2220" s="7" t="s">
        <v>21</v>
      </c>
      <c r="N2220" s="7">
        <f>COUNTIFS(A:A,A2220,D:D,D2220,E:E,I2220)</f>
        <v>0</v>
      </c>
    </row>
    <row r="2221" spans="1:14" x14ac:dyDescent="0.3">
      <c r="A2221" s="7" t="s">
        <v>362</v>
      </c>
      <c r="B2221" s="7" t="s">
        <v>363</v>
      </c>
      <c r="C2221" s="7" t="s">
        <v>426</v>
      </c>
      <c r="D2221" s="8">
        <v>45366</v>
      </c>
      <c r="E2221" s="8" t="str">
        <f t="shared" si="135"/>
        <v>March</v>
      </c>
      <c r="F2221">
        <f t="shared" si="136"/>
        <v>2024</v>
      </c>
      <c r="G2221">
        <f t="shared" si="137"/>
        <v>0</v>
      </c>
      <c r="H2221">
        <f t="shared" si="138"/>
        <v>0</v>
      </c>
      <c r="I2221" s="6"/>
      <c r="J2221" s="6"/>
      <c r="K2221" s="7" t="s">
        <v>44</v>
      </c>
      <c r="L2221" s="7" t="s">
        <v>14</v>
      </c>
      <c r="M2221" s="7" t="s">
        <v>21</v>
      </c>
      <c r="N2221" s="7">
        <f>COUNTIFS(A:A,A2221,D:D,D2221,E:E,I2221)</f>
        <v>0</v>
      </c>
    </row>
    <row r="2222" spans="1:14" x14ac:dyDescent="0.3">
      <c r="A2222" s="7" t="s">
        <v>115</v>
      </c>
      <c r="B2222" s="7" t="s">
        <v>116</v>
      </c>
      <c r="C2222" s="7" t="s">
        <v>425</v>
      </c>
      <c r="D2222" s="8">
        <v>45332</v>
      </c>
      <c r="E2222" s="8" t="str">
        <f t="shared" si="135"/>
        <v>February</v>
      </c>
      <c r="F2222">
        <f t="shared" si="136"/>
        <v>2024</v>
      </c>
      <c r="G2222">
        <f t="shared" si="137"/>
        <v>1</v>
      </c>
      <c r="H2222">
        <f t="shared" si="138"/>
        <v>0</v>
      </c>
      <c r="I2222" s="6">
        <v>0.44444444444444442</v>
      </c>
      <c r="J2222" s="6">
        <v>0.69097222222222221</v>
      </c>
      <c r="K2222" s="7" t="s">
        <v>20</v>
      </c>
      <c r="L2222" s="7" t="s">
        <v>14</v>
      </c>
      <c r="M2222" s="7" t="s">
        <v>21</v>
      </c>
      <c r="N2222" s="7">
        <f>COUNTIFS(A:A,A2222,D:D,D2222,E:E,I2222)</f>
        <v>0</v>
      </c>
    </row>
    <row r="2223" spans="1:14" x14ac:dyDescent="0.3">
      <c r="A2223" s="7" t="s">
        <v>291</v>
      </c>
      <c r="B2223" s="7" t="s">
        <v>292</v>
      </c>
      <c r="C2223" s="7" t="s">
        <v>426</v>
      </c>
      <c r="D2223" s="8">
        <v>45326</v>
      </c>
      <c r="E2223" s="8" t="str">
        <f t="shared" si="135"/>
        <v>February</v>
      </c>
      <c r="F2223">
        <f t="shared" si="136"/>
        <v>2024</v>
      </c>
      <c r="G2223">
        <f t="shared" si="137"/>
        <v>1</v>
      </c>
      <c r="H2223">
        <f t="shared" si="138"/>
        <v>0</v>
      </c>
      <c r="I2223" s="6">
        <v>0.4375</v>
      </c>
      <c r="J2223" s="6">
        <v>0.85763888888888884</v>
      </c>
      <c r="K2223" s="7" t="s">
        <v>20</v>
      </c>
      <c r="L2223" s="7" t="s">
        <v>27</v>
      </c>
      <c r="M2223" s="7" t="s">
        <v>21</v>
      </c>
      <c r="N2223" s="7">
        <f>COUNTIFS(A:A,A2223,D:D,D2223,E:E,I2223)</f>
        <v>0</v>
      </c>
    </row>
    <row r="2224" spans="1:14" x14ac:dyDescent="0.3">
      <c r="A2224" s="7" t="s">
        <v>197</v>
      </c>
      <c r="B2224" s="7" t="s">
        <v>198</v>
      </c>
      <c r="C2224" s="7" t="s">
        <v>60</v>
      </c>
      <c r="D2224" s="8">
        <v>45360</v>
      </c>
      <c r="E2224" s="8" t="str">
        <f t="shared" si="135"/>
        <v>March</v>
      </c>
      <c r="F2224">
        <f t="shared" si="136"/>
        <v>2024</v>
      </c>
      <c r="G2224">
        <f t="shared" si="137"/>
        <v>1</v>
      </c>
      <c r="H2224">
        <f t="shared" si="138"/>
        <v>0</v>
      </c>
      <c r="I2224" s="6">
        <v>0.42569444444444443</v>
      </c>
      <c r="J2224" s="6">
        <v>0.69861111111111107</v>
      </c>
      <c r="K2224" s="7" t="s">
        <v>13</v>
      </c>
      <c r="L2224" s="7" t="s">
        <v>14</v>
      </c>
      <c r="M2224" s="7" t="s">
        <v>21</v>
      </c>
      <c r="N2224" s="7">
        <f>COUNTIFS(A:A,A2224,D:D,D2224,E:E,I2224)</f>
        <v>0</v>
      </c>
    </row>
    <row r="2225" spans="1:14" x14ac:dyDescent="0.3">
      <c r="A2225" s="7" t="s">
        <v>119</v>
      </c>
      <c r="B2225" s="7" t="s">
        <v>120</v>
      </c>
      <c r="C2225" s="7" t="s">
        <v>425</v>
      </c>
      <c r="D2225" s="8">
        <v>45314</v>
      </c>
      <c r="E2225" s="8" t="str">
        <f t="shared" si="135"/>
        <v>January</v>
      </c>
      <c r="F2225">
        <f t="shared" si="136"/>
        <v>2024</v>
      </c>
      <c r="G2225">
        <f t="shared" si="137"/>
        <v>1</v>
      </c>
      <c r="H2225">
        <f t="shared" si="138"/>
        <v>0</v>
      </c>
      <c r="I2225" s="6">
        <v>0.34513888888888888</v>
      </c>
      <c r="J2225" s="6">
        <v>0.73958333333333337</v>
      </c>
      <c r="K2225" s="7" t="s">
        <v>20</v>
      </c>
      <c r="L2225" s="7" t="s">
        <v>14</v>
      </c>
      <c r="M2225" s="7" t="s">
        <v>15</v>
      </c>
      <c r="N2225" s="7">
        <f>COUNTIFS(A:A,A2225,D:D,D2225,E:E,I2225)</f>
        <v>0</v>
      </c>
    </row>
    <row r="2226" spans="1:14" x14ac:dyDescent="0.3">
      <c r="A2226" s="7" t="s">
        <v>109</v>
      </c>
      <c r="B2226" s="7" t="s">
        <v>110</v>
      </c>
      <c r="C2226" s="7" t="s">
        <v>426</v>
      </c>
      <c r="D2226" s="8">
        <v>45303</v>
      </c>
      <c r="E2226" s="8" t="str">
        <f t="shared" si="135"/>
        <v>January</v>
      </c>
      <c r="F2226">
        <f t="shared" si="136"/>
        <v>2024</v>
      </c>
      <c r="G2226">
        <f t="shared" si="137"/>
        <v>1</v>
      </c>
      <c r="H2226">
        <f t="shared" si="138"/>
        <v>0</v>
      </c>
      <c r="I2226" s="6">
        <v>0.4513888888888889</v>
      </c>
      <c r="J2226" s="6">
        <v>0.80972222222222223</v>
      </c>
      <c r="K2226" s="7" t="s">
        <v>13</v>
      </c>
      <c r="L2226" s="7" t="s">
        <v>27</v>
      </c>
      <c r="M2226" s="7" t="s">
        <v>15</v>
      </c>
      <c r="N2226" s="7">
        <f>COUNTIFS(A:A,A2226,D:D,D2226,E:E,I2226)</f>
        <v>0</v>
      </c>
    </row>
    <row r="2227" spans="1:14" x14ac:dyDescent="0.3">
      <c r="A2227" s="7" t="s">
        <v>200</v>
      </c>
      <c r="B2227" s="7" t="s">
        <v>201</v>
      </c>
      <c r="C2227" s="7" t="s">
        <v>42</v>
      </c>
      <c r="D2227" s="8">
        <v>45379</v>
      </c>
      <c r="E2227" s="8" t="str">
        <f t="shared" si="135"/>
        <v>March</v>
      </c>
      <c r="F2227">
        <f t="shared" si="136"/>
        <v>2024</v>
      </c>
      <c r="G2227">
        <f t="shared" si="137"/>
        <v>1</v>
      </c>
      <c r="H2227">
        <f t="shared" si="138"/>
        <v>0</v>
      </c>
      <c r="I2227" s="6">
        <v>0.47291666666666665</v>
      </c>
      <c r="J2227" s="6">
        <v>0.68125000000000002</v>
      </c>
      <c r="K2227" s="7" t="s">
        <v>20</v>
      </c>
      <c r="L2227" s="7" t="s">
        <v>27</v>
      </c>
      <c r="M2227" s="7" t="s">
        <v>21</v>
      </c>
      <c r="N2227" s="7">
        <f>COUNTIFS(A:A,A2227,D:D,D2227,E:E,I2227)</f>
        <v>0</v>
      </c>
    </row>
    <row r="2228" spans="1:14" x14ac:dyDescent="0.3">
      <c r="A2228" s="7" t="s">
        <v>102</v>
      </c>
      <c r="B2228" s="7" t="s">
        <v>103</v>
      </c>
      <c r="C2228" s="7" t="s">
        <v>64</v>
      </c>
      <c r="D2228" s="8">
        <v>45308</v>
      </c>
      <c r="E2228" s="8" t="str">
        <f t="shared" si="135"/>
        <v>January</v>
      </c>
      <c r="F2228">
        <f t="shared" si="136"/>
        <v>2024</v>
      </c>
      <c r="G2228">
        <f t="shared" si="137"/>
        <v>0</v>
      </c>
      <c r="H2228">
        <f t="shared" si="138"/>
        <v>0</v>
      </c>
      <c r="I2228" s="6"/>
      <c r="J2228" s="6"/>
      <c r="K2228" s="7" t="s">
        <v>44</v>
      </c>
      <c r="L2228" s="7" t="s">
        <v>14</v>
      </c>
      <c r="M2228" s="7" t="s">
        <v>15</v>
      </c>
      <c r="N2228" s="7">
        <f>COUNTIFS(A:A,A2228,D:D,D2228,E:E,I2228)</f>
        <v>0</v>
      </c>
    </row>
    <row r="2229" spans="1:14" x14ac:dyDescent="0.3">
      <c r="A2229" s="7" t="s">
        <v>72</v>
      </c>
      <c r="B2229" s="7" t="s">
        <v>73</v>
      </c>
      <c r="C2229" s="7" t="s">
        <v>60</v>
      </c>
      <c r="D2229" s="8">
        <v>45320</v>
      </c>
      <c r="E2229" s="8" t="str">
        <f t="shared" si="135"/>
        <v>January</v>
      </c>
      <c r="F2229">
        <f t="shared" si="136"/>
        <v>2024</v>
      </c>
      <c r="G2229">
        <f t="shared" si="137"/>
        <v>1</v>
      </c>
      <c r="H2229">
        <f t="shared" si="138"/>
        <v>0</v>
      </c>
      <c r="I2229" s="6">
        <v>0.49652777777777779</v>
      </c>
      <c r="J2229" s="6">
        <v>0.74375000000000002</v>
      </c>
      <c r="K2229" s="7" t="s">
        <v>20</v>
      </c>
      <c r="L2229" s="7" t="s">
        <v>27</v>
      </c>
      <c r="M2229" s="7" t="s">
        <v>15</v>
      </c>
      <c r="N2229" s="7">
        <f>COUNTIFS(A:A,A2229,D:D,D2229,E:E,I2229)</f>
        <v>0</v>
      </c>
    </row>
    <row r="2230" spans="1:14" x14ac:dyDescent="0.3">
      <c r="A2230" s="7" t="s">
        <v>78</v>
      </c>
      <c r="B2230" s="7" t="s">
        <v>79</v>
      </c>
      <c r="C2230" s="7" t="s">
        <v>42</v>
      </c>
      <c r="D2230" s="8">
        <v>45475</v>
      </c>
      <c r="E2230" s="8" t="str">
        <f t="shared" si="135"/>
        <v>July</v>
      </c>
      <c r="F2230">
        <f t="shared" si="136"/>
        <v>2024</v>
      </c>
      <c r="G2230">
        <f t="shared" si="137"/>
        <v>1</v>
      </c>
      <c r="H2230">
        <f t="shared" si="138"/>
        <v>1</v>
      </c>
      <c r="I2230" s="6">
        <v>0.43402777777777779</v>
      </c>
      <c r="J2230" s="6">
        <v>0.75902777777777775</v>
      </c>
      <c r="K2230" s="7" t="s">
        <v>26</v>
      </c>
      <c r="L2230" s="7" t="s">
        <v>27</v>
      </c>
      <c r="M2230" s="7" t="s">
        <v>21</v>
      </c>
      <c r="N2230" s="7">
        <f>COUNTIFS(A:A,A2230,D:D,D2230,E:E,I2230)</f>
        <v>0</v>
      </c>
    </row>
    <row r="2231" spans="1:14" x14ac:dyDescent="0.3">
      <c r="A2231" s="7" t="s">
        <v>28</v>
      </c>
      <c r="B2231" s="7" t="s">
        <v>29</v>
      </c>
      <c r="C2231" s="7" t="s">
        <v>42</v>
      </c>
      <c r="D2231" s="8">
        <v>45340</v>
      </c>
      <c r="E2231" s="8" t="str">
        <f t="shared" si="135"/>
        <v>February</v>
      </c>
      <c r="F2231">
        <f t="shared" si="136"/>
        <v>2024</v>
      </c>
      <c r="G2231">
        <f t="shared" si="137"/>
        <v>1</v>
      </c>
      <c r="H2231">
        <f t="shared" si="138"/>
        <v>0</v>
      </c>
      <c r="I2231" s="6">
        <v>0.44166666666666665</v>
      </c>
      <c r="J2231" s="6">
        <v>0.80694444444444446</v>
      </c>
      <c r="K2231" s="7" t="s">
        <v>13</v>
      </c>
      <c r="L2231" s="7" t="s">
        <v>27</v>
      </c>
      <c r="M2231" s="7" t="s">
        <v>15</v>
      </c>
      <c r="N2231" s="7">
        <f>COUNTIFS(A:A,A2231,D:D,D2231,E:E,I2231)</f>
        <v>0</v>
      </c>
    </row>
    <row r="2232" spans="1:14" x14ac:dyDescent="0.3">
      <c r="A2232" s="7" t="s">
        <v>157</v>
      </c>
      <c r="B2232" s="7" t="s">
        <v>158</v>
      </c>
      <c r="C2232" s="7" t="s">
        <v>64</v>
      </c>
      <c r="D2232" s="8">
        <v>45317</v>
      </c>
      <c r="E2232" s="8" t="str">
        <f t="shared" si="135"/>
        <v>January</v>
      </c>
      <c r="F2232">
        <f t="shared" si="136"/>
        <v>2024</v>
      </c>
      <c r="G2232">
        <f t="shared" si="137"/>
        <v>1</v>
      </c>
      <c r="H2232">
        <f t="shared" si="138"/>
        <v>0</v>
      </c>
      <c r="I2232" s="6">
        <v>0.43680555555555556</v>
      </c>
      <c r="J2232" s="6">
        <v>0.8305555555555556</v>
      </c>
      <c r="K2232" s="7" t="s">
        <v>13</v>
      </c>
      <c r="L2232" s="7" t="s">
        <v>14</v>
      </c>
      <c r="M2232" s="7" t="s">
        <v>21</v>
      </c>
      <c r="N2232" s="7">
        <f>COUNTIFS(A:A,A2232,D:D,D2232,E:E,I2232)</f>
        <v>0</v>
      </c>
    </row>
    <row r="2233" spans="1:14" x14ac:dyDescent="0.3">
      <c r="A2233" s="7" t="s">
        <v>72</v>
      </c>
      <c r="B2233" s="7" t="s">
        <v>73</v>
      </c>
      <c r="C2233" s="7" t="s">
        <v>42</v>
      </c>
      <c r="D2233" s="8">
        <v>45311</v>
      </c>
      <c r="E2233" s="8" t="str">
        <f t="shared" si="135"/>
        <v>January</v>
      </c>
      <c r="F2233">
        <f t="shared" si="136"/>
        <v>2024</v>
      </c>
      <c r="G2233">
        <f t="shared" si="137"/>
        <v>1</v>
      </c>
      <c r="H2233">
        <f t="shared" si="138"/>
        <v>0</v>
      </c>
      <c r="I2233" s="6">
        <v>0.48749999999999999</v>
      </c>
      <c r="J2233" s="6">
        <v>0.74513888888888891</v>
      </c>
      <c r="K2233" s="7" t="s">
        <v>13</v>
      </c>
      <c r="L2233" s="7" t="s">
        <v>27</v>
      </c>
      <c r="M2233" s="7" t="s">
        <v>15</v>
      </c>
      <c r="N2233" s="7">
        <f>COUNTIFS(A:A,A2233,D:D,D2233,E:E,I2233)</f>
        <v>0</v>
      </c>
    </row>
    <row r="2234" spans="1:14" x14ac:dyDescent="0.3">
      <c r="A2234" s="7" t="s">
        <v>9</v>
      </c>
      <c r="B2234" s="7" t="s">
        <v>10</v>
      </c>
      <c r="C2234" s="7" t="s">
        <v>64</v>
      </c>
      <c r="D2234" s="8">
        <v>45381</v>
      </c>
      <c r="E2234" s="8" t="str">
        <f t="shared" si="135"/>
        <v>March</v>
      </c>
      <c r="F2234">
        <f t="shared" si="136"/>
        <v>2024</v>
      </c>
      <c r="G2234">
        <f t="shared" si="137"/>
        <v>1</v>
      </c>
      <c r="H2234">
        <f t="shared" si="138"/>
        <v>1</v>
      </c>
      <c r="I2234" s="6">
        <v>0.42499999999999999</v>
      </c>
      <c r="J2234" s="6">
        <v>0.72986111111111107</v>
      </c>
      <c r="K2234" s="7" t="s">
        <v>26</v>
      </c>
      <c r="L2234" s="7" t="s">
        <v>14</v>
      </c>
      <c r="M2234" s="7" t="s">
        <v>15</v>
      </c>
      <c r="N2234" s="7">
        <f>COUNTIFS(A:A,A2234,D:D,D2234,E:E,I2234)</f>
        <v>0</v>
      </c>
    </row>
    <row r="2235" spans="1:14" x14ac:dyDescent="0.3">
      <c r="A2235" s="7" t="s">
        <v>213</v>
      </c>
      <c r="B2235" s="7" t="s">
        <v>214</v>
      </c>
      <c r="C2235" s="7" t="s">
        <v>42</v>
      </c>
      <c r="D2235" s="8">
        <v>45413</v>
      </c>
      <c r="E2235" s="8" t="str">
        <f t="shared" si="135"/>
        <v>May</v>
      </c>
      <c r="F2235">
        <f t="shared" si="136"/>
        <v>2024</v>
      </c>
      <c r="G2235">
        <f t="shared" si="137"/>
        <v>1</v>
      </c>
      <c r="H2235">
        <f t="shared" si="138"/>
        <v>0</v>
      </c>
      <c r="I2235" s="6">
        <v>0.35694444444444445</v>
      </c>
      <c r="J2235" s="6">
        <v>0.76875000000000004</v>
      </c>
      <c r="K2235" s="7" t="s">
        <v>20</v>
      </c>
      <c r="L2235" s="7" t="s">
        <v>14</v>
      </c>
      <c r="M2235" s="7" t="s">
        <v>21</v>
      </c>
      <c r="N2235" s="7">
        <f>COUNTIFS(A:A,A2235,D:D,D2235,E:E,I2235)</f>
        <v>0</v>
      </c>
    </row>
    <row r="2236" spans="1:14" x14ac:dyDescent="0.3">
      <c r="A2236" s="7" t="s">
        <v>66</v>
      </c>
      <c r="B2236" s="7" t="s">
        <v>67</v>
      </c>
      <c r="C2236" s="7" t="s">
        <v>425</v>
      </c>
      <c r="D2236" s="8">
        <v>45372</v>
      </c>
      <c r="E2236" s="8" t="str">
        <f t="shared" si="135"/>
        <v>March</v>
      </c>
      <c r="F2236">
        <f t="shared" si="136"/>
        <v>2024</v>
      </c>
      <c r="G2236">
        <f t="shared" si="137"/>
        <v>1</v>
      </c>
      <c r="H2236">
        <f t="shared" si="138"/>
        <v>0</v>
      </c>
      <c r="I2236" s="6">
        <v>0.35138888888888886</v>
      </c>
      <c r="J2236" s="6">
        <v>0.67847222222222225</v>
      </c>
      <c r="K2236" s="7" t="s">
        <v>20</v>
      </c>
      <c r="L2236" s="7" t="s">
        <v>27</v>
      </c>
      <c r="M2236" s="7" t="s">
        <v>21</v>
      </c>
      <c r="N2236" s="7">
        <f>COUNTIFS(A:A,A2236,D:D,D2236,E:E,I2236)</f>
        <v>0</v>
      </c>
    </row>
    <row r="2237" spans="1:14" x14ac:dyDescent="0.3">
      <c r="A2237" s="7" t="s">
        <v>37</v>
      </c>
      <c r="B2237" s="7" t="s">
        <v>38</v>
      </c>
      <c r="C2237" s="7" t="s">
        <v>60</v>
      </c>
      <c r="D2237" s="8">
        <v>45335</v>
      </c>
      <c r="E2237" s="8" t="str">
        <f t="shared" si="135"/>
        <v>February</v>
      </c>
      <c r="F2237">
        <f t="shared" si="136"/>
        <v>2024</v>
      </c>
      <c r="G2237">
        <f t="shared" si="137"/>
        <v>1</v>
      </c>
      <c r="H2237">
        <f t="shared" si="138"/>
        <v>0</v>
      </c>
      <c r="I2237" s="6">
        <v>0.49513888888888891</v>
      </c>
      <c r="J2237" s="6">
        <v>0.81944444444444442</v>
      </c>
      <c r="K2237" s="7" t="s">
        <v>13</v>
      </c>
      <c r="L2237" s="7" t="s">
        <v>27</v>
      </c>
      <c r="M2237" s="7" t="s">
        <v>21</v>
      </c>
      <c r="N2237" s="7">
        <f>COUNTIFS(A:A,A2237,D:D,D2237,E:E,I2237)</f>
        <v>0</v>
      </c>
    </row>
    <row r="2238" spans="1:14" x14ac:dyDescent="0.3">
      <c r="A2238" s="7" t="s">
        <v>191</v>
      </c>
      <c r="B2238" s="7" t="s">
        <v>192</v>
      </c>
      <c r="C2238" s="7" t="s">
        <v>42</v>
      </c>
      <c r="D2238" s="8">
        <v>45364</v>
      </c>
      <c r="E2238" s="8" t="str">
        <f t="shared" si="135"/>
        <v>March</v>
      </c>
      <c r="F2238">
        <f t="shared" si="136"/>
        <v>2024</v>
      </c>
      <c r="G2238">
        <f t="shared" si="137"/>
        <v>0</v>
      </c>
      <c r="H2238">
        <f t="shared" si="138"/>
        <v>0</v>
      </c>
      <c r="I2238" s="6"/>
      <c r="J2238" s="6"/>
      <c r="K2238" s="7" t="s">
        <v>44</v>
      </c>
      <c r="L2238" s="7" t="s">
        <v>14</v>
      </c>
      <c r="M2238" s="7" t="s">
        <v>15</v>
      </c>
      <c r="N2238" s="7">
        <f>COUNTIFS(A:A,A2238,D:D,D2238,E:E,I2238)</f>
        <v>0</v>
      </c>
    </row>
    <row r="2239" spans="1:14" x14ac:dyDescent="0.3">
      <c r="A2239" s="7" t="s">
        <v>28</v>
      </c>
      <c r="B2239" s="7" t="s">
        <v>29</v>
      </c>
      <c r="C2239" s="7" t="s">
        <v>60</v>
      </c>
      <c r="D2239" s="8">
        <v>45354</v>
      </c>
      <c r="E2239" s="8" t="str">
        <f t="shared" si="135"/>
        <v>March</v>
      </c>
      <c r="F2239">
        <f t="shared" si="136"/>
        <v>2024</v>
      </c>
      <c r="G2239">
        <f t="shared" si="137"/>
        <v>1</v>
      </c>
      <c r="H2239">
        <f t="shared" si="138"/>
        <v>0</v>
      </c>
      <c r="I2239" s="6">
        <v>0.39305555555555555</v>
      </c>
      <c r="J2239" s="6">
        <v>0.81041666666666667</v>
      </c>
      <c r="K2239" s="7" t="s">
        <v>13</v>
      </c>
      <c r="L2239" s="7" t="s">
        <v>14</v>
      </c>
      <c r="M2239" s="7" t="s">
        <v>21</v>
      </c>
      <c r="N2239" s="7">
        <f>COUNTIFS(A:A,A2239,D:D,D2239,E:E,I2239)</f>
        <v>0</v>
      </c>
    </row>
    <row r="2240" spans="1:14" x14ac:dyDescent="0.3">
      <c r="A2240" s="7" t="s">
        <v>52</v>
      </c>
      <c r="B2240" s="7" t="s">
        <v>53</v>
      </c>
      <c r="C2240" s="7" t="s">
        <v>42</v>
      </c>
      <c r="D2240" s="8">
        <v>45303</v>
      </c>
      <c r="E2240" s="8" t="str">
        <f t="shared" si="135"/>
        <v>January</v>
      </c>
      <c r="F2240">
        <f t="shared" si="136"/>
        <v>2024</v>
      </c>
      <c r="G2240">
        <f t="shared" si="137"/>
        <v>1</v>
      </c>
      <c r="H2240">
        <f t="shared" si="138"/>
        <v>0</v>
      </c>
      <c r="I2240" s="6">
        <v>0.35208333333333336</v>
      </c>
      <c r="J2240" s="6">
        <v>0.7006944444444444</v>
      </c>
      <c r="K2240" s="7" t="s">
        <v>20</v>
      </c>
      <c r="L2240" s="7" t="s">
        <v>14</v>
      </c>
      <c r="M2240" s="7" t="s">
        <v>15</v>
      </c>
      <c r="N2240" s="7">
        <f>COUNTIFS(A:A,A2240,D:D,D2240,E:E,I2240)</f>
        <v>0</v>
      </c>
    </row>
    <row r="2241" spans="1:14" x14ac:dyDescent="0.3">
      <c r="A2241" s="7" t="s">
        <v>40</v>
      </c>
      <c r="B2241" s="7" t="s">
        <v>41</v>
      </c>
      <c r="C2241" s="7" t="s">
        <v>64</v>
      </c>
      <c r="D2241" s="8">
        <v>45336</v>
      </c>
      <c r="E2241" s="8" t="str">
        <f t="shared" si="135"/>
        <v>February</v>
      </c>
      <c r="F2241">
        <f t="shared" si="136"/>
        <v>2024</v>
      </c>
      <c r="G2241">
        <f t="shared" si="137"/>
        <v>1</v>
      </c>
      <c r="H2241">
        <f t="shared" si="138"/>
        <v>0</v>
      </c>
      <c r="I2241" s="6">
        <v>0.34930555555555554</v>
      </c>
      <c r="J2241" s="6">
        <v>0.70277777777777772</v>
      </c>
      <c r="K2241" s="7" t="s">
        <v>20</v>
      </c>
      <c r="L2241" s="7" t="s">
        <v>27</v>
      </c>
      <c r="M2241" s="7" t="s">
        <v>21</v>
      </c>
      <c r="N2241" s="7">
        <f>COUNTIFS(A:A,A2241,D:D,D2241,E:E,I2241)</f>
        <v>0</v>
      </c>
    </row>
    <row r="2242" spans="1:14" x14ac:dyDescent="0.3">
      <c r="A2242" s="7" t="s">
        <v>34</v>
      </c>
      <c r="B2242" s="7" t="s">
        <v>35</v>
      </c>
      <c r="C2242" s="7" t="s">
        <v>42</v>
      </c>
      <c r="D2242" s="8">
        <v>45344</v>
      </c>
      <c r="E2242" s="8" t="str">
        <f t="shared" ref="E2242:E2305" si="139">TEXT(D2242,"mmmm")</f>
        <v>February</v>
      </c>
      <c r="F2242">
        <f t="shared" ref="F2242:F2305" si="140">YEAR(D2242)</f>
        <v>2024</v>
      </c>
      <c r="G2242">
        <f t="shared" ref="G2242:G2305" si="141">IF(LOWER(K2242)="absent",0,1)</f>
        <v>1</v>
      </c>
      <c r="H2242">
        <f t="shared" ref="H2242:H2305" si="142">IF(K2242="Late",1,0)</f>
        <v>0</v>
      </c>
      <c r="I2242" s="6">
        <v>0.48055555555555557</v>
      </c>
      <c r="J2242" s="6">
        <v>0.82916666666666672</v>
      </c>
      <c r="K2242" s="7" t="s">
        <v>20</v>
      </c>
      <c r="L2242" s="7" t="s">
        <v>27</v>
      </c>
      <c r="M2242" s="7" t="s">
        <v>21</v>
      </c>
      <c r="N2242" s="7">
        <f>COUNTIFS(A:A,A2242,D:D,D2242,E:E,I2242)</f>
        <v>0</v>
      </c>
    </row>
    <row r="2243" spans="1:14" x14ac:dyDescent="0.3">
      <c r="A2243" s="7" t="s">
        <v>99</v>
      </c>
      <c r="B2243" s="7" t="s">
        <v>100</v>
      </c>
      <c r="C2243" s="7" t="s">
        <v>426</v>
      </c>
      <c r="D2243" s="8">
        <v>45538</v>
      </c>
      <c r="E2243" s="8" t="str">
        <f t="shared" si="139"/>
        <v>September</v>
      </c>
      <c r="F2243">
        <f t="shared" si="140"/>
        <v>2024</v>
      </c>
      <c r="G2243">
        <f t="shared" si="141"/>
        <v>0</v>
      </c>
      <c r="H2243">
        <f t="shared" si="142"/>
        <v>0</v>
      </c>
      <c r="I2243" s="6"/>
      <c r="J2243" s="6"/>
      <c r="K2243" s="7" t="s">
        <v>44</v>
      </c>
      <c r="L2243" s="7" t="s">
        <v>27</v>
      </c>
      <c r="M2243" s="7" t="s">
        <v>21</v>
      </c>
      <c r="N2243" s="7">
        <f>COUNTIFS(A:A,A2243,D:D,D2243,E:E,I2243)</f>
        <v>0</v>
      </c>
    </row>
    <row r="2244" spans="1:14" x14ac:dyDescent="0.3">
      <c r="A2244" s="7" t="s">
        <v>191</v>
      </c>
      <c r="B2244" s="7" t="s">
        <v>192</v>
      </c>
      <c r="C2244" s="7" t="s">
        <v>60</v>
      </c>
      <c r="D2244" s="8">
        <v>45350</v>
      </c>
      <c r="E2244" s="8" t="str">
        <f t="shared" si="139"/>
        <v>February</v>
      </c>
      <c r="F2244">
        <f t="shared" si="140"/>
        <v>2024</v>
      </c>
      <c r="G2244">
        <f t="shared" si="141"/>
        <v>1</v>
      </c>
      <c r="H2244">
        <f t="shared" si="142"/>
        <v>0</v>
      </c>
      <c r="I2244" s="6">
        <v>0.34097222222222223</v>
      </c>
      <c r="J2244" s="6">
        <v>0.72222222222222221</v>
      </c>
      <c r="K2244" s="7" t="s">
        <v>20</v>
      </c>
      <c r="L2244" s="7" t="s">
        <v>14</v>
      </c>
      <c r="M2244" s="7" t="s">
        <v>15</v>
      </c>
      <c r="N2244" s="7">
        <f>COUNTIFS(A:A,A2244,D:D,D2244,E:E,I2244)</f>
        <v>0</v>
      </c>
    </row>
    <row r="2245" spans="1:14" x14ac:dyDescent="0.3">
      <c r="A2245" s="7" t="s">
        <v>216</v>
      </c>
      <c r="B2245" s="7" t="s">
        <v>217</v>
      </c>
      <c r="C2245" s="7" t="s">
        <v>426</v>
      </c>
      <c r="D2245" s="8">
        <v>45371</v>
      </c>
      <c r="E2245" s="8" t="str">
        <f t="shared" si="139"/>
        <v>March</v>
      </c>
      <c r="F2245">
        <f t="shared" si="140"/>
        <v>2024</v>
      </c>
      <c r="G2245">
        <f t="shared" si="141"/>
        <v>0</v>
      </c>
      <c r="H2245">
        <f t="shared" si="142"/>
        <v>0</v>
      </c>
      <c r="I2245" s="6"/>
      <c r="J2245" s="6"/>
      <c r="K2245" s="7" t="s">
        <v>44</v>
      </c>
      <c r="L2245" s="7" t="s">
        <v>27</v>
      </c>
      <c r="M2245" s="7" t="s">
        <v>21</v>
      </c>
      <c r="N2245" s="7">
        <f>COUNTIFS(A:A,A2245,D:D,D2245,E:E,I2245)</f>
        <v>0</v>
      </c>
    </row>
    <row r="2246" spans="1:14" x14ac:dyDescent="0.3">
      <c r="A2246" s="7" t="s">
        <v>224</v>
      </c>
      <c r="B2246" s="7" t="s">
        <v>225</v>
      </c>
      <c r="C2246" s="7" t="s">
        <v>64</v>
      </c>
      <c r="D2246" s="8">
        <v>45360</v>
      </c>
      <c r="E2246" s="8" t="str">
        <f t="shared" si="139"/>
        <v>March</v>
      </c>
      <c r="F2246">
        <f t="shared" si="140"/>
        <v>2024</v>
      </c>
      <c r="G2246">
        <f t="shared" si="141"/>
        <v>1</v>
      </c>
      <c r="H2246">
        <f t="shared" si="142"/>
        <v>1</v>
      </c>
      <c r="I2246" s="6">
        <v>0.44027777777777777</v>
      </c>
      <c r="J2246" s="6">
        <v>0.69444444444444442</v>
      </c>
      <c r="K2246" s="7" t="s">
        <v>26</v>
      </c>
      <c r="L2246" s="7" t="s">
        <v>27</v>
      </c>
      <c r="M2246" s="7" t="s">
        <v>21</v>
      </c>
      <c r="N2246" s="7">
        <f>COUNTIFS(A:A,A2246,D:D,D2246,E:E,I2246)</f>
        <v>0</v>
      </c>
    </row>
    <row r="2247" spans="1:14" x14ac:dyDescent="0.3">
      <c r="A2247" s="7" t="s">
        <v>130</v>
      </c>
      <c r="B2247" s="7" t="s">
        <v>131</v>
      </c>
      <c r="C2247" s="7" t="s">
        <v>60</v>
      </c>
      <c r="D2247" s="8">
        <v>45324</v>
      </c>
      <c r="E2247" s="8" t="str">
        <f t="shared" si="139"/>
        <v>February</v>
      </c>
      <c r="F2247">
        <f t="shared" si="140"/>
        <v>2024</v>
      </c>
      <c r="G2247">
        <f t="shared" si="141"/>
        <v>1</v>
      </c>
      <c r="H2247">
        <f t="shared" si="142"/>
        <v>0</v>
      </c>
      <c r="I2247" s="6">
        <v>0.34513888888888888</v>
      </c>
      <c r="J2247" s="6">
        <v>0.66666666666666663</v>
      </c>
      <c r="K2247" s="7" t="s">
        <v>20</v>
      </c>
      <c r="L2247" s="7" t="s">
        <v>27</v>
      </c>
      <c r="M2247" s="7" t="s">
        <v>21</v>
      </c>
      <c r="N2247" s="7">
        <f>COUNTIFS(A:A,A2247,D:D,D2247,E:E,I2247)</f>
        <v>0</v>
      </c>
    </row>
    <row r="2248" spans="1:14" x14ac:dyDescent="0.3">
      <c r="A2248" s="7" t="s">
        <v>250</v>
      </c>
      <c r="B2248" s="7" t="s">
        <v>251</v>
      </c>
      <c r="C2248" s="7" t="s">
        <v>64</v>
      </c>
      <c r="D2248" s="8">
        <v>45331</v>
      </c>
      <c r="E2248" s="8" t="str">
        <f t="shared" si="139"/>
        <v>February</v>
      </c>
      <c r="F2248">
        <f t="shared" si="140"/>
        <v>2024</v>
      </c>
      <c r="G2248">
        <f t="shared" si="141"/>
        <v>1</v>
      </c>
      <c r="H2248">
        <f t="shared" si="142"/>
        <v>0</v>
      </c>
      <c r="I2248" s="6">
        <v>0.42222222222222222</v>
      </c>
      <c r="J2248" s="6">
        <v>0.72569444444444442</v>
      </c>
      <c r="K2248" s="7" t="s">
        <v>13</v>
      </c>
      <c r="L2248" s="7" t="s">
        <v>27</v>
      </c>
      <c r="M2248" s="7" t="s">
        <v>21</v>
      </c>
      <c r="N2248" s="7">
        <f>COUNTIFS(A:A,A2248,D:D,D2248,E:E,I2248)</f>
        <v>0</v>
      </c>
    </row>
    <row r="2249" spans="1:14" x14ac:dyDescent="0.3">
      <c r="A2249" s="7" t="s">
        <v>34</v>
      </c>
      <c r="B2249" s="7" t="s">
        <v>35</v>
      </c>
      <c r="C2249" s="7" t="s">
        <v>42</v>
      </c>
      <c r="D2249" s="8">
        <v>45368</v>
      </c>
      <c r="E2249" s="8" t="str">
        <f t="shared" si="139"/>
        <v>March</v>
      </c>
      <c r="F2249">
        <f t="shared" si="140"/>
        <v>2024</v>
      </c>
      <c r="G2249">
        <f t="shared" si="141"/>
        <v>1</v>
      </c>
      <c r="H2249">
        <f t="shared" si="142"/>
        <v>0</v>
      </c>
      <c r="I2249" s="6">
        <v>0.44027777777777777</v>
      </c>
      <c r="J2249" s="6">
        <v>0.74513888888888891</v>
      </c>
      <c r="K2249" s="7" t="s">
        <v>13</v>
      </c>
      <c r="L2249" s="7" t="s">
        <v>27</v>
      </c>
      <c r="M2249" s="7" t="s">
        <v>15</v>
      </c>
      <c r="N2249" s="7">
        <f>COUNTIFS(A:A,A2249,D:D,D2249,E:E,I2249)</f>
        <v>0</v>
      </c>
    </row>
    <row r="2250" spans="1:14" x14ac:dyDescent="0.3">
      <c r="A2250" s="7" t="s">
        <v>66</v>
      </c>
      <c r="B2250" s="7" t="s">
        <v>67</v>
      </c>
      <c r="C2250" s="7" t="s">
        <v>60</v>
      </c>
      <c r="D2250" s="8">
        <v>45366</v>
      </c>
      <c r="E2250" s="8" t="str">
        <f t="shared" si="139"/>
        <v>March</v>
      </c>
      <c r="F2250">
        <f t="shared" si="140"/>
        <v>2024</v>
      </c>
      <c r="G2250">
        <f t="shared" si="141"/>
        <v>0</v>
      </c>
      <c r="H2250">
        <f t="shared" si="142"/>
        <v>0</v>
      </c>
      <c r="I2250" s="6"/>
      <c r="J2250" s="6"/>
      <c r="K2250" s="7" t="s">
        <v>44</v>
      </c>
      <c r="L2250" s="7" t="s">
        <v>14</v>
      </c>
      <c r="M2250" s="7" t="s">
        <v>15</v>
      </c>
      <c r="N2250" s="7">
        <f>COUNTIFS(A:A,A2250,D:D,D2250,E:E,I2250)</f>
        <v>0</v>
      </c>
    </row>
    <row r="2251" spans="1:14" x14ac:dyDescent="0.3">
      <c r="A2251" s="7" t="s">
        <v>16</v>
      </c>
      <c r="B2251" s="7" t="s">
        <v>17</v>
      </c>
      <c r="C2251" s="7" t="s">
        <v>64</v>
      </c>
      <c r="D2251" s="8">
        <v>45320</v>
      </c>
      <c r="E2251" s="8" t="str">
        <f t="shared" si="139"/>
        <v>January</v>
      </c>
      <c r="F2251">
        <f t="shared" si="140"/>
        <v>2024</v>
      </c>
      <c r="G2251">
        <f t="shared" si="141"/>
        <v>1</v>
      </c>
      <c r="H2251">
        <f t="shared" si="142"/>
        <v>1</v>
      </c>
      <c r="I2251" s="6">
        <v>0.35138888888888886</v>
      </c>
      <c r="J2251" s="6">
        <v>0.69374999999999998</v>
      </c>
      <c r="K2251" s="7" t="s">
        <v>26</v>
      </c>
      <c r="L2251" s="7" t="s">
        <v>27</v>
      </c>
      <c r="M2251" s="7" t="s">
        <v>21</v>
      </c>
      <c r="N2251" s="7">
        <f>COUNTIFS(A:A,A2251,D:D,D2251,E:E,I2251)</f>
        <v>0</v>
      </c>
    </row>
    <row r="2252" spans="1:14" x14ac:dyDescent="0.3">
      <c r="A2252" s="7" t="s">
        <v>197</v>
      </c>
      <c r="B2252" s="7" t="s">
        <v>198</v>
      </c>
      <c r="C2252" s="7" t="s">
        <v>42</v>
      </c>
      <c r="D2252" s="8">
        <v>45446</v>
      </c>
      <c r="E2252" s="8" t="str">
        <f t="shared" si="139"/>
        <v>June</v>
      </c>
      <c r="F2252">
        <f t="shared" si="140"/>
        <v>2024</v>
      </c>
      <c r="G2252">
        <f t="shared" si="141"/>
        <v>1</v>
      </c>
      <c r="H2252">
        <f t="shared" si="142"/>
        <v>0</v>
      </c>
      <c r="I2252" s="6">
        <v>0.47291666666666665</v>
      </c>
      <c r="J2252" s="6">
        <v>0.77222222222222225</v>
      </c>
      <c r="K2252" s="7" t="s">
        <v>20</v>
      </c>
      <c r="L2252" s="7" t="s">
        <v>14</v>
      </c>
      <c r="M2252" s="7" t="s">
        <v>21</v>
      </c>
      <c r="N2252" s="7">
        <f>COUNTIFS(A:A,A2252,D:D,D2252,E:E,I2252)</f>
        <v>0</v>
      </c>
    </row>
    <row r="2253" spans="1:14" x14ac:dyDescent="0.3">
      <c r="A2253" s="7" t="s">
        <v>291</v>
      </c>
      <c r="B2253" s="7" t="s">
        <v>292</v>
      </c>
      <c r="C2253" s="7" t="s">
        <v>64</v>
      </c>
      <c r="D2253" s="8">
        <v>45476</v>
      </c>
      <c r="E2253" s="8" t="str">
        <f t="shared" si="139"/>
        <v>July</v>
      </c>
      <c r="F2253">
        <f t="shared" si="140"/>
        <v>2024</v>
      </c>
      <c r="G2253">
        <f t="shared" si="141"/>
        <v>1</v>
      </c>
      <c r="H2253">
        <f t="shared" si="142"/>
        <v>0</v>
      </c>
      <c r="I2253" s="6">
        <v>0.43263888888888891</v>
      </c>
      <c r="J2253" s="6">
        <v>0.80833333333333335</v>
      </c>
      <c r="K2253" s="7" t="s">
        <v>13</v>
      </c>
      <c r="L2253" s="7" t="s">
        <v>14</v>
      </c>
      <c r="M2253" s="7" t="s">
        <v>15</v>
      </c>
      <c r="N2253" s="7">
        <f>COUNTIFS(A:A,A2253,D:D,D2253,E:E,I2253)</f>
        <v>0</v>
      </c>
    </row>
    <row r="2254" spans="1:14" x14ac:dyDescent="0.3">
      <c r="A2254" s="7" t="s">
        <v>9</v>
      </c>
      <c r="B2254" s="7" t="s">
        <v>10</v>
      </c>
      <c r="C2254" s="7" t="s">
        <v>64</v>
      </c>
      <c r="D2254" s="8">
        <v>45323</v>
      </c>
      <c r="E2254" s="8" t="str">
        <f t="shared" si="139"/>
        <v>February</v>
      </c>
      <c r="F2254">
        <f t="shared" si="140"/>
        <v>2024</v>
      </c>
      <c r="G2254">
        <f t="shared" si="141"/>
        <v>1</v>
      </c>
      <c r="H2254">
        <f t="shared" si="142"/>
        <v>0</v>
      </c>
      <c r="I2254" s="6">
        <v>0.33541666666666664</v>
      </c>
      <c r="J2254" s="6">
        <v>0.76041666666666663</v>
      </c>
      <c r="K2254" s="7" t="s">
        <v>20</v>
      </c>
      <c r="L2254" s="7" t="s">
        <v>14</v>
      </c>
      <c r="M2254" s="7" t="s">
        <v>21</v>
      </c>
      <c r="N2254" s="7">
        <f>COUNTIFS(A:A,A2254,D:D,D2254,E:E,I2254)</f>
        <v>0</v>
      </c>
    </row>
    <row r="2255" spans="1:14" x14ac:dyDescent="0.3">
      <c r="A2255" s="7" t="s">
        <v>72</v>
      </c>
      <c r="B2255" s="7" t="s">
        <v>73</v>
      </c>
      <c r="C2255" s="7" t="s">
        <v>42</v>
      </c>
      <c r="D2255" s="8">
        <v>45292</v>
      </c>
      <c r="E2255" s="8" t="str">
        <f t="shared" si="139"/>
        <v>January</v>
      </c>
      <c r="F2255">
        <f t="shared" si="140"/>
        <v>2024</v>
      </c>
      <c r="G2255">
        <f t="shared" si="141"/>
        <v>1</v>
      </c>
      <c r="H2255">
        <f t="shared" si="142"/>
        <v>0</v>
      </c>
      <c r="I2255" s="6">
        <v>0.39861111111111114</v>
      </c>
      <c r="J2255" s="6">
        <v>0.82013888888888886</v>
      </c>
      <c r="K2255" s="7" t="s">
        <v>13</v>
      </c>
      <c r="L2255" s="7" t="s">
        <v>27</v>
      </c>
      <c r="M2255" s="7" t="s">
        <v>21</v>
      </c>
      <c r="N2255" s="7">
        <f>COUNTIFS(A:A,A2255,D:D,D2255,E:E,I2255)</f>
        <v>0</v>
      </c>
    </row>
    <row r="2256" spans="1:14" x14ac:dyDescent="0.3">
      <c r="A2256" s="7" t="s">
        <v>16</v>
      </c>
      <c r="B2256" s="7" t="s">
        <v>17</v>
      </c>
      <c r="C2256" s="7" t="s">
        <v>64</v>
      </c>
      <c r="D2256" s="8">
        <v>45311</v>
      </c>
      <c r="E2256" s="8" t="str">
        <f t="shared" si="139"/>
        <v>January</v>
      </c>
      <c r="F2256">
        <f t="shared" si="140"/>
        <v>2024</v>
      </c>
      <c r="G2256">
        <f t="shared" si="141"/>
        <v>0</v>
      </c>
      <c r="H2256">
        <f t="shared" si="142"/>
        <v>0</v>
      </c>
      <c r="I2256" s="6"/>
      <c r="J2256" s="6"/>
      <c r="K2256" s="7" t="s">
        <v>44</v>
      </c>
      <c r="L2256" s="7" t="s">
        <v>14</v>
      </c>
      <c r="M2256" s="7" t="s">
        <v>15</v>
      </c>
      <c r="N2256" s="7">
        <f>COUNTIFS(A:A,A2256,D:D,D2256,E:E,I2256)</f>
        <v>0</v>
      </c>
    </row>
    <row r="2257" spans="1:14" x14ac:dyDescent="0.3">
      <c r="A2257" s="7" t="s">
        <v>150</v>
      </c>
      <c r="B2257" s="7" t="s">
        <v>151</v>
      </c>
      <c r="C2257" s="7" t="s">
        <v>425</v>
      </c>
      <c r="D2257" s="8">
        <v>45506</v>
      </c>
      <c r="E2257" s="8" t="str">
        <f t="shared" si="139"/>
        <v>August</v>
      </c>
      <c r="F2257">
        <f t="shared" si="140"/>
        <v>2024</v>
      </c>
      <c r="G2257">
        <f t="shared" si="141"/>
        <v>0</v>
      </c>
      <c r="H2257">
        <f t="shared" si="142"/>
        <v>0</v>
      </c>
      <c r="I2257" s="6"/>
      <c r="J2257" s="6"/>
      <c r="K2257" s="7" t="s">
        <v>44</v>
      </c>
      <c r="L2257" s="7" t="s">
        <v>14</v>
      </c>
      <c r="M2257" s="7" t="s">
        <v>15</v>
      </c>
      <c r="N2257" s="7">
        <f>COUNTIFS(A:A,A2257,D:D,D2257,E:E,I2257)</f>
        <v>0</v>
      </c>
    </row>
    <row r="2258" spans="1:14" x14ac:dyDescent="0.3">
      <c r="A2258" s="7" t="s">
        <v>115</v>
      </c>
      <c r="B2258" s="7" t="s">
        <v>116</v>
      </c>
      <c r="C2258" s="7" t="s">
        <v>425</v>
      </c>
      <c r="D2258" s="8">
        <v>45321</v>
      </c>
      <c r="E2258" s="8" t="str">
        <f t="shared" si="139"/>
        <v>January</v>
      </c>
      <c r="F2258">
        <f t="shared" si="140"/>
        <v>2024</v>
      </c>
      <c r="G2258">
        <f t="shared" si="141"/>
        <v>1</v>
      </c>
      <c r="H2258">
        <f t="shared" si="142"/>
        <v>1</v>
      </c>
      <c r="I2258" s="6">
        <v>0.45694444444444443</v>
      </c>
      <c r="J2258" s="6">
        <v>0.84236111111111112</v>
      </c>
      <c r="K2258" s="7" t="s">
        <v>26</v>
      </c>
      <c r="L2258" s="7" t="s">
        <v>27</v>
      </c>
      <c r="M2258" s="7" t="s">
        <v>15</v>
      </c>
      <c r="N2258" s="7">
        <f>COUNTIFS(A:A,A2258,D:D,D2258,E:E,I2258)</f>
        <v>0</v>
      </c>
    </row>
    <row r="2259" spans="1:14" x14ac:dyDescent="0.3">
      <c r="A2259" s="7" t="s">
        <v>171</v>
      </c>
      <c r="B2259" s="7" t="s">
        <v>172</v>
      </c>
      <c r="C2259" s="7" t="s">
        <v>64</v>
      </c>
      <c r="D2259" s="8">
        <v>45357</v>
      </c>
      <c r="E2259" s="8" t="str">
        <f t="shared" si="139"/>
        <v>March</v>
      </c>
      <c r="F2259">
        <f t="shared" si="140"/>
        <v>2024</v>
      </c>
      <c r="G2259">
        <f t="shared" si="141"/>
        <v>1</v>
      </c>
      <c r="H2259">
        <f t="shared" si="142"/>
        <v>1</v>
      </c>
      <c r="I2259" s="6">
        <v>0.45833333333333331</v>
      </c>
      <c r="J2259" s="6">
        <v>0.7368055555555556</v>
      </c>
      <c r="K2259" s="7" t="s">
        <v>26</v>
      </c>
      <c r="L2259" s="7" t="s">
        <v>27</v>
      </c>
      <c r="M2259" s="7" t="s">
        <v>21</v>
      </c>
      <c r="N2259" s="7">
        <f>COUNTIFS(A:A,A2259,D:D,D2259,E:E,I2259)</f>
        <v>0</v>
      </c>
    </row>
    <row r="2260" spans="1:14" x14ac:dyDescent="0.3">
      <c r="A2260" s="7" t="s">
        <v>338</v>
      </c>
      <c r="B2260" s="7" t="s">
        <v>339</v>
      </c>
      <c r="C2260" s="7" t="s">
        <v>425</v>
      </c>
      <c r="D2260" s="8">
        <v>45300</v>
      </c>
      <c r="E2260" s="8" t="str">
        <f t="shared" si="139"/>
        <v>January</v>
      </c>
      <c r="F2260">
        <f t="shared" si="140"/>
        <v>2024</v>
      </c>
      <c r="G2260">
        <f t="shared" si="141"/>
        <v>1</v>
      </c>
      <c r="H2260">
        <f t="shared" si="142"/>
        <v>0</v>
      </c>
      <c r="I2260" s="6">
        <v>0.46250000000000002</v>
      </c>
      <c r="J2260" s="6">
        <v>0.83472222222222225</v>
      </c>
      <c r="K2260" s="7" t="s">
        <v>20</v>
      </c>
      <c r="L2260" s="7" t="s">
        <v>27</v>
      </c>
      <c r="M2260" s="7" t="s">
        <v>21</v>
      </c>
      <c r="N2260" s="7">
        <f>COUNTIFS(A:A,A2260,D:D,D2260,E:E,I2260)</f>
        <v>0</v>
      </c>
    </row>
    <row r="2261" spans="1:14" x14ac:dyDescent="0.3">
      <c r="A2261" s="7" t="s">
        <v>109</v>
      </c>
      <c r="B2261" s="7" t="s">
        <v>110</v>
      </c>
      <c r="C2261" s="7" t="s">
        <v>426</v>
      </c>
      <c r="D2261" s="8">
        <v>45305</v>
      </c>
      <c r="E2261" s="8" t="str">
        <f t="shared" si="139"/>
        <v>January</v>
      </c>
      <c r="F2261">
        <f t="shared" si="140"/>
        <v>2024</v>
      </c>
      <c r="G2261">
        <f t="shared" si="141"/>
        <v>1</v>
      </c>
      <c r="H2261">
        <f t="shared" si="142"/>
        <v>0</v>
      </c>
      <c r="I2261" s="6">
        <v>0.44861111111111113</v>
      </c>
      <c r="J2261" s="6">
        <v>0.73055555555555551</v>
      </c>
      <c r="K2261" s="7" t="s">
        <v>20</v>
      </c>
      <c r="L2261" s="7" t="s">
        <v>14</v>
      </c>
      <c r="M2261" s="7" t="s">
        <v>21</v>
      </c>
      <c r="N2261" s="7">
        <f>COUNTIFS(A:A,A2261,D:D,D2261,E:E,I2261)</f>
        <v>0</v>
      </c>
    </row>
    <row r="2262" spans="1:14" x14ac:dyDescent="0.3">
      <c r="A2262" s="7" t="s">
        <v>84</v>
      </c>
      <c r="B2262" s="7" t="s">
        <v>85</v>
      </c>
      <c r="C2262" s="7" t="s">
        <v>426</v>
      </c>
      <c r="D2262" s="8">
        <v>45348</v>
      </c>
      <c r="E2262" s="8" t="str">
        <f t="shared" si="139"/>
        <v>February</v>
      </c>
      <c r="F2262">
        <f t="shared" si="140"/>
        <v>2024</v>
      </c>
      <c r="G2262">
        <f t="shared" si="141"/>
        <v>0</v>
      </c>
      <c r="H2262">
        <f t="shared" si="142"/>
        <v>0</v>
      </c>
      <c r="I2262" s="6"/>
      <c r="J2262" s="6"/>
      <c r="K2262" s="7" t="s">
        <v>44</v>
      </c>
      <c r="L2262" s="7" t="s">
        <v>27</v>
      </c>
      <c r="M2262" s="7" t="s">
        <v>15</v>
      </c>
      <c r="N2262" s="7">
        <f>COUNTIFS(A:A,A2262,D:D,D2262,E:E,I2262)</f>
        <v>0</v>
      </c>
    </row>
    <row r="2263" spans="1:14" x14ac:dyDescent="0.3">
      <c r="A2263" s="7" t="s">
        <v>78</v>
      </c>
      <c r="B2263" s="7" t="s">
        <v>79</v>
      </c>
      <c r="C2263" s="7" t="s">
        <v>64</v>
      </c>
      <c r="D2263" s="8">
        <v>45628</v>
      </c>
      <c r="E2263" s="8" t="str">
        <f t="shared" si="139"/>
        <v>December</v>
      </c>
      <c r="F2263">
        <f t="shared" si="140"/>
        <v>2024</v>
      </c>
      <c r="G2263">
        <f t="shared" si="141"/>
        <v>0</v>
      </c>
      <c r="H2263">
        <f t="shared" si="142"/>
        <v>0</v>
      </c>
      <c r="I2263" s="6"/>
      <c r="J2263" s="6"/>
      <c r="K2263" s="7" t="s">
        <v>44</v>
      </c>
      <c r="L2263" s="7" t="s">
        <v>27</v>
      </c>
      <c r="M2263" s="7" t="s">
        <v>21</v>
      </c>
      <c r="N2263" s="7">
        <f>COUNTIFS(A:A,A2263,D:D,D2263,E:E,I2263)</f>
        <v>0</v>
      </c>
    </row>
    <row r="2264" spans="1:14" x14ac:dyDescent="0.3">
      <c r="A2264" s="7" t="s">
        <v>40</v>
      </c>
      <c r="B2264" s="7" t="s">
        <v>41</v>
      </c>
      <c r="C2264" s="7" t="s">
        <v>64</v>
      </c>
      <c r="D2264" s="8">
        <v>45383</v>
      </c>
      <c r="E2264" s="8" t="str">
        <f t="shared" si="139"/>
        <v>April</v>
      </c>
      <c r="F2264">
        <f t="shared" si="140"/>
        <v>2024</v>
      </c>
      <c r="G2264">
        <f t="shared" si="141"/>
        <v>1</v>
      </c>
      <c r="H2264">
        <f t="shared" si="142"/>
        <v>1</v>
      </c>
      <c r="I2264" s="6">
        <v>0.44791666666666669</v>
      </c>
      <c r="J2264" s="6">
        <v>0.8125</v>
      </c>
      <c r="K2264" s="7" t="s">
        <v>26</v>
      </c>
      <c r="L2264" s="7" t="s">
        <v>14</v>
      </c>
      <c r="M2264" s="7" t="s">
        <v>21</v>
      </c>
      <c r="N2264" s="7">
        <f>COUNTIFS(A:A,A2264,D:D,D2264,E:E,I2264)</f>
        <v>0</v>
      </c>
    </row>
    <row r="2265" spans="1:14" x14ac:dyDescent="0.3">
      <c r="A2265" s="7" t="s">
        <v>81</v>
      </c>
      <c r="B2265" s="7" t="s">
        <v>82</v>
      </c>
      <c r="C2265" s="7" t="s">
        <v>60</v>
      </c>
      <c r="D2265" s="8">
        <v>45293</v>
      </c>
      <c r="E2265" s="8" t="str">
        <f t="shared" si="139"/>
        <v>January</v>
      </c>
      <c r="F2265">
        <f t="shared" si="140"/>
        <v>2024</v>
      </c>
      <c r="G2265">
        <f t="shared" si="141"/>
        <v>1</v>
      </c>
      <c r="H2265">
        <f t="shared" si="142"/>
        <v>1</v>
      </c>
      <c r="I2265" s="6">
        <v>0.48819444444444443</v>
      </c>
      <c r="J2265" s="6">
        <v>0.76041666666666663</v>
      </c>
      <c r="K2265" s="7" t="s">
        <v>26</v>
      </c>
      <c r="L2265" s="7" t="s">
        <v>14</v>
      </c>
      <c r="M2265" s="7" t="s">
        <v>21</v>
      </c>
      <c r="N2265" s="7">
        <f>COUNTIFS(A:A,A2265,D:D,D2265,E:E,I2265)</f>
        <v>0</v>
      </c>
    </row>
    <row r="2266" spans="1:14" x14ac:dyDescent="0.3">
      <c r="A2266" s="7" t="s">
        <v>34</v>
      </c>
      <c r="B2266" s="7" t="s">
        <v>35</v>
      </c>
      <c r="C2266" s="7" t="s">
        <v>60</v>
      </c>
      <c r="D2266" s="8">
        <v>45476</v>
      </c>
      <c r="E2266" s="8" t="str">
        <f t="shared" si="139"/>
        <v>July</v>
      </c>
      <c r="F2266">
        <f t="shared" si="140"/>
        <v>2024</v>
      </c>
      <c r="G2266">
        <f t="shared" si="141"/>
        <v>1</v>
      </c>
      <c r="H2266">
        <f t="shared" si="142"/>
        <v>0</v>
      </c>
      <c r="I2266" s="6">
        <v>0.4236111111111111</v>
      </c>
      <c r="J2266" s="6">
        <v>0.85138888888888886</v>
      </c>
      <c r="K2266" s="7" t="s">
        <v>13</v>
      </c>
      <c r="L2266" s="7" t="s">
        <v>27</v>
      </c>
      <c r="M2266" s="7" t="s">
        <v>15</v>
      </c>
      <c r="N2266" s="7">
        <f>COUNTIFS(A:A,A2266,D:D,D2266,E:E,I2266)</f>
        <v>0</v>
      </c>
    </row>
    <row r="2267" spans="1:14" x14ac:dyDescent="0.3">
      <c r="A2267" s="7" t="s">
        <v>22</v>
      </c>
      <c r="B2267" s="7" t="s">
        <v>23</v>
      </c>
      <c r="C2267" s="7" t="s">
        <v>64</v>
      </c>
      <c r="D2267" s="8">
        <v>45330</v>
      </c>
      <c r="E2267" s="8" t="str">
        <f t="shared" si="139"/>
        <v>February</v>
      </c>
      <c r="F2267">
        <f t="shared" si="140"/>
        <v>2024</v>
      </c>
      <c r="G2267">
        <f t="shared" si="141"/>
        <v>0</v>
      </c>
      <c r="H2267">
        <f t="shared" si="142"/>
        <v>0</v>
      </c>
      <c r="I2267" s="6"/>
      <c r="J2267" s="6"/>
      <c r="K2267" s="7" t="s">
        <v>44</v>
      </c>
      <c r="L2267" s="7" t="s">
        <v>27</v>
      </c>
      <c r="M2267" s="7" t="s">
        <v>21</v>
      </c>
      <c r="N2267" s="7">
        <f>COUNTIFS(A:A,A2267,D:D,D2267,E:E,I2267)</f>
        <v>0</v>
      </c>
    </row>
    <row r="2268" spans="1:14" x14ac:dyDescent="0.3">
      <c r="A2268" s="7" t="s">
        <v>338</v>
      </c>
      <c r="B2268" s="7" t="s">
        <v>339</v>
      </c>
      <c r="C2268" s="7" t="s">
        <v>42</v>
      </c>
      <c r="D2268" s="8">
        <v>45310</v>
      </c>
      <c r="E2268" s="8" t="str">
        <f t="shared" si="139"/>
        <v>January</v>
      </c>
      <c r="F2268">
        <f t="shared" si="140"/>
        <v>2024</v>
      </c>
      <c r="G2268">
        <f t="shared" si="141"/>
        <v>1</v>
      </c>
      <c r="H2268">
        <f t="shared" si="142"/>
        <v>0</v>
      </c>
      <c r="I2268" s="6">
        <v>0.49305555555555558</v>
      </c>
      <c r="J2268" s="6">
        <v>0.68194444444444446</v>
      </c>
      <c r="K2268" s="7" t="s">
        <v>13</v>
      </c>
      <c r="L2268" s="7" t="s">
        <v>27</v>
      </c>
      <c r="M2268" s="7" t="s">
        <v>15</v>
      </c>
      <c r="N2268" s="7">
        <f>COUNTIFS(A:A,A2268,D:D,D2268,E:E,I2268)</f>
        <v>0</v>
      </c>
    </row>
    <row r="2269" spans="1:14" x14ac:dyDescent="0.3">
      <c r="A2269" s="7" t="s">
        <v>165</v>
      </c>
      <c r="B2269" s="7" t="s">
        <v>166</v>
      </c>
      <c r="C2269" s="7" t="s">
        <v>42</v>
      </c>
      <c r="D2269" s="8">
        <v>45319</v>
      </c>
      <c r="E2269" s="8" t="str">
        <f t="shared" si="139"/>
        <v>January</v>
      </c>
      <c r="F2269">
        <f t="shared" si="140"/>
        <v>2024</v>
      </c>
      <c r="G2269">
        <f t="shared" si="141"/>
        <v>1</v>
      </c>
      <c r="H2269">
        <f t="shared" si="142"/>
        <v>0</v>
      </c>
      <c r="I2269" s="6">
        <v>0.49166666666666664</v>
      </c>
      <c r="J2269" s="6">
        <v>0.79791666666666672</v>
      </c>
      <c r="K2269" s="7" t="s">
        <v>20</v>
      </c>
      <c r="L2269" s="7" t="s">
        <v>14</v>
      </c>
      <c r="M2269" s="7" t="s">
        <v>15</v>
      </c>
      <c r="N2269" s="7">
        <f>COUNTIFS(A:A,A2269,D:D,D2269,E:E,I2269)</f>
        <v>0</v>
      </c>
    </row>
    <row r="2270" spans="1:14" x14ac:dyDescent="0.3">
      <c r="A2270" s="7" t="s">
        <v>66</v>
      </c>
      <c r="B2270" s="7" t="s">
        <v>67</v>
      </c>
      <c r="C2270" s="7" t="s">
        <v>425</v>
      </c>
      <c r="D2270" s="8">
        <v>45335</v>
      </c>
      <c r="E2270" s="8" t="str">
        <f t="shared" si="139"/>
        <v>February</v>
      </c>
      <c r="F2270">
        <f t="shared" si="140"/>
        <v>2024</v>
      </c>
      <c r="G2270">
        <f t="shared" si="141"/>
        <v>1</v>
      </c>
      <c r="H2270">
        <f t="shared" si="142"/>
        <v>0</v>
      </c>
      <c r="I2270" s="6">
        <v>0.41041666666666665</v>
      </c>
      <c r="J2270" s="6">
        <v>0.72430555555555554</v>
      </c>
      <c r="K2270" s="7" t="s">
        <v>20</v>
      </c>
      <c r="L2270" s="7" t="s">
        <v>14</v>
      </c>
      <c r="M2270" s="7" t="s">
        <v>15</v>
      </c>
      <c r="N2270" s="7">
        <f>COUNTIFS(A:A,A2270,D:D,D2270,E:E,I2270)</f>
        <v>0</v>
      </c>
    </row>
    <row r="2271" spans="1:14" x14ac:dyDescent="0.3">
      <c r="A2271" s="7" t="s">
        <v>204</v>
      </c>
      <c r="B2271" s="7" t="s">
        <v>205</v>
      </c>
      <c r="C2271" s="7" t="s">
        <v>60</v>
      </c>
      <c r="D2271" s="8">
        <v>45321</v>
      </c>
      <c r="E2271" s="8" t="str">
        <f t="shared" si="139"/>
        <v>January</v>
      </c>
      <c r="F2271">
        <f t="shared" si="140"/>
        <v>2024</v>
      </c>
      <c r="G2271">
        <f t="shared" si="141"/>
        <v>1</v>
      </c>
      <c r="H2271">
        <f t="shared" si="142"/>
        <v>0</v>
      </c>
      <c r="I2271" s="6">
        <v>0.49236111111111114</v>
      </c>
      <c r="J2271" s="6">
        <v>0.75277777777777777</v>
      </c>
      <c r="K2271" s="7" t="s">
        <v>13</v>
      </c>
      <c r="L2271" s="7" t="s">
        <v>27</v>
      </c>
      <c r="M2271" s="7" t="s">
        <v>15</v>
      </c>
      <c r="N2271" s="7">
        <f>COUNTIFS(A:A,A2271,D:D,D2271,E:E,I2271)</f>
        <v>0</v>
      </c>
    </row>
    <row r="2272" spans="1:14" x14ac:dyDescent="0.3">
      <c r="A2272" s="7" t="s">
        <v>34</v>
      </c>
      <c r="B2272" s="7" t="s">
        <v>35</v>
      </c>
      <c r="C2272" s="7" t="s">
        <v>425</v>
      </c>
      <c r="D2272" s="8">
        <v>45333</v>
      </c>
      <c r="E2272" s="8" t="str">
        <f t="shared" si="139"/>
        <v>February</v>
      </c>
      <c r="F2272">
        <f t="shared" si="140"/>
        <v>2024</v>
      </c>
      <c r="G2272">
        <f t="shared" si="141"/>
        <v>1</v>
      </c>
      <c r="H2272">
        <f t="shared" si="142"/>
        <v>0</v>
      </c>
      <c r="I2272" s="6">
        <v>0.37847222222222221</v>
      </c>
      <c r="J2272" s="6">
        <v>0.72222222222222221</v>
      </c>
      <c r="K2272" s="7" t="s">
        <v>13</v>
      </c>
      <c r="L2272" s="7" t="s">
        <v>27</v>
      </c>
      <c r="M2272" s="7" t="s">
        <v>15</v>
      </c>
      <c r="N2272" s="7">
        <f>COUNTIFS(A:A,A2272,D:D,D2272,E:E,I2272)</f>
        <v>0</v>
      </c>
    </row>
    <row r="2273" spans="1:14" x14ac:dyDescent="0.3">
      <c r="A2273" s="7" t="s">
        <v>204</v>
      </c>
      <c r="B2273" s="7" t="s">
        <v>205</v>
      </c>
      <c r="C2273" s="7" t="s">
        <v>425</v>
      </c>
      <c r="D2273" s="8">
        <v>45376</v>
      </c>
      <c r="E2273" s="8" t="str">
        <f t="shared" si="139"/>
        <v>March</v>
      </c>
      <c r="F2273">
        <f t="shared" si="140"/>
        <v>2024</v>
      </c>
      <c r="G2273">
        <f t="shared" si="141"/>
        <v>1</v>
      </c>
      <c r="H2273">
        <f t="shared" si="142"/>
        <v>0</v>
      </c>
      <c r="I2273" s="6">
        <v>0.37222222222222223</v>
      </c>
      <c r="J2273" s="6">
        <v>0.84236111111111112</v>
      </c>
      <c r="K2273" s="7" t="s">
        <v>20</v>
      </c>
      <c r="L2273" s="7" t="s">
        <v>27</v>
      </c>
      <c r="M2273" s="7" t="s">
        <v>15</v>
      </c>
      <c r="N2273" s="7">
        <f>COUNTIFS(A:A,A2273,D:D,D2273,E:E,I2273)</f>
        <v>0</v>
      </c>
    </row>
    <row r="2274" spans="1:14" x14ac:dyDescent="0.3">
      <c r="A2274" s="7" t="s">
        <v>236</v>
      </c>
      <c r="B2274" s="7" t="s">
        <v>237</v>
      </c>
      <c r="C2274" s="7" t="s">
        <v>42</v>
      </c>
      <c r="D2274" s="8">
        <v>45325</v>
      </c>
      <c r="E2274" s="8" t="str">
        <f t="shared" si="139"/>
        <v>February</v>
      </c>
      <c r="F2274">
        <f t="shared" si="140"/>
        <v>2024</v>
      </c>
      <c r="G2274">
        <f t="shared" si="141"/>
        <v>1</v>
      </c>
      <c r="H2274">
        <f t="shared" si="142"/>
        <v>0</v>
      </c>
      <c r="I2274" s="6">
        <v>0.34861111111111109</v>
      </c>
      <c r="J2274" s="6">
        <v>0.8520833333333333</v>
      </c>
      <c r="K2274" s="7" t="s">
        <v>20</v>
      </c>
      <c r="L2274" s="7" t="s">
        <v>14</v>
      </c>
      <c r="M2274" s="7" t="s">
        <v>21</v>
      </c>
      <c r="N2274" s="7">
        <f>COUNTIFS(A:A,A2274,D:D,D2274,E:E,I2274)</f>
        <v>0</v>
      </c>
    </row>
    <row r="2275" spans="1:14" x14ac:dyDescent="0.3">
      <c r="A2275" s="7" t="s">
        <v>171</v>
      </c>
      <c r="B2275" s="7" t="s">
        <v>172</v>
      </c>
      <c r="C2275" s="7" t="s">
        <v>64</v>
      </c>
      <c r="D2275" s="8">
        <v>45383</v>
      </c>
      <c r="E2275" s="8" t="str">
        <f t="shared" si="139"/>
        <v>April</v>
      </c>
      <c r="F2275">
        <f t="shared" si="140"/>
        <v>2024</v>
      </c>
      <c r="G2275">
        <f t="shared" si="141"/>
        <v>1</v>
      </c>
      <c r="H2275">
        <f t="shared" si="142"/>
        <v>1</v>
      </c>
      <c r="I2275" s="6">
        <v>0.47291666666666665</v>
      </c>
      <c r="J2275" s="6">
        <v>0.78263888888888888</v>
      </c>
      <c r="K2275" s="7" t="s">
        <v>26</v>
      </c>
      <c r="L2275" s="7" t="s">
        <v>14</v>
      </c>
      <c r="M2275" s="7" t="s">
        <v>21</v>
      </c>
      <c r="N2275" s="7">
        <f>COUNTIFS(A:A,A2275,D:D,D2275,E:E,I2275)</f>
        <v>0</v>
      </c>
    </row>
    <row r="2276" spans="1:14" x14ac:dyDescent="0.3">
      <c r="A2276" s="7" t="s">
        <v>45</v>
      </c>
      <c r="B2276" s="7" t="s">
        <v>46</v>
      </c>
      <c r="C2276" s="7" t="s">
        <v>426</v>
      </c>
      <c r="D2276" s="8">
        <v>45356</v>
      </c>
      <c r="E2276" s="8" t="str">
        <f t="shared" si="139"/>
        <v>March</v>
      </c>
      <c r="F2276">
        <f t="shared" si="140"/>
        <v>2024</v>
      </c>
      <c r="G2276">
        <f t="shared" si="141"/>
        <v>1</v>
      </c>
      <c r="H2276">
        <f t="shared" si="142"/>
        <v>0</v>
      </c>
      <c r="I2276" s="6">
        <v>0.39513888888888887</v>
      </c>
      <c r="J2276" s="6">
        <v>0.79097222222222219</v>
      </c>
      <c r="K2276" s="7" t="s">
        <v>20</v>
      </c>
      <c r="L2276" s="7" t="s">
        <v>14</v>
      </c>
      <c r="M2276" s="7" t="s">
        <v>21</v>
      </c>
      <c r="N2276" s="7">
        <f>COUNTIFS(A:A,A2276,D:D,D2276,E:E,I2276)</f>
        <v>0</v>
      </c>
    </row>
    <row r="2277" spans="1:14" x14ac:dyDescent="0.3">
      <c r="A2277" s="7" t="s">
        <v>187</v>
      </c>
      <c r="B2277" s="7" t="s">
        <v>188</v>
      </c>
      <c r="C2277" s="7" t="s">
        <v>60</v>
      </c>
      <c r="D2277" s="8">
        <v>45300</v>
      </c>
      <c r="E2277" s="8" t="str">
        <f t="shared" si="139"/>
        <v>January</v>
      </c>
      <c r="F2277">
        <f t="shared" si="140"/>
        <v>2024</v>
      </c>
      <c r="G2277">
        <f t="shared" si="141"/>
        <v>0</v>
      </c>
      <c r="H2277">
        <f t="shared" si="142"/>
        <v>0</v>
      </c>
      <c r="I2277" s="6"/>
      <c r="J2277" s="6"/>
      <c r="K2277" s="7" t="s">
        <v>44</v>
      </c>
      <c r="L2277" s="7" t="s">
        <v>27</v>
      </c>
      <c r="M2277" s="7" t="s">
        <v>21</v>
      </c>
      <c r="N2277" s="7">
        <f>COUNTIFS(A:A,A2277,D:D,D2277,E:E,I2277)</f>
        <v>0</v>
      </c>
    </row>
    <row r="2278" spans="1:14" x14ac:dyDescent="0.3">
      <c r="A2278" s="7" t="s">
        <v>165</v>
      </c>
      <c r="B2278" s="7" t="s">
        <v>166</v>
      </c>
      <c r="C2278" s="7" t="s">
        <v>60</v>
      </c>
      <c r="D2278" s="8">
        <v>45361</v>
      </c>
      <c r="E2278" s="8" t="str">
        <f t="shared" si="139"/>
        <v>March</v>
      </c>
      <c r="F2278">
        <f t="shared" si="140"/>
        <v>2024</v>
      </c>
      <c r="G2278">
        <f t="shared" si="141"/>
        <v>1</v>
      </c>
      <c r="H2278">
        <f t="shared" si="142"/>
        <v>0</v>
      </c>
      <c r="I2278" s="6">
        <v>0.49652777777777779</v>
      </c>
      <c r="J2278" s="6">
        <v>0.75138888888888888</v>
      </c>
      <c r="K2278" s="7" t="s">
        <v>20</v>
      </c>
      <c r="L2278" s="7" t="s">
        <v>27</v>
      </c>
      <c r="M2278" s="7" t="s">
        <v>15</v>
      </c>
      <c r="N2278" s="7">
        <f>COUNTIFS(A:A,A2278,D:D,D2278,E:E,I2278)</f>
        <v>0</v>
      </c>
    </row>
    <row r="2279" spans="1:14" x14ac:dyDescent="0.3">
      <c r="A2279" s="7" t="s">
        <v>175</v>
      </c>
      <c r="B2279" s="7" t="s">
        <v>176</v>
      </c>
      <c r="C2279" s="7" t="s">
        <v>64</v>
      </c>
      <c r="D2279" s="8">
        <v>45326</v>
      </c>
      <c r="E2279" s="8" t="str">
        <f t="shared" si="139"/>
        <v>February</v>
      </c>
      <c r="F2279">
        <f t="shared" si="140"/>
        <v>2024</v>
      </c>
      <c r="G2279">
        <f t="shared" si="141"/>
        <v>1</v>
      </c>
      <c r="H2279">
        <f t="shared" si="142"/>
        <v>0</v>
      </c>
      <c r="I2279" s="6">
        <v>0.46944444444444444</v>
      </c>
      <c r="J2279" s="6">
        <v>0.72777777777777775</v>
      </c>
      <c r="K2279" s="7" t="s">
        <v>13</v>
      </c>
      <c r="L2279" s="7" t="s">
        <v>27</v>
      </c>
      <c r="M2279" s="7" t="s">
        <v>15</v>
      </c>
      <c r="N2279" s="7">
        <f>COUNTIFS(A:A,A2279,D:D,D2279,E:E,I2279)</f>
        <v>0</v>
      </c>
    </row>
    <row r="2280" spans="1:14" x14ac:dyDescent="0.3">
      <c r="A2280" s="7" t="s">
        <v>16</v>
      </c>
      <c r="B2280" s="7" t="s">
        <v>17</v>
      </c>
      <c r="C2280" s="7" t="s">
        <v>426</v>
      </c>
      <c r="D2280" s="8">
        <v>45380</v>
      </c>
      <c r="E2280" s="8" t="str">
        <f t="shared" si="139"/>
        <v>March</v>
      </c>
      <c r="F2280">
        <f t="shared" si="140"/>
        <v>2024</v>
      </c>
      <c r="G2280">
        <f t="shared" si="141"/>
        <v>1</v>
      </c>
      <c r="H2280">
        <f t="shared" si="142"/>
        <v>0</v>
      </c>
      <c r="I2280" s="6">
        <v>0.48402777777777778</v>
      </c>
      <c r="J2280" s="6">
        <v>0.67013888888888884</v>
      </c>
      <c r="K2280" s="7" t="s">
        <v>20</v>
      </c>
      <c r="L2280" s="7" t="s">
        <v>27</v>
      </c>
      <c r="M2280" s="7" t="s">
        <v>15</v>
      </c>
      <c r="N2280" s="7">
        <f>COUNTIFS(A:A,A2280,D:D,D2280,E:E,I2280)</f>
        <v>0</v>
      </c>
    </row>
    <row r="2281" spans="1:14" x14ac:dyDescent="0.3">
      <c r="A2281" s="7" t="s">
        <v>362</v>
      </c>
      <c r="B2281" s="7" t="s">
        <v>363</v>
      </c>
      <c r="C2281" s="7" t="s">
        <v>64</v>
      </c>
      <c r="D2281" s="8">
        <v>45312</v>
      </c>
      <c r="E2281" s="8" t="str">
        <f t="shared" si="139"/>
        <v>January</v>
      </c>
      <c r="F2281">
        <f t="shared" si="140"/>
        <v>2024</v>
      </c>
      <c r="G2281">
        <f t="shared" si="141"/>
        <v>1</v>
      </c>
      <c r="H2281">
        <f t="shared" si="142"/>
        <v>0</v>
      </c>
      <c r="I2281" s="6">
        <v>0.47291666666666665</v>
      </c>
      <c r="J2281" s="6">
        <v>0.72569444444444442</v>
      </c>
      <c r="K2281" s="7" t="s">
        <v>13</v>
      </c>
      <c r="L2281" s="7" t="s">
        <v>27</v>
      </c>
      <c r="M2281" s="7" t="s">
        <v>21</v>
      </c>
      <c r="N2281" s="7">
        <f>COUNTIFS(A:A,A2281,D:D,D2281,E:E,I2281)</f>
        <v>0</v>
      </c>
    </row>
    <row r="2282" spans="1:14" x14ac:dyDescent="0.3">
      <c r="A2282" s="7" t="s">
        <v>102</v>
      </c>
      <c r="B2282" s="7" t="s">
        <v>103</v>
      </c>
      <c r="C2282" s="7" t="s">
        <v>42</v>
      </c>
      <c r="D2282" s="8">
        <v>45375</v>
      </c>
      <c r="E2282" s="8" t="str">
        <f t="shared" si="139"/>
        <v>March</v>
      </c>
      <c r="F2282">
        <f t="shared" si="140"/>
        <v>2024</v>
      </c>
      <c r="G2282">
        <f t="shared" si="141"/>
        <v>1</v>
      </c>
      <c r="H2282">
        <f t="shared" si="142"/>
        <v>1</v>
      </c>
      <c r="I2282" s="6">
        <v>0.38611111111111113</v>
      </c>
      <c r="J2282" s="6">
        <v>0.7583333333333333</v>
      </c>
      <c r="K2282" s="7" t="s">
        <v>26</v>
      </c>
      <c r="L2282" s="7" t="s">
        <v>27</v>
      </c>
      <c r="M2282" s="7" t="s">
        <v>15</v>
      </c>
      <c r="N2282" s="7">
        <f>COUNTIFS(A:A,A2282,D:D,D2282,E:E,I2282)</f>
        <v>0</v>
      </c>
    </row>
    <row r="2283" spans="1:14" x14ac:dyDescent="0.3">
      <c r="A2283" s="7" t="s">
        <v>213</v>
      </c>
      <c r="B2283" s="7" t="s">
        <v>214</v>
      </c>
      <c r="C2283" s="7" t="s">
        <v>64</v>
      </c>
      <c r="D2283" s="8">
        <v>45330</v>
      </c>
      <c r="E2283" s="8" t="str">
        <f t="shared" si="139"/>
        <v>February</v>
      </c>
      <c r="F2283">
        <f t="shared" si="140"/>
        <v>2024</v>
      </c>
      <c r="G2283">
        <f t="shared" si="141"/>
        <v>1</v>
      </c>
      <c r="H2283">
        <f t="shared" si="142"/>
        <v>1</v>
      </c>
      <c r="I2283" s="6">
        <v>0.48819444444444443</v>
      </c>
      <c r="J2283" s="6">
        <v>0.78263888888888888</v>
      </c>
      <c r="K2283" s="7" t="s">
        <v>26</v>
      </c>
      <c r="L2283" s="7" t="s">
        <v>14</v>
      </c>
      <c r="M2283" s="7" t="s">
        <v>15</v>
      </c>
      <c r="N2283" s="7">
        <f>COUNTIFS(A:A,A2283,D:D,D2283,E:E,I2283)</f>
        <v>0</v>
      </c>
    </row>
    <row r="2284" spans="1:14" x14ac:dyDescent="0.3">
      <c r="A2284" s="7" t="s">
        <v>58</v>
      </c>
      <c r="B2284" s="7" t="s">
        <v>59</v>
      </c>
      <c r="C2284" s="7" t="s">
        <v>425</v>
      </c>
      <c r="D2284" s="8">
        <v>45353</v>
      </c>
      <c r="E2284" s="8" t="str">
        <f t="shared" si="139"/>
        <v>March</v>
      </c>
      <c r="F2284">
        <f t="shared" si="140"/>
        <v>2024</v>
      </c>
      <c r="G2284">
        <f t="shared" si="141"/>
        <v>0</v>
      </c>
      <c r="H2284">
        <f t="shared" si="142"/>
        <v>0</v>
      </c>
      <c r="I2284" s="6"/>
      <c r="J2284" s="6"/>
      <c r="K2284" s="7" t="s">
        <v>44</v>
      </c>
      <c r="L2284" s="7" t="s">
        <v>27</v>
      </c>
      <c r="M2284" s="7" t="s">
        <v>21</v>
      </c>
      <c r="N2284" s="7">
        <f>COUNTIFS(A:A,A2284,D:D,D2284,E:E,I2284)</f>
        <v>0</v>
      </c>
    </row>
    <row r="2285" spans="1:14" x14ac:dyDescent="0.3">
      <c r="A2285" s="7" t="s">
        <v>102</v>
      </c>
      <c r="B2285" s="7" t="s">
        <v>103</v>
      </c>
      <c r="C2285" s="7" t="s">
        <v>60</v>
      </c>
      <c r="D2285" s="8">
        <v>45325</v>
      </c>
      <c r="E2285" s="8" t="str">
        <f t="shared" si="139"/>
        <v>February</v>
      </c>
      <c r="F2285">
        <f t="shared" si="140"/>
        <v>2024</v>
      </c>
      <c r="G2285">
        <f t="shared" si="141"/>
        <v>1</v>
      </c>
      <c r="H2285">
        <f t="shared" si="142"/>
        <v>1</v>
      </c>
      <c r="I2285" s="6">
        <v>0.41666666666666669</v>
      </c>
      <c r="J2285" s="6">
        <v>0.85833333333333328</v>
      </c>
      <c r="K2285" s="7" t="s">
        <v>26</v>
      </c>
      <c r="L2285" s="7" t="s">
        <v>27</v>
      </c>
      <c r="M2285" s="7" t="s">
        <v>15</v>
      </c>
      <c r="N2285" s="7">
        <f>COUNTIFS(A:A,A2285,D:D,D2285,E:E,I2285)</f>
        <v>0</v>
      </c>
    </row>
    <row r="2286" spans="1:14" x14ac:dyDescent="0.3">
      <c r="A2286" s="7" t="s">
        <v>122</v>
      </c>
      <c r="B2286" s="7" t="s">
        <v>123</v>
      </c>
      <c r="C2286" s="7" t="s">
        <v>426</v>
      </c>
      <c r="D2286" s="8">
        <v>45342</v>
      </c>
      <c r="E2286" s="8" t="str">
        <f t="shared" si="139"/>
        <v>February</v>
      </c>
      <c r="F2286">
        <f t="shared" si="140"/>
        <v>2024</v>
      </c>
      <c r="G2286">
        <f t="shared" si="141"/>
        <v>1</v>
      </c>
      <c r="H2286">
        <f t="shared" si="142"/>
        <v>0</v>
      </c>
      <c r="I2286" s="6">
        <v>0.40694444444444444</v>
      </c>
      <c r="J2286" s="6">
        <v>0.69513888888888886</v>
      </c>
      <c r="K2286" s="7" t="s">
        <v>13</v>
      </c>
      <c r="L2286" s="7" t="s">
        <v>14</v>
      </c>
      <c r="M2286" s="7" t="s">
        <v>15</v>
      </c>
      <c r="N2286" s="7">
        <f>COUNTIFS(A:A,A2286,D:D,D2286,E:E,I2286)</f>
        <v>0</v>
      </c>
    </row>
    <row r="2287" spans="1:14" x14ac:dyDescent="0.3">
      <c r="A2287" s="7" t="s">
        <v>58</v>
      </c>
      <c r="B2287" s="7" t="s">
        <v>59</v>
      </c>
      <c r="C2287" s="7" t="s">
        <v>60</v>
      </c>
      <c r="D2287" s="8">
        <v>45507</v>
      </c>
      <c r="E2287" s="8" t="str">
        <f t="shared" si="139"/>
        <v>August</v>
      </c>
      <c r="F2287">
        <f t="shared" si="140"/>
        <v>2024</v>
      </c>
      <c r="G2287">
        <f t="shared" si="141"/>
        <v>1</v>
      </c>
      <c r="H2287">
        <f t="shared" si="142"/>
        <v>1</v>
      </c>
      <c r="I2287" s="6">
        <v>0.33680555555555558</v>
      </c>
      <c r="J2287" s="6">
        <v>0.85833333333333328</v>
      </c>
      <c r="K2287" s="7" t="s">
        <v>26</v>
      </c>
      <c r="L2287" s="7" t="s">
        <v>14</v>
      </c>
      <c r="M2287" s="7" t="s">
        <v>15</v>
      </c>
      <c r="N2287" s="7">
        <f>COUNTIFS(A:A,A2287,D:D,D2287,E:E,I2287)</f>
        <v>0</v>
      </c>
    </row>
    <row r="2288" spans="1:14" x14ac:dyDescent="0.3">
      <c r="A2288" s="7" t="s">
        <v>112</v>
      </c>
      <c r="B2288" s="7" t="s">
        <v>113</v>
      </c>
      <c r="C2288" s="7" t="s">
        <v>425</v>
      </c>
      <c r="D2288" s="8">
        <v>45294</v>
      </c>
      <c r="E2288" s="8" t="str">
        <f t="shared" si="139"/>
        <v>January</v>
      </c>
      <c r="F2288">
        <f t="shared" si="140"/>
        <v>2024</v>
      </c>
      <c r="G2288">
        <f t="shared" si="141"/>
        <v>0</v>
      </c>
      <c r="H2288">
        <f t="shared" si="142"/>
        <v>0</v>
      </c>
      <c r="I2288" s="6"/>
      <c r="J2288" s="6"/>
      <c r="K2288" s="7" t="s">
        <v>44</v>
      </c>
      <c r="L2288" s="7" t="s">
        <v>27</v>
      </c>
      <c r="M2288" s="7" t="s">
        <v>21</v>
      </c>
      <c r="N2288" s="7">
        <f>COUNTIFS(A:A,A2288,D:D,D2288,E:E,I2288)</f>
        <v>0</v>
      </c>
    </row>
    <row r="2289" spans="1:14" x14ac:dyDescent="0.3">
      <c r="A2289" s="7" t="s">
        <v>141</v>
      </c>
      <c r="B2289" s="7" t="s">
        <v>142</v>
      </c>
      <c r="C2289" s="7" t="s">
        <v>60</v>
      </c>
      <c r="D2289" s="8">
        <v>45598</v>
      </c>
      <c r="E2289" s="8" t="str">
        <f t="shared" si="139"/>
        <v>November</v>
      </c>
      <c r="F2289">
        <f t="shared" si="140"/>
        <v>2024</v>
      </c>
      <c r="G2289">
        <f t="shared" si="141"/>
        <v>1</v>
      </c>
      <c r="H2289">
        <f t="shared" si="142"/>
        <v>0</v>
      </c>
      <c r="I2289" s="6">
        <v>0.4375</v>
      </c>
      <c r="J2289" s="6">
        <v>0.72361111111111109</v>
      </c>
      <c r="K2289" s="7" t="s">
        <v>13</v>
      </c>
      <c r="L2289" s="7" t="s">
        <v>27</v>
      </c>
      <c r="M2289" s="7" t="s">
        <v>21</v>
      </c>
      <c r="N2289" s="7">
        <f>COUNTIFS(A:A,A2289,D:D,D2289,E:E,I2289)</f>
        <v>0</v>
      </c>
    </row>
    <row r="2290" spans="1:14" x14ac:dyDescent="0.3">
      <c r="A2290" s="7" t="s">
        <v>34</v>
      </c>
      <c r="B2290" s="7" t="s">
        <v>35</v>
      </c>
      <c r="C2290" s="7" t="s">
        <v>60</v>
      </c>
      <c r="D2290" s="8">
        <v>45307</v>
      </c>
      <c r="E2290" s="8" t="str">
        <f t="shared" si="139"/>
        <v>January</v>
      </c>
      <c r="F2290">
        <f t="shared" si="140"/>
        <v>2024</v>
      </c>
      <c r="G2290">
        <f t="shared" si="141"/>
        <v>1</v>
      </c>
      <c r="H2290">
        <f t="shared" si="142"/>
        <v>0</v>
      </c>
      <c r="I2290" s="6">
        <v>0.49513888888888891</v>
      </c>
      <c r="J2290" s="6">
        <v>0.84722222222222221</v>
      </c>
      <c r="K2290" s="7" t="s">
        <v>13</v>
      </c>
      <c r="L2290" s="7" t="s">
        <v>14</v>
      </c>
      <c r="M2290" s="7" t="s">
        <v>15</v>
      </c>
      <c r="N2290" s="7">
        <f>COUNTIFS(A:A,A2290,D:D,D2290,E:E,I2290)</f>
        <v>0</v>
      </c>
    </row>
    <row r="2291" spans="1:14" x14ac:dyDescent="0.3">
      <c r="A2291" s="7" t="s">
        <v>115</v>
      </c>
      <c r="B2291" s="7" t="s">
        <v>116</v>
      </c>
      <c r="C2291" s="7" t="s">
        <v>64</v>
      </c>
      <c r="D2291" s="8">
        <v>45415</v>
      </c>
      <c r="E2291" s="8" t="str">
        <f t="shared" si="139"/>
        <v>May</v>
      </c>
      <c r="F2291">
        <f t="shared" si="140"/>
        <v>2024</v>
      </c>
      <c r="G2291">
        <f t="shared" si="141"/>
        <v>1</v>
      </c>
      <c r="H2291">
        <f t="shared" si="142"/>
        <v>1</v>
      </c>
      <c r="I2291" s="6">
        <v>0.45763888888888887</v>
      </c>
      <c r="J2291" s="6">
        <v>0.72222222222222221</v>
      </c>
      <c r="K2291" s="7" t="s">
        <v>26</v>
      </c>
      <c r="L2291" s="7" t="s">
        <v>14</v>
      </c>
      <c r="M2291" s="7" t="s">
        <v>21</v>
      </c>
      <c r="N2291" s="7">
        <f>COUNTIFS(A:A,A2291,D:D,D2291,E:E,I2291)</f>
        <v>0</v>
      </c>
    </row>
    <row r="2292" spans="1:14" x14ac:dyDescent="0.3">
      <c r="A2292" s="7" t="s">
        <v>37</v>
      </c>
      <c r="B2292" s="7" t="s">
        <v>38</v>
      </c>
      <c r="C2292" s="7" t="s">
        <v>64</v>
      </c>
      <c r="D2292" s="8">
        <v>45345</v>
      </c>
      <c r="E2292" s="8" t="str">
        <f t="shared" si="139"/>
        <v>February</v>
      </c>
      <c r="F2292">
        <f t="shared" si="140"/>
        <v>2024</v>
      </c>
      <c r="G2292">
        <f t="shared" si="141"/>
        <v>1</v>
      </c>
      <c r="H2292">
        <f t="shared" si="142"/>
        <v>1</v>
      </c>
      <c r="I2292" s="6">
        <v>0.39166666666666666</v>
      </c>
      <c r="J2292" s="6">
        <v>0.84861111111111109</v>
      </c>
      <c r="K2292" s="7" t="s">
        <v>26</v>
      </c>
      <c r="L2292" s="7" t="s">
        <v>14</v>
      </c>
      <c r="M2292" s="7" t="s">
        <v>15</v>
      </c>
      <c r="N2292" s="7">
        <f>COUNTIFS(A:A,A2292,D:D,D2292,E:E,I2292)</f>
        <v>0</v>
      </c>
    </row>
    <row r="2293" spans="1:14" x14ac:dyDescent="0.3">
      <c r="A2293" s="7" t="s">
        <v>141</v>
      </c>
      <c r="B2293" s="7" t="s">
        <v>142</v>
      </c>
      <c r="C2293" s="7" t="s">
        <v>60</v>
      </c>
      <c r="D2293" s="8">
        <v>45365</v>
      </c>
      <c r="E2293" s="8" t="str">
        <f t="shared" si="139"/>
        <v>March</v>
      </c>
      <c r="F2293">
        <f t="shared" si="140"/>
        <v>2024</v>
      </c>
      <c r="G2293">
        <f t="shared" si="141"/>
        <v>1</v>
      </c>
      <c r="H2293">
        <f t="shared" si="142"/>
        <v>1</v>
      </c>
      <c r="I2293" s="6">
        <v>0.48055555555555557</v>
      </c>
      <c r="J2293" s="6">
        <v>0.72430555555555554</v>
      </c>
      <c r="K2293" s="7" t="s">
        <v>26</v>
      </c>
      <c r="L2293" s="7" t="s">
        <v>14</v>
      </c>
      <c r="M2293" s="7" t="s">
        <v>21</v>
      </c>
      <c r="N2293" s="7">
        <f>COUNTIFS(A:A,A2293,D:D,D2293,E:E,I2293)</f>
        <v>0</v>
      </c>
    </row>
    <row r="2294" spans="1:14" x14ac:dyDescent="0.3">
      <c r="A2294" s="7" t="s">
        <v>236</v>
      </c>
      <c r="B2294" s="7" t="s">
        <v>237</v>
      </c>
      <c r="C2294" s="7" t="s">
        <v>425</v>
      </c>
      <c r="D2294" s="8">
        <v>45349</v>
      </c>
      <c r="E2294" s="8" t="str">
        <f t="shared" si="139"/>
        <v>February</v>
      </c>
      <c r="F2294">
        <f t="shared" si="140"/>
        <v>2024</v>
      </c>
      <c r="G2294">
        <f t="shared" si="141"/>
        <v>1</v>
      </c>
      <c r="H2294">
        <f t="shared" si="142"/>
        <v>0</v>
      </c>
      <c r="I2294" s="6">
        <v>0.36666666666666664</v>
      </c>
      <c r="J2294" s="6">
        <v>0.75069444444444444</v>
      </c>
      <c r="K2294" s="7" t="s">
        <v>20</v>
      </c>
      <c r="L2294" s="7" t="s">
        <v>14</v>
      </c>
      <c r="M2294" s="7" t="s">
        <v>21</v>
      </c>
      <c r="N2294" s="7">
        <f>COUNTIFS(A:A,A2294,D:D,D2294,E:E,I2294)</f>
        <v>0</v>
      </c>
    </row>
    <row r="2295" spans="1:14" x14ac:dyDescent="0.3">
      <c r="A2295" s="7" t="s">
        <v>87</v>
      </c>
      <c r="B2295" s="7" t="s">
        <v>88</v>
      </c>
      <c r="C2295" s="7" t="s">
        <v>425</v>
      </c>
      <c r="D2295" s="8">
        <v>45415</v>
      </c>
      <c r="E2295" s="8" t="str">
        <f t="shared" si="139"/>
        <v>May</v>
      </c>
      <c r="F2295">
        <f t="shared" si="140"/>
        <v>2024</v>
      </c>
      <c r="G2295">
        <f t="shared" si="141"/>
        <v>0</v>
      </c>
      <c r="H2295">
        <f t="shared" si="142"/>
        <v>0</v>
      </c>
      <c r="I2295" s="6"/>
      <c r="J2295" s="6"/>
      <c r="K2295" s="7" t="s">
        <v>44</v>
      </c>
      <c r="L2295" s="7" t="s">
        <v>14</v>
      </c>
      <c r="M2295" s="7" t="s">
        <v>15</v>
      </c>
      <c r="N2295" s="7">
        <f>COUNTIFS(A:A,A2295,D:D,D2295,E:E,I2295)</f>
        <v>0</v>
      </c>
    </row>
    <row r="2296" spans="1:14" x14ac:dyDescent="0.3">
      <c r="A2296" s="7" t="s">
        <v>362</v>
      </c>
      <c r="B2296" s="7" t="s">
        <v>363</v>
      </c>
      <c r="C2296" s="7" t="s">
        <v>425</v>
      </c>
      <c r="D2296" s="8">
        <v>45332</v>
      </c>
      <c r="E2296" s="8" t="str">
        <f t="shared" si="139"/>
        <v>February</v>
      </c>
      <c r="F2296">
        <f t="shared" si="140"/>
        <v>2024</v>
      </c>
      <c r="G2296">
        <f t="shared" si="141"/>
        <v>1</v>
      </c>
      <c r="H2296">
        <f t="shared" si="142"/>
        <v>0</v>
      </c>
      <c r="I2296" s="6">
        <v>0.33611111111111114</v>
      </c>
      <c r="J2296" s="6">
        <v>0.72986111111111107</v>
      </c>
      <c r="K2296" s="7" t="s">
        <v>13</v>
      </c>
      <c r="L2296" s="7" t="s">
        <v>14</v>
      </c>
      <c r="M2296" s="7" t="s">
        <v>21</v>
      </c>
      <c r="N2296" s="7">
        <f>COUNTIFS(A:A,A2296,D:D,D2296,E:E,I2296)</f>
        <v>0</v>
      </c>
    </row>
    <row r="2297" spans="1:14" x14ac:dyDescent="0.3">
      <c r="A2297" s="7" t="s">
        <v>130</v>
      </c>
      <c r="B2297" s="7" t="s">
        <v>131</v>
      </c>
      <c r="C2297" s="7" t="s">
        <v>60</v>
      </c>
      <c r="D2297" s="8">
        <v>45315</v>
      </c>
      <c r="E2297" s="8" t="str">
        <f t="shared" si="139"/>
        <v>January</v>
      </c>
      <c r="F2297">
        <f t="shared" si="140"/>
        <v>2024</v>
      </c>
      <c r="G2297">
        <f t="shared" si="141"/>
        <v>1</v>
      </c>
      <c r="H2297">
        <f t="shared" si="142"/>
        <v>0</v>
      </c>
      <c r="I2297" s="6">
        <v>0.35416666666666669</v>
      </c>
      <c r="J2297" s="6">
        <v>0.77638888888888891</v>
      </c>
      <c r="K2297" s="7" t="s">
        <v>13</v>
      </c>
      <c r="L2297" s="7" t="s">
        <v>14</v>
      </c>
      <c r="M2297" s="7" t="s">
        <v>21</v>
      </c>
      <c r="N2297" s="7">
        <f>COUNTIFS(A:A,A2297,D:D,D2297,E:E,I2297)</f>
        <v>0</v>
      </c>
    </row>
    <row r="2298" spans="1:14" x14ac:dyDescent="0.3">
      <c r="A2298" s="7" t="s">
        <v>246</v>
      </c>
      <c r="B2298" s="7" t="s">
        <v>247</v>
      </c>
      <c r="C2298" s="7" t="s">
        <v>64</v>
      </c>
      <c r="D2298" s="8">
        <v>45374</v>
      </c>
      <c r="E2298" s="8" t="str">
        <f t="shared" si="139"/>
        <v>March</v>
      </c>
      <c r="F2298">
        <f t="shared" si="140"/>
        <v>2024</v>
      </c>
      <c r="G2298">
        <f t="shared" si="141"/>
        <v>1</v>
      </c>
      <c r="H2298">
        <f t="shared" si="142"/>
        <v>0</v>
      </c>
      <c r="I2298" s="6">
        <v>0.33680555555555558</v>
      </c>
      <c r="J2298" s="6">
        <v>0.76597222222222228</v>
      </c>
      <c r="K2298" s="7" t="s">
        <v>13</v>
      </c>
      <c r="L2298" s="7" t="s">
        <v>27</v>
      </c>
      <c r="M2298" s="7" t="s">
        <v>15</v>
      </c>
      <c r="N2298" s="7">
        <f>COUNTIFS(A:A,A2298,D:D,D2298,E:E,I2298)</f>
        <v>0</v>
      </c>
    </row>
    <row r="2299" spans="1:14" x14ac:dyDescent="0.3">
      <c r="A2299" s="7" t="s">
        <v>99</v>
      </c>
      <c r="B2299" s="7" t="s">
        <v>100</v>
      </c>
      <c r="C2299" s="7" t="s">
        <v>42</v>
      </c>
      <c r="D2299" s="8">
        <v>45369</v>
      </c>
      <c r="E2299" s="8" t="str">
        <f t="shared" si="139"/>
        <v>March</v>
      </c>
      <c r="F2299">
        <f t="shared" si="140"/>
        <v>2024</v>
      </c>
      <c r="G2299">
        <f t="shared" si="141"/>
        <v>0</v>
      </c>
      <c r="H2299">
        <f t="shared" si="142"/>
        <v>0</v>
      </c>
      <c r="I2299" s="6"/>
      <c r="J2299" s="6"/>
      <c r="K2299" s="7" t="s">
        <v>44</v>
      </c>
      <c r="L2299" s="7" t="s">
        <v>27</v>
      </c>
      <c r="M2299" s="7" t="s">
        <v>15</v>
      </c>
      <c r="N2299" s="7">
        <f>COUNTIFS(A:A,A2299,D:D,D2299,E:E,I2299)</f>
        <v>0</v>
      </c>
    </row>
    <row r="2300" spans="1:14" x14ac:dyDescent="0.3">
      <c r="A2300" s="7" t="s">
        <v>269</v>
      </c>
      <c r="B2300" s="7" t="s">
        <v>270</v>
      </c>
      <c r="C2300" s="7" t="s">
        <v>425</v>
      </c>
      <c r="D2300" s="8">
        <v>45324</v>
      </c>
      <c r="E2300" s="8" t="str">
        <f t="shared" si="139"/>
        <v>February</v>
      </c>
      <c r="F2300">
        <f t="shared" si="140"/>
        <v>2024</v>
      </c>
      <c r="G2300">
        <f t="shared" si="141"/>
        <v>1</v>
      </c>
      <c r="H2300">
        <f t="shared" si="142"/>
        <v>0</v>
      </c>
      <c r="I2300" s="6">
        <v>0.39166666666666666</v>
      </c>
      <c r="J2300" s="6">
        <v>0.7729166666666667</v>
      </c>
      <c r="K2300" s="7" t="s">
        <v>20</v>
      </c>
      <c r="L2300" s="7" t="s">
        <v>14</v>
      </c>
      <c r="M2300" s="7" t="s">
        <v>15</v>
      </c>
      <c r="N2300" s="7">
        <f>COUNTIFS(A:A,A2300,D:D,D2300,E:E,I2300)</f>
        <v>0</v>
      </c>
    </row>
    <row r="2301" spans="1:14" x14ac:dyDescent="0.3">
      <c r="A2301" s="7" t="s">
        <v>197</v>
      </c>
      <c r="B2301" s="7" t="s">
        <v>198</v>
      </c>
      <c r="C2301" s="7" t="s">
        <v>60</v>
      </c>
      <c r="D2301" s="8">
        <v>45377</v>
      </c>
      <c r="E2301" s="8" t="str">
        <f t="shared" si="139"/>
        <v>March</v>
      </c>
      <c r="F2301">
        <f t="shared" si="140"/>
        <v>2024</v>
      </c>
      <c r="G2301">
        <f t="shared" si="141"/>
        <v>0</v>
      </c>
      <c r="H2301">
        <f t="shared" si="142"/>
        <v>0</v>
      </c>
      <c r="I2301" s="6"/>
      <c r="J2301" s="6"/>
      <c r="K2301" s="7" t="s">
        <v>44</v>
      </c>
      <c r="L2301" s="7" t="s">
        <v>14</v>
      </c>
      <c r="M2301" s="7" t="s">
        <v>21</v>
      </c>
      <c r="N2301" s="7">
        <f>COUNTIFS(A:A,A2301,D:D,D2301,E:E,I2301)</f>
        <v>0</v>
      </c>
    </row>
    <row r="2302" spans="1:14" x14ac:dyDescent="0.3">
      <c r="A2302" s="7" t="s">
        <v>78</v>
      </c>
      <c r="B2302" s="7" t="s">
        <v>79</v>
      </c>
      <c r="C2302" s="7" t="s">
        <v>42</v>
      </c>
      <c r="D2302" s="8">
        <v>45306</v>
      </c>
      <c r="E2302" s="8" t="str">
        <f t="shared" si="139"/>
        <v>January</v>
      </c>
      <c r="F2302">
        <f t="shared" si="140"/>
        <v>2024</v>
      </c>
      <c r="G2302">
        <f t="shared" si="141"/>
        <v>1</v>
      </c>
      <c r="H2302">
        <f t="shared" si="142"/>
        <v>0</v>
      </c>
      <c r="I2302" s="6">
        <v>0.47847222222222224</v>
      </c>
      <c r="J2302" s="6">
        <v>0.80138888888888893</v>
      </c>
      <c r="K2302" s="7" t="s">
        <v>20</v>
      </c>
      <c r="L2302" s="7" t="s">
        <v>14</v>
      </c>
      <c r="M2302" s="7" t="s">
        <v>15</v>
      </c>
      <c r="N2302" s="7">
        <f>COUNTIFS(A:A,A2302,D:D,D2302,E:E,I2302)</f>
        <v>0</v>
      </c>
    </row>
    <row r="2303" spans="1:14" x14ac:dyDescent="0.3">
      <c r="A2303" s="7" t="s">
        <v>99</v>
      </c>
      <c r="B2303" s="7" t="s">
        <v>100</v>
      </c>
      <c r="C2303" s="7" t="s">
        <v>60</v>
      </c>
      <c r="D2303" s="8">
        <v>45348</v>
      </c>
      <c r="E2303" s="8" t="str">
        <f t="shared" si="139"/>
        <v>February</v>
      </c>
      <c r="F2303">
        <f t="shared" si="140"/>
        <v>2024</v>
      </c>
      <c r="G2303">
        <f t="shared" si="141"/>
        <v>1</v>
      </c>
      <c r="H2303">
        <f t="shared" si="142"/>
        <v>0</v>
      </c>
      <c r="I2303" s="6">
        <v>0.4375</v>
      </c>
      <c r="J2303" s="6">
        <v>0.72569444444444442</v>
      </c>
      <c r="K2303" s="7" t="s">
        <v>13</v>
      </c>
      <c r="L2303" s="7" t="s">
        <v>14</v>
      </c>
      <c r="M2303" s="7" t="s">
        <v>15</v>
      </c>
      <c r="N2303" s="7">
        <f>COUNTIFS(A:A,A2303,D:D,D2303,E:E,I2303)</f>
        <v>0</v>
      </c>
    </row>
    <row r="2304" spans="1:14" x14ac:dyDescent="0.3">
      <c r="A2304" s="7" t="s">
        <v>81</v>
      </c>
      <c r="B2304" s="7" t="s">
        <v>82</v>
      </c>
      <c r="C2304" s="7" t="s">
        <v>426</v>
      </c>
      <c r="D2304" s="8">
        <v>45373</v>
      </c>
      <c r="E2304" s="8" t="str">
        <f t="shared" si="139"/>
        <v>March</v>
      </c>
      <c r="F2304">
        <f t="shared" si="140"/>
        <v>2024</v>
      </c>
      <c r="G2304">
        <f t="shared" si="141"/>
        <v>1</v>
      </c>
      <c r="H2304">
        <f t="shared" si="142"/>
        <v>0</v>
      </c>
      <c r="I2304" s="6">
        <v>0.41597222222222224</v>
      </c>
      <c r="J2304" s="6">
        <v>0.78611111111111109</v>
      </c>
      <c r="K2304" s="7" t="s">
        <v>20</v>
      </c>
      <c r="L2304" s="7" t="s">
        <v>14</v>
      </c>
      <c r="M2304" s="7" t="s">
        <v>15</v>
      </c>
      <c r="N2304" s="7">
        <f>COUNTIFS(A:A,A2304,D:D,D2304,E:E,I2304)</f>
        <v>0</v>
      </c>
    </row>
    <row r="2305" spans="1:14" x14ac:dyDescent="0.3">
      <c r="A2305" s="7" t="s">
        <v>236</v>
      </c>
      <c r="B2305" s="7" t="s">
        <v>237</v>
      </c>
      <c r="C2305" s="7" t="s">
        <v>42</v>
      </c>
      <c r="D2305" s="8">
        <v>45371</v>
      </c>
      <c r="E2305" s="8" t="str">
        <f t="shared" si="139"/>
        <v>March</v>
      </c>
      <c r="F2305">
        <f t="shared" si="140"/>
        <v>2024</v>
      </c>
      <c r="G2305">
        <f t="shared" si="141"/>
        <v>1</v>
      </c>
      <c r="H2305">
        <f t="shared" si="142"/>
        <v>1</v>
      </c>
      <c r="I2305" s="6">
        <v>0.45763888888888887</v>
      </c>
      <c r="J2305" s="6">
        <v>0.87291666666666667</v>
      </c>
      <c r="K2305" s="7" t="s">
        <v>26</v>
      </c>
      <c r="L2305" s="7" t="s">
        <v>14</v>
      </c>
      <c r="M2305" s="7" t="s">
        <v>15</v>
      </c>
      <c r="N2305" s="7">
        <f>COUNTIFS(A:A,A2305,D:D,D2305,E:E,I2305)</f>
        <v>0</v>
      </c>
    </row>
    <row r="2306" spans="1:14" x14ac:dyDescent="0.3">
      <c r="A2306" s="7" t="s">
        <v>62</v>
      </c>
      <c r="B2306" s="7" t="s">
        <v>63</v>
      </c>
      <c r="C2306" s="7" t="s">
        <v>42</v>
      </c>
      <c r="D2306" s="8">
        <v>45445</v>
      </c>
      <c r="E2306" s="8" t="str">
        <f t="shared" ref="E2306:E2369" si="143">TEXT(D2306,"mmmm")</f>
        <v>June</v>
      </c>
      <c r="F2306">
        <f t="shared" ref="F2306:F2369" si="144">YEAR(D2306)</f>
        <v>2024</v>
      </c>
      <c r="G2306">
        <f t="shared" ref="G2306:G2369" si="145">IF(LOWER(K2306)="absent",0,1)</f>
        <v>1</v>
      </c>
      <c r="H2306">
        <f t="shared" ref="H2306:H2369" si="146">IF(K2306="Late",1,0)</f>
        <v>1</v>
      </c>
      <c r="I2306" s="6">
        <v>0.43888888888888888</v>
      </c>
      <c r="J2306" s="6">
        <v>0.81458333333333333</v>
      </c>
      <c r="K2306" s="7" t="s">
        <v>26</v>
      </c>
      <c r="L2306" s="7" t="s">
        <v>14</v>
      </c>
      <c r="M2306" s="7" t="s">
        <v>21</v>
      </c>
      <c r="N2306" s="7">
        <f>COUNTIFS(A:A,A2306,D:D,D2306,E:E,I2306)</f>
        <v>0</v>
      </c>
    </row>
    <row r="2307" spans="1:14" x14ac:dyDescent="0.3">
      <c r="A2307" s="7" t="s">
        <v>362</v>
      </c>
      <c r="B2307" s="7" t="s">
        <v>363</v>
      </c>
      <c r="C2307" s="7" t="s">
        <v>60</v>
      </c>
      <c r="D2307" s="8">
        <v>45320</v>
      </c>
      <c r="E2307" s="8" t="str">
        <f t="shared" si="143"/>
        <v>January</v>
      </c>
      <c r="F2307">
        <f t="shared" si="144"/>
        <v>2024</v>
      </c>
      <c r="G2307">
        <f t="shared" si="145"/>
        <v>1</v>
      </c>
      <c r="H2307">
        <f t="shared" si="146"/>
        <v>1</v>
      </c>
      <c r="I2307" s="6">
        <v>0.47847222222222224</v>
      </c>
      <c r="J2307" s="6">
        <v>0.87222222222222223</v>
      </c>
      <c r="K2307" s="7" t="s">
        <v>26</v>
      </c>
      <c r="L2307" s="7" t="s">
        <v>14</v>
      </c>
      <c r="M2307" s="7" t="s">
        <v>15</v>
      </c>
      <c r="N2307" s="7">
        <f>COUNTIFS(A:A,A2307,D:D,D2307,E:E,I2307)</f>
        <v>0</v>
      </c>
    </row>
    <row r="2308" spans="1:14" x14ac:dyDescent="0.3">
      <c r="A2308" s="7" t="s">
        <v>224</v>
      </c>
      <c r="B2308" s="7" t="s">
        <v>225</v>
      </c>
      <c r="C2308" s="7" t="s">
        <v>42</v>
      </c>
      <c r="D2308" s="8">
        <v>45347</v>
      </c>
      <c r="E2308" s="8" t="str">
        <f t="shared" si="143"/>
        <v>February</v>
      </c>
      <c r="F2308">
        <f t="shared" si="144"/>
        <v>2024</v>
      </c>
      <c r="G2308">
        <f t="shared" si="145"/>
        <v>1</v>
      </c>
      <c r="H2308">
        <f t="shared" si="146"/>
        <v>1</v>
      </c>
      <c r="I2308" s="6">
        <v>0.39305555555555555</v>
      </c>
      <c r="J2308" s="6">
        <v>0.67569444444444449</v>
      </c>
      <c r="K2308" s="7" t="s">
        <v>26</v>
      </c>
      <c r="L2308" s="7" t="s">
        <v>27</v>
      </c>
      <c r="M2308" s="7" t="s">
        <v>21</v>
      </c>
      <c r="N2308" s="7">
        <f>COUNTIFS(A:A,A2308,D:D,D2308,E:E,I2308)</f>
        <v>0</v>
      </c>
    </row>
    <row r="2309" spans="1:14" x14ac:dyDescent="0.3">
      <c r="A2309" s="7" t="s">
        <v>115</v>
      </c>
      <c r="B2309" s="7" t="s">
        <v>116</v>
      </c>
      <c r="C2309" s="7" t="s">
        <v>64</v>
      </c>
      <c r="D2309" s="8">
        <v>45376</v>
      </c>
      <c r="E2309" s="8" t="str">
        <f t="shared" si="143"/>
        <v>March</v>
      </c>
      <c r="F2309">
        <f t="shared" si="144"/>
        <v>2024</v>
      </c>
      <c r="G2309">
        <f t="shared" si="145"/>
        <v>1</v>
      </c>
      <c r="H2309">
        <f t="shared" si="146"/>
        <v>0</v>
      </c>
      <c r="I2309" s="6">
        <v>0.34166666666666667</v>
      </c>
      <c r="J2309" s="6">
        <v>0.69513888888888886</v>
      </c>
      <c r="K2309" s="7" t="s">
        <v>20</v>
      </c>
      <c r="L2309" s="7" t="s">
        <v>14</v>
      </c>
      <c r="M2309" s="7" t="s">
        <v>21</v>
      </c>
      <c r="N2309" s="7">
        <f>COUNTIFS(A:A,A2309,D:D,D2309,E:E,I2309)</f>
        <v>0</v>
      </c>
    </row>
    <row r="2310" spans="1:14" x14ac:dyDescent="0.3">
      <c r="A2310" s="7" t="s">
        <v>200</v>
      </c>
      <c r="B2310" s="7" t="s">
        <v>201</v>
      </c>
      <c r="C2310" s="7" t="s">
        <v>425</v>
      </c>
      <c r="D2310" s="8">
        <v>45380</v>
      </c>
      <c r="E2310" s="8" t="str">
        <f t="shared" si="143"/>
        <v>March</v>
      </c>
      <c r="F2310">
        <f t="shared" si="144"/>
        <v>2024</v>
      </c>
      <c r="G2310">
        <f t="shared" si="145"/>
        <v>1</v>
      </c>
      <c r="H2310">
        <f t="shared" si="146"/>
        <v>1</v>
      </c>
      <c r="I2310" s="6">
        <v>0.39374999999999999</v>
      </c>
      <c r="J2310" s="6">
        <v>0.86458333333333337</v>
      </c>
      <c r="K2310" s="7" t="s">
        <v>26</v>
      </c>
      <c r="L2310" s="7" t="s">
        <v>14</v>
      </c>
      <c r="M2310" s="7" t="s">
        <v>21</v>
      </c>
      <c r="N2310" s="7">
        <f>COUNTIFS(A:A,A2310,D:D,D2310,E:E,I2310)</f>
        <v>0</v>
      </c>
    </row>
    <row r="2311" spans="1:14" x14ac:dyDescent="0.3">
      <c r="A2311" s="7" t="s">
        <v>109</v>
      </c>
      <c r="B2311" s="7" t="s">
        <v>110</v>
      </c>
      <c r="C2311" s="7" t="s">
        <v>425</v>
      </c>
      <c r="D2311" s="8">
        <v>45338</v>
      </c>
      <c r="E2311" s="8" t="str">
        <f t="shared" si="143"/>
        <v>February</v>
      </c>
      <c r="F2311">
        <f t="shared" si="144"/>
        <v>2024</v>
      </c>
      <c r="G2311">
        <f t="shared" si="145"/>
        <v>1</v>
      </c>
      <c r="H2311">
        <f t="shared" si="146"/>
        <v>0</v>
      </c>
      <c r="I2311" s="6">
        <v>0.43194444444444446</v>
      </c>
      <c r="J2311" s="6">
        <v>0.84513888888888888</v>
      </c>
      <c r="K2311" s="7" t="s">
        <v>20</v>
      </c>
      <c r="L2311" s="7" t="s">
        <v>14</v>
      </c>
      <c r="M2311" s="7" t="s">
        <v>21</v>
      </c>
      <c r="N2311" s="7">
        <f>COUNTIFS(A:A,A2311,D:D,D2311,E:E,I2311)</f>
        <v>0</v>
      </c>
    </row>
    <row r="2312" spans="1:14" x14ac:dyDescent="0.3">
      <c r="A2312" s="7" t="s">
        <v>291</v>
      </c>
      <c r="B2312" s="7" t="s">
        <v>292</v>
      </c>
      <c r="C2312" s="7" t="s">
        <v>60</v>
      </c>
      <c r="D2312" s="8">
        <v>45322</v>
      </c>
      <c r="E2312" s="8" t="str">
        <f t="shared" si="143"/>
        <v>January</v>
      </c>
      <c r="F2312">
        <f t="shared" si="144"/>
        <v>2024</v>
      </c>
      <c r="G2312">
        <f t="shared" si="145"/>
        <v>1</v>
      </c>
      <c r="H2312">
        <f t="shared" si="146"/>
        <v>0</v>
      </c>
      <c r="I2312" s="6">
        <v>0.35</v>
      </c>
      <c r="J2312" s="6">
        <v>0.84236111111111112</v>
      </c>
      <c r="K2312" s="7" t="s">
        <v>13</v>
      </c>
      <c r="L2312" s="7" t="s">
        <v>14</v>
      </c>
      <c r="M2312" s="7" t="s">
        <v>15</v>
      </c>
      <c r="N2312" s="7">
        <f>COUNTIFS(A:A,A2312,D:D,D2312,E:E,I2312)</f>
        <v>0</v>
      </c>
    </row>
    <row r="2313" spans="1:14" x14ac:dyDescent="0.3">
      <c r="A2313" s="7" t="s">
        <v>134</v>
      </c>
      <c r="B2313" s="7" t="s">
        <v>135</v>
      </c>
      <c r="C2313" s="7" t="s">
        <v>425</v>
      </c>
      <c r="D2313" s="8">
        <v>45366</v>
      </c>
      <c r="E2313" s="8" t="str">
        <f t="shared" si="143"/>
        <v>March</v>
      </c>
      <c r="F2313">
        <f t="shared" si="144"/>
        <v>2024</v>
      </c>
      <c r="G2313">
        <f t="shared" si="145"/>
        <v>1</v>
      </c>
      <c r="H2313">
        <f t="shared" si="146"/>
        <v>0</v>
      </c>
      <c r="I2313" s="6">
        <v>0.36944444444444446</v>
      </c>
      <c r="J2313" s="6">
        <v>0.69513888888888886</v>
      </c>
      <c r="K2313" s="7" t="s">
        <v>20</v>
      </c>
      <c r="L2313" s="7" t="s">
        <v>27</v>
      </c>
      <c r="M2313" s="7" t="s">
        <v>21</v>
      </c>
      <c r="N2313" s="7">
        <f>COUNTIFS(A:A,A2313,D:D,D2313,E:E,I2313)</f>
        <v>0</v>
      </c>
    </row>
    <row r="2314" spans="1:14" x14ac:dyDescent="0.3">
      <c r="A2314" s="7" t="s">
        <v>362</v>
      </c>
      <c r="B2314" s="7" t="s">
        <v>363</v>
      </c>
      <c r="C2314" s="7" t="s">
        <v>425</v>
      </c>
      <c r="D2314" s="8">
        <v>45353</v>
      </c>
      <c r="E2314" s="8" t="str">
        <f t="shared" si="143"/>
        <v>March</v>
      </c>
      <c r="F2314">
        <f t="shared" si="144"/>
        <v>2024</v>
      </c>
      <c r="G2314">
        <f t="shared" si="145"/>
        <v>0</v>
      </c>
      <c r="H2314">
        <f t="shared" si="146"/>
        <v>0</v>
      </c>
      <c r="I2314" s="6"/>
      <c r="J2314" s="6"/>
      <c r="K2314" s="7" t="s">
        <v>44</v>
      </c>
      <c r="L2314" s="7" t="s">
        <v>27</v>
      </c>
      <c r="M2314" s="7" t="s">
        <v>21</v>
      </c>
      <c r="N2314" s="7">
        <f>COUNTIFS(A:A,A2314,D:D,D2314,E:E,I2314)</f>
        <v>0</v>
      </c>
    </row>
    <row r="2315" spans="1:14" x14ac:dyDescent="0.3">
      <c r="A2315" s="7" t="s">
        <v>28</v>
      </c>
      <c r="B2315" s="7" t="s">
        <v>29</v>
      </c>
      <c r="C2315" s="7" t="s">
        <v>426</v>
      </c>
      <c r="D2315" s="8">
        <v>45366</v>
      </c>
      <c r="E2315" s="8" t="str">
        <f t="shared" si="143"/>
        <v>March</v>
      </c>
      <c r="F2315">
        <f t="shared" si="144"/>
        <v>2024</v>
      </c>
      <c r="G2315">
        <f t="shared" si="145"/>
        <v>1</v>
      </c>
      <c r="H2315">
        <f t="shared" si="146"/>
        <v>0</v>
      </c>
      <c r="I2315" s="6">
        <v>0.40416666666666667</v>
      </c>
      <c r="J2315" s="6">
        <v>0.77083333333333337</v>
      </c>
      <c r="K2315" s="7" t="s">
        <v>20</v>
      </c>
      <c r="L2315" s="7" t="s">
        <v>27</v>
      </c>
      <c r="M2315" s="7" t="s">
        <v>21</v>
      </c>
      <c r="N2315" s="7">
        <f>COUNTIFS(A:A,A2315,D:D,D2315,E:E,I2315)</f>
        <v>0</v>
      </c>
    </row>
    <row r="2316" spans="1:14" x14ac:dyDescent="0.3">
      <c r="A2316" s="7" t="s">
        <v>16</v>
      </c>
      <c r="B2316" s="7" t="s">
        <v>17</v>
      </c>
      <c r="C2316" s="7" t="s">
        <v>64</v>
      </c>
      <c r="D2316" s="8">
        <v>45369</v>
      </c>
      <c r="E2316" s="8" t="str">
        <f t="shared" si="143"/>
        <v>March</v>
      </c>
      <c r="F2316">
        <f t="shared" si="144"/>
        <v>2024</v>
      </c>
      <c r="G2316">
        <f t="shared" si="145"/>
        <v>1</v>
      </c>
      <c r="H2316">
        <f t="shared" si="146"/>
        <v>0</v>
      </c>
      <c r="I2316" s="6">
        <v>0.47847222222222224</v>
      </c>
      <c r="J2316" s="6">
        <v>0.82013888888888886</v>
      </c>
      <c r="K2316" s="7" t="s">
        <v>20</v>
      </c>
      <c r="L2316" s="7" t="s">
        <v>27</v>
      </c>
      <c r="M2316" s="7" t="s">
        <v>15</v>
      </c>
      <c r="N2316" s="7">
        <f>COUNTIFS(A:A,A2316,D:D,D2316,E:E,I2316)</f>
        <v>0</v>
      </c>
    </row>
    <row r="2317" spans="1:14" x14ac:dyDescent="0.3">
      <c r="A2317" s="7" t="s">
        <v>45</v>
      </c>
      <c r="B2317" s="7" t="s">
        <v>46</v>
      </c>
      <c r="C2317" s="7" t="s">
        <v>64</v>
      </c>
      <c r="D2317" s="8">
        <v>45312</v>
      </c>
      <c r="E2317" s="8" t="str">
        <f t="shared" si="143"/>
        <v>January</v>
      </c>
      <c r="F2317">
        <f t="shared" si="144"/>
        <v>2024</v>
      </c>
      <c r="G2317">
        <f t="shared" si="145"/>
        <v>1</v>
      </c>
      <c r="H2317">
        <f t="shared" si="146"/>
        <v>0</v>
      </c>
      <c r="I2317" s="6">
        <v>0.46180555555555558</v>
      </c>
      <c r="J2317" s="6">
        <v>0.85555555555555551</v>
      </c>
      <c r="K2317" s="7" t="s">
        <v>20</v>
      </c>
      <c r="L2317" s="7" t="s">
        <v>27</v>
      </c>
      <c r="M2317" s="7" t="s">
        <v>21</v>
      </c>
      <c r="N2317" s="7">
        <f>COUNTIFS(A:A,A2317,D:D,D2317,E:E,I2317)</f>
        <v>0</v>
      </c>
    </row>
    <row r="2318" spans="1:14" x14ac:dyDescent="0.3">
      <c r="A2318" s="7" t="s">
        <v>191</v>
      </c>
      <c r="B2318" s="7" t="s">
        <v>192</v>
      </c>
      <c r="C2318" s="7" t="s">
        <v>42</v>
      </c>
      <c r="D2318" s="8">
        <v>45319</v>
      </c>
      <c r="E2318" s="8" t="str">
        <f t="shared" si="143"/>
        <v>January</v>
      </c>
      <c r="F2318">
        <f t="shared" si="144"/>
        <v>2024</v>
      </c>
      <c r="G2318">
        <f t="shared" si="145"/>
        <v>1</v>
      </c>
      <c r="H2318">
        <f t="shared" si="146"/>
        <v>1</v>
      </c>
      <c r="I2318" s="6">
        <v>0.48888888888888887</v>
      </c>
      <c r="J2318" s="6">
        <v>0.79166666666666663</v>
      </c>
      <c r="K2318" s="7" t="s">
        <v>26</v>
      </c>
      <c r="L2318" s="7" t="s">
        <v>27</v>
      </c>
      <c r="M2318" s="7" t="s">
        <v>21</v>
      </c>
      <c r="N2318" s="7">
        <f>COUNTIFS(A:A,A2318,D:D,D2318,E:E,I2318)</f>
        <v>0</v>
      </c>
    </row>
    <row r="2319" spans="1:14" x14ac:dyDescent="0.3">
      <c r="A2319" s="7" t="s">
        <v>69</v>
      </c>
      <c r="B2319" s="7" t="s">
        <v>70</v>
      </c>
      <c r="C2319" s="7" t="s">
        <v>60</v>
      </c>
      <c r="D2319" s="8">
        <v>45506</v>
      </c>
      <c r="E2319" s="8" t="str">
        <f t="shared" si="143"/>
        <v>August</v>
      </c>
      <c r="F2319">
        <f t="shared" si="144"/>
        <v>2024</v>
      </c>
      <c r="G2319">
        <f t="shared" si="145"/>
        <v>1</v>
      </c>
      <c r="H2319">
        <f t="shared" si="146"/>
        <v>1</v>
      </c>
      <c r="I2319" s="6">
        <v>0.44374999999999998</v>
      </c>
      <c r="J2319" s="6">
        <v>0.85833333333333328</v>
      </c>
      <c r="K2319" s="7" t="s">
        <v>26</v>
      </c>
      <c r="L2319" s="7" t="s">
        <v>14</v>
      </c>
      <c r="M2319" s="7" t="s">
        <v>15</v>
      </c>
      <c r="N2319" s="7">
        <f>COUNTIFS(A:A,A2319,D:D,D2319,E:E,I2319)</f>
        <v>0</v>
      </c>
    </row>
    <row r="2320" spans="1:14" x14ac:dyDescent="0.3">
      <c r="A2320" s="7" t="s">
        <v>200</v>
      </c>
      <c r="B2320" s="7" t="s">
        <v>201</v>
      </c>
      <c r="C2320" s="7" t="s">
        <v>64</v>
      </c>
      <c r="D2320" s="8">
        <v>45351</v>
      </c>
      <c r="E2320" s="8" t="str">
        <f t="shared" si="143"/>
        <v>February</v>
      </c>
      <c r="F2320">
        <f t="shared" si="144"/>
        <v>2024</v>
      </c>
      <c r="G2320">
        <f t="shared" si="145"/>
        <v>0</v>
      </c>
      <c r="H2320">
        <f t="shared" si="146"/>
        <v>0</v>
      </c>
      <c r="I2320" s="6"/>
      <c r="J2320" s="6"/>
      <c r="K2320" s="7" t="s">
        <v>44</v>
      </c>
      <c r="L2320" s="7" t="s">
        <v>27</v>
      </c>
      <c r="M2320" s="7" t="s">
        <v>21</v>
      </c>
      <c r="N2320" s="7">
        <f>COUNTIFS(A:A,A2320,D:D,D2320,E:E,I2320)</f>
        <v>0</v>
      </c>
    </row>
    <row r="2321" spans="1:14" x14ac:dyDescent="0.3">
      <c r="A2321" s="7" t="s">
        <v>194</v>
      </c>
      <c r="B2321" s="7" t="s">
        <v>195</v>
      </c>
      <c r="C2321" s="7" t="s">
        <v>60</v>
      </c>
      <c r="D2321" s="8">
        <v>45377</v>
      </c>
      <c r="E2321" s="8" t="str">
        <f t="shared" si="143"/>
        <v>March</v>
      </c>
      <c r="F2321">
        <f t="shared" si="144"/>
        <v>2024</v>
      </c>
      <c r="G2321">
        <f t="shared" si="145"/>
        <v>1</v>
      </c>
      <c r="H2321">
        <f t="shared" si="146"/>
        <v>0</v>
      </c>
      <c r="I2321" s="6">
        <v>0.43125000000000002</v>
      </c>
      <c r="J2321" s="6">
        <v>0.77500000000000002</v>
      </c>
      <c r="K2321" s="7" t="s">
        <v>13</v>
      </c>
      <c r="L2321" s="7" t="s">
        <v>27</v>
      </c>
      <c r="M2321" s="7" t="s">
        <v>21</v>
      </c>
      <c r="N2321" s="7">
        <f>COUNTIFS(A:A,A2321,D:D,D2321,E:E,I2321)</f>
        <v>0</v>
      </c>
    </row>
    <row r="2322" spans="1:14" x14ac:dyDescent="0.3">
      <c r="A2322" s="7" t="s">
        <v>187</v>
      </c>
      <c r="B2322" s="7" t="s">
        <v>188</v>
      </c>
      <c r="C2322" s="7" t="s">
        <v>60</v>
      </c>
      <c r="D2322" s="8">
        <v>45370</v>
      </c>
      <c r="E2322" s="8" t="str">
        <f t="shared" si="143"/>
        <v>March</v>
      </c>
      <c r="F2322">
        <f t="shared" si="144"/>
        <v>2024</v>
      </c>
      <c r="G2322">
        <f t="shared" si="145"/>
        <v>1</v>
      </c>
      <c r="H2322">
        <f t="shared" si="146"/>
        <v>0</v>
      </c>
      <c r="I2322" s="6">
        <v>0.42777777777777776</v>
      </c>
      <c r="J2322" s="6">
        <v>0.81805555555555554</v>
      </c>
      <c r="K2322" s="7" t="s">
        <v>20</v>
      </c>
      <c r="L2322" s="7" t="s">
        <v>14</v>
      </c>
      <c r="M2322" s="7" t="s">
        <v>15</v>
      </c>
      <c r="N2322" s="7">
        <f>COUNTIFS(A:A,A2322,D:D,D2322,E:E,I2322)</f>
        <v>0</v>
      </c>
    </row>
    <row r="2323" spans="1:14" x14ac:dyDescent="0.3">
      <c r="A2323" s="7" t="s">
        <v>291</v>
      </c>
      <c r="B2323" s="7" t="s">
        <v>292</v>
      </c>
      <c r="C2323" s="7" t="s">
        <v>60</v>
      </c>
      <c r="D2323" s="8">
        <v>45322</v>
      </c>
      <c r="E2323" s="8" t="str">
        <f t="shared" si="143"/>
        <v>January</v>
      </c>
      <c r="F2323">
        <f t="shared" si="144"/>
        <v>2024</v>
      </c>
      <c r="G2323">
        <f t="shared" si="145"/>
        <v>0</v>
      </c>
      <c r="H2323">
        <f t="shared" si="146"/>
        <v>0</v>
      </c>
      <c r="I2323" s="6"/>
      <c r="J2323" s="6"/>
      <c r="K2323" s="7" t="s">
        <v>44</v>
      </c>
      <c r="L2323" s="7" t="s">
        <v>27</v>
      </c>
      <c r="M2323" s="7" t="s">
        <v>15</v>
      </c>
      <c r="N2323" s="7">
        <f>COUNTIFS(A:A,A2323,D:D,D2323,E:E,I2323)</f>
        <v>0</v>
      </c>
    </row>
    <row r="2324" spans="1:14" x14ac:dyDescent="0.3">
      <c r="A2324" s="7" t="s">
        <v>34</v>
      </c>
      <c r="B2324" s="7" t="s">
        <v>35</v>
      </c>
      <c r="C2324" s="7" t="s">
        <v>426</v>
      </c>
      <c r="D2324" s="8">
        <v>45319</v>
      </c>
      <c r="E2324" s="8" t="str">
        <f t="shared" si="143"/>
        <v>January</v>
      </c>
      <c r="F2324">
        <f t="shared" si="144"/>
        <v>2024</v>
      </c>
      <c r="G2324">
        <f t="shared" si="145"/>
        <v>0</v>
      </c>
      <c r="H2324">
        <f t="shared" si="146"/>
        <v>0</v>
      </c>
      <c r="I2324" s="6"/>
      <c r="J2324" s="6"/>
      <c r="K2324" s="7" t="s">
        <v>44</v>
      </c>
      <c r="L2324" s="7" t="s">
        <v>14</v>
      </c>
      <c r="M2324" s="7" t="s">
        <v>15</v>
      </c>
      <c r="N2324" s="7">
        <f>COUNTIFS(A:A,A2324,D:D,D2324,E:E,I2324)</f>
        <v>0</v>
      </c>
    </row>
    <row r="2325" spans="1:14" x14ac:dyDescent="0.3">
      <c r="A2325" s="7" t="s">
        <v>338</v>
      </c>
      <c r="B2325" s="7" t="s">
        <v>339</v>
      </c>
      <c r="C2325" s="7" t="s">
        <v>42</v>
      </c>
      <c r="D2325" s="8">
        <v>45376</v>
      </c>
      <c r="E2325" s="8" t="str">
        <f t="shared" si="143"/>
        <v>March</v>
      </c>
      <c r="F2325">
        <f t="shared" si="144"/>
        <v>2024</v>
      </c>
      <c r="G2325">
        <f t="shared" si="145"/>
        <v>1</v>
      </c>
      <c r="H2325">
        <f t="shared" si="146"/>
        <v>1</v>
      </c>
      <c r="I2325" s="6">
        <v>0.35694444444444445</v>
      </c>
      <c r="J2325" s="6">
        <v>0.73472222222222228</v>
      </c>
      <c r="K2325" s="7" t="s">
        <v>26</v>
      </c>
      <c r="L2325" s="7" t="s">
        <v>14</v>
      </c>
      <c r="M2325" s="7" t="s">
        <v>15</v>
      </c>
      <c r="N2325" s="7">
        <f>COUNTIFS(A:A,A2325,D:D,D2325,E:E,I2325)</f>
        <v>0</v>
      </c>
    </row>
    <row r="2326" spans="1:14" x14ac:dyDescent="0.3">
      <c r="A2326" s="7" t="s">
        <v>119</v>
      </c>
      <c r="B2326" s="7" t="s">
        <v>120</v>
      </c>
      <c r="C2326" s="7" t="s">
        <v>426</v>
      </c>
      <c r="D2326" s="8">
        <v>45366</v>
      </c>
      <c r="E2326" s="8" t="str">
        <f t="shared" si="143"/>
        <v>March</v>
      </c>
      <c r="F2326">
        <f t="shared" si="144"/>
        <v>2024</v>
      </c>
      <c r="G2326">
        <f t="shared" si="145"/>
        <v>1</v>
      </c>
      <c r="H2326">
        <f t="shared" si="146"/>
        <v>0</v>
      </c>
      <c r="I2326" s="6">
        <v>0.41944444444444445</v>
      </c>
      <c r="J2326" s="6">
        <v>0.83819444444444446</v>
      </c>
      <c r="K2326" s="7" t="s">
        <v>20</v>
      </c>
      <c r="L2326" s="7" t="s">
        <v>27</v>
      </c>
      <c r="M2326" s="7" t="s">
        <v>15</v>
      </c>
      <c r="N2326" s="7">
        <f>COUNTIFS(A:A,A2326,D:D,D2326,E:E,I2326)</f>
        <v>0</v>
      </c>
    </row>
    <row r="2327" spans="1:14" x14ac:dyDescent="0.3">
      <c r="A2327" s="7" t="s">
        <v>236</v>
      </c>
      <c r="B2327" s="7" t="s">
        <v>237</v>
      </c>
      <c r="C2327" s="7" t="s">
        <v>64</v>
      </c>
      <c r="D2327" s="8">
        <v>45366</v>
      </c>
      <c r="E2327" s="8" t="str">
        <f t="shared" si="143"/>
        <v>March</v>
      </c>
      <c r="F2327">
        <f t="shared" si="144"/>
        <v>2024</v>
      </c>
      <c r="G2327">
        <f t="shared" si="145"/>
        <v>1</v>
      </c>
      <c r="H2327">
        <f t="shared" si="146"/>
        <v>1</v>
      </c>
      <c r="I2327" s="6">
        <v>0.45277777777777778</v>
      </c>
      <c r="J2327" s="6">
        <v>0.76111111111111107</v>
      </c>
      <c r="K2327" s="7" t="s">
        <v>26</v>
      </c>
      <c r="L2327" s="7" t="s">
        <v>27</v>
      </c>
      <c r="M2327" s="7" t="s">
        <v>21</v>
      </c>
      <c r="N2327" s="7">
        <f>COUNTIFS(A:A,A2327,D:D,D2327,E:E,I2327)</f>
        <v>0</v>
      </c>
    </row>
    <row r="2328" spans="1:14" x14ac:dyDescent="0.3">
      <c r="A2328" s="7" t="s">
        <v>141</v>
      </c>
      <c r="B2328" s="7" t="s">
        <v>142</v>
      </c>
      <c r="C2328" s="7" t="s">
        <v>60</v>
      </c>
      <c r="D2328" s="8">
        <v>45312</v>
      </c>
      <c r="E2328" s="8" t="str">
        <f t="shared" si="143"/>
        <v>January</v>
      </c>
      <c r="F2328">
        <f t="shared" si="144"/>
        <v>2024</v>
      </c>
      <c r="G2328">
        <f t="shared" si="145"/>
        <v>1</v>
      </c>
      <c r="H2328">
        <f t="shared" si="146"/>
        <v>1</v>
      </c>
      <c r="I2328" s="6">
        <v>0.37569444444444444</v>
      </c>
      <c r="J2328" s="6">
        <v>0.75138888888888888</v>
      </c>
      <c r="K2328" s="7" t="s">
        <v>26</v>
      </c>
      <c r="L2328" s="7" t="s">
        <v>27</v>
      </c>
      <c r="M2328" s="7" t="s">
        <v>15</v>
      </c>
      <c r="N2328" s="7">
        <f>COUNTIFS(A:A,A2328,D:D,D2328,E:E,I2328)</f>
        <v>0</v>
      </c>
    </row>
    <row r="2329" spans="1:14" x14ac:dyDescent="0.3">
      <c r="A2329" s="7" t="s">
        <v>78</v>
      </c>
      <c r="B2329" s="7" t="s">
        <v>79</v>
      </c>
      <c r="C2329" s="7" t="s">
        <v>64</v>
      </c>
      <c r="D2329" s="8">
        <v>45378</v>
      </c>
      <c r="E2329" s="8" t="str">
        <f t="shared" si="143"/>
        <v>March</v>
      </c>
      <c r="F2329">
        <f t="shared" si="144"/>
        <v>2024</v>
      </c>
      <c r="G2329">
        <f t="shared" si="145"/>
        <v>0</v>
      </c>
      <c r="H2329">
        <f t="shared" si="146"/>
        <v>0</v>
      </c>
      <c r="I2329" s="6"/>
      <c r="J2329" s="6"/>
      <c r="K2329" s="7" t="s">
        <v>44</v>
      </c>
      <c r="L2329" s="7" t="s">
        <v>14</v>
      </c>
      <c r="M2329" s="7" t="s">
        <v>21</v>
      </c>
      <c r="N2329" s="7">
        <f>COUNTIFS(A:A,A2329,D:D,D2329,E:E,I2329)</f>
        <v>0</v>
      </c>
    </row>
    <row r="2330" spans="1:14" x14ac:dyDescent="0.3">
      <c r="A2330" s="7" t="s">
        <v>338</v>
      </c>
      <c r="B2330" s="7" t="s">
        <v>339</v>
      </c>
      <c r="C2330" s="7" t="s">
        <v>425</v>
      </c>
      <c r="D2330" s="8">
        <v>45375</v>
      </c>
      <c r="E2330" s="8" t="str">
        <f t="shared" si="143"/>
        <v>March</v>
      </c>
      <c r="F2330">
        <f t="shared" si="144"/>
        <v>2024</v>
      </c>
      <c r="G2330">
        <f t="shared" si="145"/>
        <v>1</v>
      </c>
      <c r="H2330">
        <f t="shared" si="146"/>
        <v>0</v>
      </c>
      <c r="I2330" s="6">
        <v>0.45763888888888887</v>
      </c>
      <c r="J2330" s="6">
        <v>0.86875000000000002</v>
      </c>
      <c r="K2330" s="7" t="s">
        <v>13</v>
      </c>
      <c r="L2330" s="7" t="s">
        <v>14</v>
      </c>
      <c r="M2330" s="7" t="s">
        <v>21</v>
      </c>
      <c r="N2330" s="7">
        <f>COUNTIFS(A:A,A2330,D:D,D2330,E:E,I2330)</f>
        <v>0</v>
      </c>
    </row>
    <row r="2331" spans="1:14" x14ac:dyDescent="0.3">
      <c r="A2331" s="7" t="s">
        <v>246</v>
      </c>
      <c r="B2331" s="7" t="s">
        <v>247</v>
      </c>
      <c r="C2331" s="7" t="s">
        <v>60</v>
      </c>
      <c r="D2331" s="8">
        <v>45381</v>
      </c>
      <c r="E2331" s="8" t="str">
        <f t="shared" si="143"/>
        <v>March</v>
      </c>
      <c r="F2331">
        <f t="shared" si="144"/>
        <v>2024</v>
      </c>
      <c r="G2331">
        <f t="shared" si="145"/>
        <v>1</v>
      </c>
      <c r="H2331">
        <f t="shared" si="146"/>
        <v>0</v>
      </c>
      <c r="I2331" s="6">
        <v>0.44166666666666665</v>
      </c>
      <c r="J2331" s="6">
        <v>0.72499999999999998</v>
      </c>
      <c r="K2331" s="7" t="s">
        <v>20</v>
      </c>
      <c r="L2331" s="7" t="s">
        <v>14</v>
      </c>
      <c r="M2331" s="7" t="s">
        <v>15</v>
      </c>
      <c r="N2331" s="7">
        <f>COUNTIFS(A:A,A2331,D:D,D2331,E:E,I2331)</f>
        <v>0</v>
      </c>
    </row>
    <row r="2332" spans="1:14" x14ac:dyDescent="0.3">
      <c r="A2332" s="7" t="s">
        <v>141</v>
      </c>
      <c r="B2332" s="7" t="s">
        <v>142</v>
      </c>
      <c r="C2332" s="7" t="s">
        <v>60</v>
      </c>
      <c r="D2332" s="8">
        <v>45373</v>
      </c>
      <c r="E2332" s="8" t="str">
        <f t="shared" si="143"/>
        <v>March</v>
      </c>
      <c r="F2332">
        <f t="shared" si="144"/>
        <v>2024</v>
      </c>
      <c r="G2332">
        <f t="shared" si="145"/>
        <v>1</v>
      </c>
      <c r="H2332">
        <f t="shared" si="146"/>
        <v>1</v>
      </c>
      <c r="I2332" s="6">
        <v>0.34652777777777777</v>
      </c>
      <c r="J2332" s="6">
        <v>0.71875</v>
      </c>
      <c r="K2332" s="7" t="s">
        <v>26</v>
      </c>
      <c r="L2332" s="7" t="s">
        <v>27</v>
      </c>
      <c r="M2332" s="7" t="s">
        <v>15</v>
      </c>
      <c r="N2332" s="7">
        <f>COUNTIFS(A:A,A2332,D:D,D2332,E:E,I2332)</f>
        <v>0</v>
      </c>
    </row>
    <row r="2333" spans="1:14" x14ac:dyDescent="0.3">
      <c r="A2333" s="7" t="s">
        <v>157</v>
      </c>
      <c r="B2333" s="7" t="s">
        <v>158</v>
      </c>
      <c r="C2333" s="7" t="s">
        <v>42</v>
      </c>
      <c r="D2333" s="8">
        <v>45536</v>
      </c>
      <c r="E2333" s="8" t="str">
        <f t="shared" si="143"/>
        <v>September</v>
      </c>
      <c r="F2333">
        <f t="shared" si="144"/>
        <v>2024</v>
      </c>
      <c r="G2333">
        <f t="shared" si="145"/>
        <v>1</v>
      </c>
      <c r="H2333">
        <f t="shared" si="146"/>
        <v>0</v>
      </c>
      <c r="I2333" s="6">
        <v>0.42708333333333331</v>
      </c>
      <c r="J2333" s="6">
        <v>0.78194444444444444</v>
      </c>
      <c r="K2333" s="7" t="s">
        <v>13</v>
      </c>
      <c r="L2333" s="7" t="s">
        <v>14</v>
      </c>
      <c r="M2333" s="7" t="s">
        <v>15</v>
      </c>
      <c r="N2333" s="7">
        <f>COUNTIFS(A:A,A2333,D:D,D2333,E:E,I2333)</f>
        <v>0</v>
      </c>
    </row>
    <row r="2334" spans="1:14" x14ac:dyDescent="0.3">
      <c r="A2334" s="7" t="s">
        <v>72</v>
      </c>
      <c r="B2334" s="7" t="s">
        <v>73</v>
      </c>
      <c r="C2334" s="7" t="s">
        <v>425</v>
      </c>
      <c r="D2334" s="8">
        <v>45315</v>
      </c>
      <c r="E2334" s="8" t="str">
        <f t="shared" si="143"/>
        <v>January</v>
      </c>
      <c r="F2334">
        <f t="shared" si="144"/>
        <v>2024</v>
      </c>
      <c r="G2334">
        <f t="shared" si="145"/>
        <v>1</v>
      </c>
      <c r="H2334">
        <f t="shared" si="146"/>
        <v>0</v>
      </c>
      <c r="I2334" s="6">
        <v>0.44791666666666669</v>
      </c>
      <c r="J2334" s="6">
        <v>0.83263888888888893</v>
      </c>
      <c r="K2334" s="7" t="s">
        <v>20</v>
      </c>
      <c r="L2334" s="7" t="s">
        <v>14</v>
      </c>
      <c r="M2334" s="7" t="s">
        <v>15</v>
      </c>
      <c r="N2334" s="7">
        <f>COUNTIFS(A:A,A2334,D:D,D2334,E:E,I2334)</f>
        <v>0</v>
      </c>
    </row>
    <row r="2335" spans="1:14" x14ac:dyDescent="0.3">
      <c r="A2335" s="7" t="s">
        <v>115</v>
      </c>
      <c r="B2335" s="7" t="s">
        <v>116</v>
      </c>
      <c r="C2335" s="7" t="s">
        <v>64</v>
      </c>
      <c r="D2335" s="8">
        <v>45376</v>
      </c>
      <c r="E2335" s="8" t="str">
        <f t="shared" si="143"/>
        <v>March</v>
      </c>
      <c r="F2335">
        <f t="shared" si="144"/>
        <v>2024</v>
      </c>
      <c r="G2335">
        <f t="shared" si="145"/>
        <v>1</v>
      </c>
      <c r="H2335">
        <f t="shared" si="146"/>
        <v>1</v>
      </c>
      <c r="I2335" s="6">
        <v>0.35972222222222222</v>
      </c>
      <c r="J2335" s="6">
        <v>0.72916666666666663</v>
      </c>
      <c r="K2335" s="7" t="s">
        <v>26</v>
      </c>
      <c r="L2335" s="7" t="s">
        <v>27</v>
      </c>
      <c r="M2335" s="7" t="s">
        <v>15</v>
      </c>
      <c r="N2335" s="7">
        <f>COUNTIFS(A:A,A2335,D:D,D2335,E:E,I2335)</f>
        <v>0</v>
      </c>
    </row>
    <row r="2336" spans="1:14" x14ac:dyDescent="0.3">
      <c r="A2336" s="7" t="s">
        <v>112</v>
      </c>
      <c r="B2336" s="7" t="s">
        <v>113</v>
      </c>
      <c r="C2336" s="7" t="s">
        <v>425</v>
      </c>
      <c r="D2336" s="8">
        <v>45476</v>
      </c>
      <c r="E2336" s="8" t="str">
        <f t="shared" si="143"/>
        <v>July</v>
      </c>
      <c r="F2336">
        <f t="shared" si="144"/>
        <v>2024</v>
      </c>
      <c r="G2336">
        <f t="shared" si="145"/>
        <v>1</v>
      </c>
      <c r="H2336">
        <f t="shared" si="146"/>
        <v>0</v>
      </c>
      <c r="I2336" s="6">
        <v>0.46180555555555558</v>
      </c>
      <c r="J2336" s="6">
        <v>0.76666666666666672</v>
      </c>
      <c r="K2336" s="7" t="s">
        <v>20</v>
      </c>
      <c r="L2336" s="7" t="s">
        <v>14</v>
      </c>
      <c r="M2336" s="7" t="s">
        <v>21</v>
      </c>
      <c r="N2336" s="7">
        <f>COUNTIFS(A:A,A2336,D:D,D2336,E:E,I2336)</f>
        <v>0</v>
      </c>
    </row>
    <row r="2337" spans="1:14" x14ac:dyDescent="0.3">
      <c r="A2337" s="7" t="s">
        <v>246</v>
      </c>
      <c r="B2337" s="7" t="s">
        <v>247</v>
      </c>
      <c r="C2337" s="7" t="s">
        <v>60</v>
      </c>
      <c r="D2337" s="8">
        <v>45376</v>
      </c>
      <c r="E2337" s="8" t="str">
        <f t="shared" si="143"/>
        <v>March</v>
      </c>
      <c r="F2337">
        <f t="shared" si="144"/>
        <v>2024</v>
      </c>
      <c r="G2337">
        <f t="shared" si="145"/>
        <v>0</v>
      </c>
      <c r="H2337">
        <f t="shared" si="146"/>
        <v>0</v>
      </c>
      <c r="I2337" s="6"/>
      <c r="J2337" s="6"/>
      <c r="K2337" s="7" t="s">
        <v>44</v>
      </c>
      <c r="L2337" s="7" t="s">
        <v>14</v>
      </c>
      <c r="M2337" s="7" t="s">
        <v>21</v>
      </c>
      <c r="N2337" s="7">
        <f>COUNTIFS(A:A,A2337,D:D,D2337,E:E,I2337)</f>
        <v>0</v>
      </c>
    </row>
    <row r="2338" spans="1:14" x14ac:dyDescent="0.3">
      <c r="A2338" s="7" t="s">
        <v>34</v>
      </c>
      <c r="B2338" s="7" t="s">
        <v>35</v>
      </c>
      <c r="C2338" s="7" t="s">
        <v>426</v>
      </c>
      <c r="D2338" s="8">
        <v>45413</v>
      </c>
      <c r="E2338" s="8" t="str">
        <f t="shared" si="143"/>
        <v>May</v>
      </c>
      <c r="F2338">
        <f t="shared" si="144"/>
        <v>2024</v>
      </c>
      <c r="G2338">
        <f t="shared" si="145"/>
        <v>0</v>
      </c>
      <c r="H2338">
        <f t="shared" si="146"/>
        <v>0</v>
      </c>
      <c r="I2338" s="6"/>
      <c r="J2338" s="6"/>
      <c r="K2338" s="7" t="s">
        <v>44</v>
      </c>
      <c r="L2338" s="7" t="s">
        <v>14</v>
      </c>
      <c r="M2338" s="7" t="s">
        <v>15</v>
      </c>
      <c r="N2338" s="7">
        <f>COUNTIFS(A:A,A2338,D:D,D2338,E:E,I2338)</f>
        <v>0</v>
      </c>
    </row>
    <row r="2339" spans="1:14" x14ac:dyDescent="0.3">
      <c r="A2339" s="7" t="s">
        <v>84</v>
      </c>
      <c r="B2339" s="7" t="s">
        <v>85</v>
      </c>
      <c r="C2339" s="7" t="s">
        <v>42</v>
      </c>
      <c r="D2339" s="8">
        <v>45320</v>
      </c>
      <c r="E2339" s="8" t="str">
        <f t="shared" si="143"/>
        <v>January</v>
      </c>
      <c r="F2339">
        <f t="shared" si="144"/>
        <v>2024</v>
      </c>
      <c r="G2339">
        <f t="shared" si="145"/>
        <v>1</v>
      </c>
      <c r="H2339">
        <f t="shared" si="146"/>
        <v>0</v>
      </c>
      <c r="I2339" s="6">
        <v>0.44791666666666669</v>
      </c>
      <c r="J2339" s="6">
        <v>0.86250000000000004</v>
      </c>
      <c r="K2339" s="7" t="s">
        <v>20</v>
      </c>
      <c r="L2339" s="7" t="s">
        <v>14</v>
      </c>
      <c r="M2339" s="7" t="s">
        <v>15</v>
      </c>
      <c r="N2339" s="7">
        <f>COUNTIFS(A:A,A2339,D:D,D2339,E:E,I2339)</f>
        <v>0</v>
      </c>
    </row>
    <row r="2340" spans="1:14" x14ac:dyDescent="0.3">
      <c r="A2340" s="7" t="s">
        <v>291</v>
      </c>
      <c r="B2340" s="7" t="s">
        <v>292</v>
      </c>
      <c r="C2340" s="7" t="s">
        <v>64</v>
      </c>
      <c r="D2340" s="8">
        <v>45324</v>
      </c>
      <c r="E2340" s="8" t="str">
        <f t="shared" si="143"/>
        <v>February</v>
      </c>
      <c r="F2340">
        <f t="shared" si="144"/>
        <v>2024</v>
      </c>
      <c r="G2340">
        <f t="shared" si="145"/>
        <v>1</v>
      </c>
      <c r="H2340">
        <f t="shared" si="146"/>
        <v>0</v>
      </c>
      <c r="I2340" s="6">
        <v>0.43194444444444446</v>
      </c>
      <c r="J2340" s="6">
        <v>0.74583333333333335</v>
      </c>
      <c r="K2340" s="7" t="s">
        <v>13</v>
      </c>
      <c r="L2340" s="7" t="s">
        <v>14</v>
      </c>
      <c r="M2340" s="7" t="s">
        <v>21</v>
      </c>
      <c r="N2340" s="7">
        <f>COUNTIFS(A:A,A2340,D:D,D2340,E:E,I2340)</f>
        <v>0</v>
      </c>
    </row>
    <row r="2341" spans="1:14" x14ac:dyDescent="0.3">
      <c r="A2341" s="7" t="s">
        <v>16</v>
      </c>
      <c r="B2341" s="7" t="s">
        <v>17</v>
      </c>
      <c r="C2341" s="7" t="s">
        <v>42</v>
      </c>
      <c r="D2341" s="8">
        <v>45536</v>
      </c>
      <c r="E2341" s="8" t="str">
        <f t="shared" si="143"/>
        <v>September</v>
      </c>
      <c r="F2341">
        <f t="shared" si="144"/>
        <v>2024</v>
      </c>
      <c r="G2341">
        <f t="shared" si="145"/>
        <v>1</v>
      </c>
      <c r="H2341">
        <f t="shared" si="146"/>
        <v>1</v>
      </c>
      <c r="I2341" s="6">
        <v>0.44166666666666665</v>
      </c>
      <c r="J2341" s="6">
        <v>0.74652777777777779</v>
      </c>
      <c r="K2341" s="7" t="s">
        <v>26</v>
      </c>
      <c r="L2341" s="7" t="s">
        <v>14</v>
      </c>
      <c r="M2341" s="7" t="s">
        <v>21</v>
      </c>
      <c r="N2341" s="7">
        <f>COUNTIFS(A:A,A2341,D:D,D2341,E:E,I2341)</f>
        <v>0</v>
      </c>
    </row>
    <row r="2342" spans="1:14" x14ac:dyDescent="0.3">
      <c r="A2342" s="7" t="s">
        <v>157</v>
      </c>
      <c r="B2342" s="7" t="s">
        <v>158</v>
      </c>
      <c r="C2342" s="7" t="s">
        <v>425</v>
      </c>
      <c r="D2342" s="8">
        <v>45304</v>
      </c>
      <c r="E2342" s="8" t="str">
        <f t="shared" si="143"/>
        <v>January</v>
      </c>
      <c r="F2342">
        <f t="shared" si="144"/>
        <v>2024</v>
      </c>
      <c r="G2342">
        <f t="shared" si="145"/>
        <v>1</v>
      </c>
      <c r="H2342">
        <f t="shared" si="146"/>
        <v>0</v>
      </c>
      <c r="I2342" s="6">
        <v>0.4152777777777778</v>
      </c>
      <c r="J2342" s="6">
        <v>0.81736111111111109</v>
      </c>
      <c r="K2342" s="7" t="s">
        <v>13</v>
      </c>
      <c r="L2342" s="7" t="s">
        <v>27</v>
      </c>
      <c r="M2342" s="7" t="s">
        <v>21</v>
      </c>
      <c r="N2342" s="7">
        <f>COUNTIFS(A:A,A2342,D:D,D2342,E:E,I2342)</f>
        <v>0</v>
      </c>
    </row>
    <row r="2343" spans="1:14" x14ac:dyDescent="0.3">
      <c r="A2343" s="7" t="s">
        <v>150</v>
      </c>
      <c r="B2343" s="7" t="s">
        <v>151</v>
      </c>
      <c r="C2343" s="7" t="s">
        <v>426</v>
      </c>
      <c r="D2343" s="8">
        <v>45316</v>
      </c>
      <c r="E2343" s="8" t="str">
        <f t="shared" si="143"/>
        <v>January</v>
      </c>
      <c r="F2343">
        <f t="shared" si="144"/>
        <v>2024</v>
      </c>
      <c r="G2343">
        <f t="shared" si="145"/>
        <v>1</v>
      </c>
      <c r="H2343">
        <f t="shared" si="146"/>
        <v>1</v>
      </c>
      <c r="I2343" s="6">
        <v>0.38055555555555554</v>
      </c>
      <c r="J2343" s="6">
        <v>0.76041666666666663</v>
      </c>
      <c r="K2343" s="7" t="s">
        <v>26</v>
      </c>
      <c r="L2343" s="7" t="s">
        <v>27</v>
      </c>
      <c r="M2343" s="7" t="s">
        <v>15</v>
      </c>
      <c r="N2343" s="7">
        <f>COUNTIFS(A:A,A2343,D:D,D2343,E:E,I2343)</f>
        <v>0</v>
      </c>
    </row>
    <row r="2344" spans="1:14" x14ac:dyDescent="0.3">
      <c r="A2344" s="7" t="s">
        <v>40</v>
      </c>
      <c r="B2344" s="7" t="s">
        <v>41</v>
      </c>
      <c r="C2344" s="7" t="s">
        <v>426</v>
      </c>
      <c r="D2344" s="8">
        <v>45308</v>
      </c>
      <c r="E2344" s="8" t="str">
        <f t="shared" si="143"/>
        <v>January</v>
      </c>
      <c r="F2344">
        <f t="shared" si="144"/>
        <v>2024</v>
      </c>
      <c r="G2344">
        <f t="shared" si="145"/>
        <v>1</v>
      </c>
      <c r="H2344">
        <f t="shared" si="146"/>
        <v>1</v>
      </c>
      <c r="I2344" s="6">
        <v>0.48749999999999999</v>
      </c>
      <c r="J2344" s="6">
        <v>0.78541666666666665</v>
      </c>
      <c r="K2344" s="7" t="s">
        <v>26</v>
      </c>
      <c r="L2344" s="7" t="s">
        <v>14</v>
      </c>
      <c r="M2344" s="7" t="s">
        <v>21</v>
      </c>
      <c r="N2344" s="7">
        <f>COUNTIFS(A:A,A2344,D:D,D2344,E:E,I2344)</f>
        <v>0</v>
      </c>
    </row>
    <row r="2345" spans="1:14" x14ac:dyDescent="0.3">
      <c r="A2345" s="7" t="s">
        <v>69</v>
      </c>
      <c r="B2345" s="7" t="s">
        <v>70</v>
      </c>
      <c r="C2345" s="7" t="s">
        <v>425</v>
      </c>
      <c r="D2345" s="8">
        <v>45365</v>
      </c>
      <c r="E2345" s="8" t="str">
        <f t="shared" si="143"/>
        <v>March</v>
      </c>
      <c r="F2345">
        <f t="shared" si="144"/>
        <v>2024</v>
      </c>
      <c r="G2345">
        <f t="shared" si="145"/>
        <v>1</v>
      </c>
      <c r="H2345">
        <f t="shared" si="146"/>
        <v>1</v>
      </c>
      <c r="I2345" s="6">
        <v>0.45416666666666666</v>
      </c>
      <c r="J2345" s="6">
        <v>0.71180555555555558</v>
      </c>
      <c r="K2345" s="7" t="s">
        <v>26</v>
      </c>
      <c r="L2345" s="7" t="s">
        <v>14</v>
      </c>
      <c r="M2345" s="7" t="s">
        <v>15</v>
      </c>
      <c r="N2345" s="7">
        <f>COUNTIFS(A:A,A2345,D:D,D2345,E:E,I2345)</f>
        <v>0</v>
      </c>
    </row>
    <row r="2346" spans="1:14" x14ac:dyDescent="0.3">
      <c r="A2346" s="7" t="s">
        <v>141</v>
      </c>
      <c r="B2346" s="7" t="s">
        <v>142</v>
      </c>
      <c r="C2346" s="7" t="s">
        <v>60</v>
      </c>
      <c r="D2346" s="8">
        <v>45316</v>
      </c>
      <c r="E2346" s="8" t="str">
        <f t="shared" si="143"/>
        <v>January</v>
      </c>
      <c r="F2346">
        <f t="shared" si="144"/>
        <v>2024</v>
      </c>
      <c r="G2346">
        <f t="shared" si="145"/>
        <v>1</v>
      </c>
      <c r="H2346">
        <f t="shared" si="146"/>
        <v>1</v>
      </c>
      <c r="I2346" s="6">
        <v>0.33402777777777776</v>
      </c>
      <c r="J2346" s="6">
        <v>0.77569444444444446</v>
      </c>
      <c r="K2346" s="7" t="s">
        <v>26</v>
      </c>
      <c r="L2346" s="7" t="s">
        <v>27</v>
      </c>
      <c r="M2346" s="7" t="s">
        <v>15</v>
      </c>
      <c r="N2346" s="7">
        <f>COUNTIFS(A:A,A2346,D:D,D2346,E:E,I2346)</f>
        <v>0</v>
      </c>
    </row>
    <row r="2347" spans="1:14" x14ac:dyDescent="0.3">
      <c r="A2347" s="7" t="s">
        <v>191</v>
      </c>
      <c r="B2347" s="7" t="s">
        <v>192</v>
      </c>
      <c r="C2347" s="7" t="s">
        <v>42</v>
      </c>
      <c r="D2347" s="8">
        <v>45348</v>
      </c>
      <c r="E2347" s="8" t="str">
        <f t="shared" si="143"/>
        <v>February</v>
      </c>
      <c r="F2347">
        <f t="shared" si="144"/>
        <v>2024</v>
      </c>
      <c r="G2347">
        <f t="shared" si="145"/>
        <v>1</v>
      </c>
      <c r="H2347">
        <f t="shared" si="146"/>
        <v>1</v>
      </c>
      <c r="I2347" s="6">
        <v>0.49375000000000002</v>
      </c>
      <c r="J2347" s="6">
        <v>0.76944444444444449</v>
      </c>
      <c r="K2347" s="7" t="s">
        <v>26</v>
      </c>
      <c r="L2347" s="7" t="s">
        <v>14</v>
      </c>
      <c r="M2347" s="7" t="s">
        <v>15</v>
      </c>
      <c r="N2347" s="7">
        <f>COUNTIFS(A:A,A2347,D:D,D2347,E:E,I2347)</f>
        <v>0</v>
      </c>
    </row>
    <row r="2348" spans="1:14" x14ac:dyDescent="0.3">
      <c r="A2348" s="7" t="s">
        <v>200</v>
      </c>
      <c r="B2348" s="7" t="s">
        <v>201</v>
      </c>
      <c r="C2348" s="7" t="s">
        <v>42</v>
      </c>
      <c r="D2348" s="8">
        <v>45336</v>
      </c>
      <c r="E2348" s="8" t="str">
        <f t="shared" si="143"/>
        <v>February</v>
      </c>
      <c r="F2348">
        <f t="shared" si="144"/>
        <v>2024</v>
      </c>
      <c r="G2348">
        <f t="shared" si="145"/>
        <v>1</v>
      </c>
      <c r="H2348">
        <f t="shared" si="146"/>
        <v>0</v>
      </c>
      <c r="I2348" s="6">
        <v>0.47847222222222224</v>
      </c>
      <c r="J2348" s="6">
        <v>0.72291666666666665</v>
      </c>
      <c r="K2348" s="7" t="s">
        <v>20</v>
      </c>
      <c r="L2348" s="7" t="s">
        <v>27</v>
      </c>
      <c r="M2348" s="7" t="s">
        <v>21</v>
      </c>
      <c r="N2348" s="7">
        <f>COUNTIFS(A:A,A2348,D:D,D2348,E:E,I2348)</f>
        <v>0</v>
      </c>
    </row>
    <row r="2349" spans="1:14" x14ac:dyDescent="0.3">
      <c r="A2349" s="7" t="s">
        <v>200</v>
      </c>
      <c r="B2349" s="7" t="s">
        <v>201</v>
      </c>
      <c r="C2349" s="7" t="s">
        <v>426</v>
      </c>
      <c r="D2349" s="8">
        <v>45347</v>
      </c>
      <c r="E2349" s="8" t="str">
        <f t="shared" si="143"/>
        <v>February</v>
      </c>
      <c r="F2349">
        <f t="shared" si="144"/>
        <v>2024</v>
      </c>
      <c r="G2349">
        <f t="shared" si="145"/>
        <v>0</v>
      </c>
      <c r="H2349">
        <f t="shared" si="146"/>
        <v>0</v>
      </c>
      <c r="I2349" s="6"/>
      <c r="J2349" s="6"/>
      <c r="K2349" s="7" t="s">
        <v>44</v>
      </c>
      <c r="L2349" s="7" t="s">
        <v>27</v>
      </c>
      <c r="M2349" s="7" t="s">
        <v>21</v>
      </c>
      <c r="N2349" s="7">
        <f>COUNTIFS(A:A,A2349,D:D,D2349,E:E,I2349)</f>
        <v>0</v>
      </c>
    </row>
    <row r="2350" spans="1:14" x14ac:dyDescent="0.3">
      <c r="A2350" s="7" t="s">
        <v>93</v>
      </c>
      <c r="B2350" s="7" t="s">
        <v>94</v>
      </c>
      <c r="C2350" s="7" t="s">
        <v>425</v>
      </c>
      <c r="D2350" s="8">
        <v>45321</v>
      </c>
      <c r="E2350" s="8" t="str">
        <f t="shared" si="143"/>
        <v>January</v>
      </c>
      <c r="F2350">
        <f t="shared" si="144"/>
        <v>2024</v>
      </c>
      <c r="G2350">
        <f t="shared" si="145"/>
        <v>1</v>
      </c>
      <c r="H2350">
        <f t="shared" si="146"/>
        <v>1</v>
      </c>
      <c r="I2350" s="6">
        <v>0.47152777777777777</v>
      </c>
      <c r="J2350" s="6">
        <v>0.72083333333333333</v>
      </c>
      <c r="K2350" s="7" t="s">
        <v>26</v>
      </c>
      <c r="L2350" s="7" t="s">
        <v>14</v>
      </c>
      <c r="M2350" s="7" t="s">
        <v>21</v>
      </c>
      <c r="N2350" s="7">
        <f>COUNTIFS(A:A,A2350,D:D,D2350,E:E,I2350)</f>
        <v>0</v>
      </c>
    </row>
    <row r="2351" spans="1:14" x14ac:dyDescent="0.3">
      <c r="A2351" s="7" t="s">
        <v>93</v>
      </c>
      <c r="B2351" s="7" t="s">
        <v>94</v>
      </c>
      <c r="C2351" s="7" t="s">
        <v>425</v>
      </c>
      <c r="D2351" s="8">
        <v>45343</v>
      </c>
      <c r="E2351" s="8" t="str">
        <f t="shared" si="143"/>
        <v>February</v>
      </c>
      <c r="F2351">
        <f t="shared" si="144"/>
        <v>2024</v>
      </c>
      <c r="G2351">
        <f t="shared" si="145"/>
        <v>0</v>
      </c>
      <c r="H2351">
        <f t="shared" si="146"/>
        <v>0</v>
      </c>
      <c r="I2351" s="6"/>
      <c r="J2351" s="6"/>
      <c r="K2351" s="7" t="s">
        <v>44</v>
      </c>
      <c r="L2351" s="7" t="s">
        <v>27</v>
      </c>
      <c r="M2351" s="7" t="s">
        <v>15</v>
      </c>
      <c r="N2351" s="7">
        <f>COUNTIFS(A:A,A2351,D:D,D2351,E:E,I2351)</f>
        <v>0</v>
      </c>
    </row>
    <row r="2352" spans="1:14" x14ac:dyDescent="0.3">
      <c r="A2352" s="7" t="s">
        <v>138</v>
      </c>
      <c r="B2352" s="7" t="s">
        <v>139</v>
      </c>
      <c r="C2352" s="7" t="s">
        <v>426</v>
      </c>
      <c r="D2352" s="8">
        <v>45305</v>
      </c>
      <c r="E2352" s="8" t="str">
        <f t="shared" si="143"/>
        <v>January</v>
      </c>
      <c r="F2352">
        <f t="shared" si="144"/>
        <v>2024</v>
      </c>
      <c r="G2352">
        <f t="shared" si="145"/>
        <v>1</v>
      </c>
      <c r="H2352">
        <f t="shared" si="146"/>
        <v>0</v>
      </c>
      <c r="I2352" s="6">
        <v>0.45833333333333331</v>
      </c>
      <c r="J2352" s="6">
        <v>0.66666666666666663</v>
      </c>
      <c r="K2352" s="7" t="s">
        <v>20</v>
      </c>
      <c r="L2352" s="7" t="s">
        <v>27</v>
      </c>
      <c r="M2352" s="7" t="s">
        <v>21</v>
      </c>
      <c r="N2352" s="7">
        <f>COUNTIFS(A:A,A2352,D:D,D2352,E:E,I2352)</f>
        <v>0</v>
      </c>
    </row>
    <row r="2353" spans="1:14" x14ac:dyDescent="0.3">
      <c r="A2353" s="7" t="s">
        <v>45</v>
      </c>
      <c r="B2353" s="7" t="s">
        <v>46</v>
      </c>
      <c r="C2353" s="7" t="s">
        <v>425</v>
      </c>
      <c r="D2353" s="8">
        <v>45345</v>
      </c>
      <c r="E2353" s="8" t="str">
        <f t="shared" si="143"/>
        <v>February</v>
      </c>
      <c r="F2353">
        <f t="shared" si="144"/>
        <v>2024</v>
      </c>
      <c r="G2353">
        <f t="shared" si="145"/>
        <v>1</v>
      </c>
      <c r="H2353">
        <f t="shared" si="146"/>
        <v>0</v>
      </c>
      <c r="I2353" s="6">
        <v>0.41666666666666669</v>
      </c>
      <c r="J2353" s="6">
        <v>0.67638888888888893</v>
      </c>
      <c r="K2353" s="7" t="s">
        <v>20</v>
      </c>
      <c r="L2353" s="7" t="s">
        <v>27</v>
      </c>
      <c r="M2353" s="7" t="s">
        <v>21</v>
      </c>
      <c r="N2353" s="7">
        <f>COUNTIFS(A:A,A2353,D:D,D2353,E:E,I2353)</f>
        <v>0</v>
      </c>
    </row>
    <row r="2354" spans="1:14" x14ac:dyDescent="0.3">
      <c r="A2354" s="7" t="s">
        <v>216</v>
      </c>
      <c r="B2354" s="7" t="s">
        <v>217</v>
      </c>
      <c r="C2354" s="7" t="s">
        <v>425</v>
      </c>
      <c r="D2354" s="8">
        <v>45320</v>
      </c>
      <c r="E2354" s="8" t="str">
        <f t="shared" si="143"/>
        <v>January</v>
      </c>
      <c r="F2354">
        <f t="shared" si="144"/>
        <v>2024</v>
      </c>
      <c r="G2354">
        <f t="shared" si="145"/>
        <v>0</v>
      </c>
      <c r="H2354">
        <f t="shared" si="146"/>
        <v>0</v>
      </c>
      <c r="I2354" s="6"/>
      <c r="J2354" s="6"/>
      <c r="K2354" s="7" t="s">
        <v>44</v>
      </c>
      <c r="L2354" s="7" t="s">
        <v>14</v>
      </c>
      <c r="M2354" s="7" t="s">
        <v>15</v>
      </c>
      <c r="N2354" s="7">
        <f>COUNTIFS(A:A,A2354,D:D,D2354,E:E,I2354)</f>
        <v>0</v>
      </c>
    </row>
    <row r="2355" spans="1:14" x14ac:dyDescent="0.3">
      <c r="A2355" s="7" t="s">
        <v>216</v>
      </c>
      <c r="B2355" s="7" t="s">
        <v>217</v>
      </c>
      <c r="C2355" s="7" t="s">
        <v>425</v>
      </c>
      <c r="D2355" s="8">
        <v>45374</v>
      </c>
      <c r="E2355" s="8" t="str">
        <f t="shared" si="143"/>
        <v>March</v>
      </c>
      <c r="F2355">
        <f t="shared" si="144"/>
        <v>2024</v>
      </c>
      <c r="G2355">
        <f t="shared" si="145"/>
        <v>1</v>
      </c>
      <c r="H2355">
        <f t="shared" si="146"/>
        <v>0</v>
      </c>
      <c r="I2355" s="6">
        <v>0.49930555555555556</v>
      </c>
      <c r="J2355" s="6">
        <v>0.71180555555555558</v>
      </c>
      <c r="K2355" s="7" t="s">
        <v>20</v>
      </c>
      <c r="L2355" s="7" t="s">
        <v>27</v>
      </c>
      <c r="M2355" s="7" t="s">
        <v>15</v>
      </c>
      <c r="N2355" s="7">
        <f>COUNTIFS(A:A,A2355,D:D,D2355,E:E,I2355)</f>
        <v>0</v>
      </c>
    </row>
    <row r="2356" spans="1:14" x14ac:dyDescent="0.3">
      <c r="A2356" s="7" t="s">
        <v>338</v>
      </c>
      <c r="B2356" s="7" t="s">
        <v>339</v>
      </c>
      <c r="C2356" s="7" t="s">
        <v>425</v>
      </c>
      <c r="D2356" s="8">
        <v>45344</v>
      </c>
      <c r="E2356" s="8" t="str">
        <f t="shared" si="143"/>
        <v>February</v>
      </c>
      <c r="F2356">
        <f t="shared" si="144"/>
        <v>2024</v>
      </c>
      <c r="G2356">
        <f t="shared" si="145"/>
        <v>1</v>
      </c>
      <c r="H2356">
        <f t="shared" si="146"/>
        <v>0</v>
      </c>
      <c r="I2356" s="6">
        <v>0.37569444444444444</v>
      </c>
      <c r="J2356" s="6">
        <v>0.76666666666666672</v>
      </c>
      <c r="K2356" s="7" t="s">
        <v>20</v>
      </c>
      <c r="L2356" s="7" t="s">
        <v>14</v>
      </c>
      <c r="M2356" s="7" t="s">
        <v>15</v>
      </c>
      <c r="N2356" s="7">
        <f>COUNTIFS(A:A,A2356,D:D,D2356,E:E,I2356)</f>
        <v>0</v>
      </c>
    </row>
    <row r="2357" spans="1:14" x14ac:dyDescent="0.3">
      <c r="A2357" s="7" t="s">
        <v>246</v>
      </c>
      <c r="B2357" s="7" t="s">
        <v>247</v>
      </c>
      <c r="C2357" s="7" t="s">
        <v>425</v>
      </c>
      <c r="D2357" s="8">
        <v>45371</v>
      </c>
      <c r="E2357" s="8" t="str">
        <f t="shared" si="143"/>
        <v>March</v>
      </c>
      <c r="F2357">
        <f t="shared" si="144"/>
        <v>2024</v>
      </c>
      <c r="G2357">
        <f t="shared" si="145"/>
        <v>0</v>
      </c>
      <c r="H2357">
        <f t="shared" si="146"/>
        <v>0</v>
      </c>
      <c r="I2357" s="6"/>
      <c r="J2357" s="6"/>
      <c r="K2357" s="7" t="s">
        <v>44</v>
      </c>
      <c r="L2357" s="7" t="s">
        <v>14</v>
      </c>
      <c r="M2357" s="7" t="s">
        <v>15</v>
      </c>
      <c r="N2357" s="7">
        <f>COUNTIFS(A:A,A2357,D:D,D2357,E:E,I2357)</f>
        <v>0</v>
      </c>
    </row>
    <row r="2358" spans="1:14" x14ac:dyDescent="0.3">
      <c r="A2358" s="7" t="s">
        <v>165</v>
      </c>
      <c r="B2358" s="7" t="s">
        <v>166</v>
      </c>
      <c r="C2358" s="7" t="s">
        <v>425</v>
      </c>
      <c r="D2358" s="8">
        <v>45506</v>
      </c>
      <c r="E2358" s="8" t="str">
        <f t="shared" si="143"/>
        <v>August</v>
      </c>
      <c r="F2358">
        <f t="shared" si="144"/>
        <v>2024</v>
      </c>
      <c r="G2358">
        <f t="shared" si="145"/>
        <v>1</v>
      </c>
      <c r="H2358">
        <f t="shared" si="146"/>
        <v>0</v>
      </c>
      <c r="I2358" s="6">
        <v>0.43402777777777779</v>
      </c>
      <c r="J2358" s="6">
        <v>0.83125000000000004</v>
      </c>
      <c r="K2358" s="7" t="s">
        <v>20</v>
      </c>
      <c r="L2358" s="7" t="s">
        <v>14</v>
      </c>
      <c r="M2358" s="7" t="s">
        <v>21</v>
      </c>
      <c r="N2358" s="7">
        <f>COUNTIFS(A:A,A2358,D:D,D2358,E:E,I2358)</f>
        <v>0</v>
      </c>
    </row>
    <row r="2359" spans="1:14" x14ac:dyDescent="0.3">
      <c r="A2359" s="7" t="s">
        <v>55</v>
      </c>
      <c r="B2359" s="7" t="s">
        <v>56</v>
      </c>
      <c r="C2359" s="7" t="s">
        <v>64</v>
      </c>
      <c r="D2359" s="8">
        <v>45337</v>
      </c>
      <c r="E2359" s="8" t="str">
        <f t="shared" si="143"/>
        <v>February</v>
      </c>
      <c r="F2359">
        <f t="shared" si="144"/>
        <v>2024</v>
      </c>
      <c r="G2359">
        <f t="shared" si="145"/>
        <v>0</v>
      </c>
      <c r="H2359">
        <f t="shared" si="146"/>
        <v>0</v>
      </c>
      <c r="I2359" s="6"/>
      <c r="J2359" s="6"/>
      <c r="K2359" s="7" t="s">
        <v>44</v>
      </c>
      <c r="L2359" s="7" t="s">
        <v>27</v>
      </c>
      <c r="M2359" s="7" t="s">
        <v>15</v>
      </c>
      <c r="N2359" s="7">
        <f>COUNTIFS(A:A,A2359,D:D,D2359,E:E,I2359)</f>
        <v>0</v>
      </c>
    </row>
    <row r="2360" spans="1:14" x14ac:dyDescent="0.3">
      <c r="A2360" s="7" t="s">
        <v>34</v>
      </c>
      <c r="B2360" s="7" t="s">
        <v>35</v>
      </c>
      <c r="C2360" s="7" t="s">
        <v>64</v>
      </c>
      <c r="D2360" s="8">
        <v>45598</v>
      </c>
      <c r="E2360" s="8" t="str">
        <f t="shared" si="143"/>
        <v>November</v>
      </c>
      <c r="F2360">
        <f t="shared" si="144"/>
        <v>2024</v>
      </c>
      <c r="G2360">
        <f t="shared" si="145"/>
        <v>1</v>
      </c>
      <c r="H2360">
        <f t="shared" si="146"/>
        <v>0</v>
      </c>
      <c r="I2360" s="6">
        <v>0.34375</v>
      </c>
      <c r="J2360" s="6">
        <v>0.67986111111111114</v>
      </c>
      <c r="K2360" s="7" t="s">
        <v>13</v>
      </c>
      <c r="L2360" s="7" t="s">
        <v>27</v>
      </c>
      <c r="M2360" s="7" t="s">
        <v>21</v>
      </c>
      <c r="N2360" s="7">
        <f>COUNTIFS(A:A,A2360,D:D,D2360,E:E,I2360)</f>
        <v>0</v>
      </c>
    </row>
    <row r="2361" spans="1:14" x14ac:dyDescent="0.3">
      <c r="A2361" s="7" t="s">
        <v>99</v>
      </c>
      <c r="B2361" s="7" t="s">
        <v>100</v>
      </c>
      <c r="C2361" s="7" t="s">
        <v>42</v>
      </c>
      <c r="D2361" s="8">
        <v>45307</v>
      </c>
      <c r="E2361" s="8" t="str">
        <f t="shared" si="143"/>
        <v>January</v>
      </c>
      <c r="F2361">
        <f t="shared" si="144"/>
        <v>2024</v>
      </c>
      <c r="G2361">
        <f t="shared" si="145"/>
        <v>1</v>
      </c>
      <c r="H2361">
        <f t="shared" si="146"/>
        <v>0</v>
      </c>
      <c r="I2361" s="6">
        <v>0.33750000000000002</v>
      </c>
      <c r="J2361" s="6">
        <v>0.67013888888888884</v>
      </c>
      <c r="K2361" s="7" t="s">
        <v>20</v>
      </c>
      <c r="L2361" s="7" t="s">
        <v>14</v>
      </c>
      <c r="M2361" s="7" t="s">
        <v>21</v>
      </c>
      <c r="N2361" s="7">
        <f>COUNTIFS(A:A,A2361,D:D,D2361,E:E,I2361)</f>
        <v>0</v>
      </c>
    </row>
    <row r="2362" spans="1:14" x14ac:dyDescent="0.3">
      <c r="A2362" s="7" t="s">
        <v>69</v>
      </c>
      <c r="B2362" s="7" t="s">
        <v>70</v>
      </c>
      <c r="C2362" s="7" t="s">
        <v>60</v>
      </c>
      <c r="D2362" s="8">
        <v>45370</v>
      </c>
      <c r="E2362" s="8" t="str">
        <f t="shared" si="143"/>
        <v>March</v>
      </c>
      <c r="F2362">
        <f t="shared" si="144"/>
        <v>2024</v>
      </c>
      <c r="G2362">
        <f t="shared" si="145"/>
        <v>0</v>
      </c>
      <c r="H2362">
        <f t="shared" si="146"/>
        <v>0</v>
      </c>
      <c r="I2362" s="6"/>
      <c r="J2362" s="6"/>
      <c r="K2362" s="7" t="s">
        <v>44</v>
      </c>
      <c r="L2362" s="7" t="s">
        <v>14</v>
      </c>
      <c r="M2362" s="7" t="s">
        <v>15</v>
      </c>
      <c r="N2362" s="7">
        <f>COUNTIFS(A:A,A2362,D:D,D2362,E:E,I2362)</f>
        <v>0</v>
      </c>
    </row>
    <row r="2363" spans="1:14" x14ac:dyDescent="0.3">
      <c r="A2363" s="7" t="s">
        <v>37</v>
      </c>
      <c r="B2363" s="7" t="s">
        <v>38</v>
      </c>
      <c r="C2363" s="7" t="s">
        <v>426</v>
      </c>
      <c r="D2363" s="8">
        <v>45365</v>
      </c>
      <c r="E2363" s="8" t="str">
        <f t="shared" si="143"/>
        <v>March</v>
      </c>
      <c r="F2363">
        <f t="shared" si="144"/>
        <v>2024</v>
      </c>
      <c r="G2363">
        <f t="shared" si="145"/>
        <v>1</v>
      </c>
      <c r="H2363">
        <f t="shared" si="146"/>
        <v>1</v>
      </c>
      <c r="I2363" s="6">
        <v>0.4236111111111111</v>
      </c>
      <c r="J2363" s="6">
        <v>0.76527777777777772</v>
      </c>
      <c r="K2363" s="7" t="s">
        <v>26</v>
      </c>
      <c r="L2363" s="7" t="s">
        <v>14</v>
      </c>
      <c r="M2363" s="7" t="s">
        <v>15</v>
      </c>
      <c r="N2363" s="7">
        <f>COUNTIFS(A:A,A2363,D:D,D2363,E:E,I2363)</f>
        <v>0</v>
      </c>
    </row>
    <row r="2364" spans="1:14" x14ac:dyDescent="0.3">
      <c r="A2364" s="7" t="s">
        <v>165</v>
      </c>
      <c r="B2364" s="7" t="s">
        <v>166</v>
      </c>
      <c r="C2364" s="7" t="s">
        <v>60</v>
      </c>
      <c r="D2364" s="8">
        <v>45567</v>
      </c>
      <c r="E2364" s="8" t="str">
        <f t="shared" si="143"/>
        <v>October</v>
      </c>
      <c r="F2364">
        <f t="shared" si="144"/>
        <v>2024</v>
      </c>
      <c r="G2364">
        <f t="shared" si="145"/>
        <v>1</v>
      </c>
      <c r="H2364">
        <f t="shared" si="146"/>
        <v>0</v>
      </c>
      <c r="I2364" s="6">
        <v>0.40555555555555556</v>
      </c>
      <c r="J2364" s="6">
        <v>0.73124999999999996</v>
      </c>
      <c r="K2364" s="7" t="s">
        <v>13</v>
      </c>
      <c r="L2364" s="7" t="s">
        <v>14</v>
      </c>
      <c r="M2364" s="7" t="s">
        <v>15</v>
      </c>
      <c r="N2364" s="7">
        <f>COUNTIFS(A:A,A2364,D:D,D2364,E:E,I2364)</f>
        <v>0</v>
      </c>
    </row>
    <row r="2365" spans="1:14" x14ac:dyDescent="0.3">
      <c r="A2365" s="7" t="s">
        <v>93</v>
      </c>
      <c r="B2365" s="7" t="s">
        <v>94</v>
      </c>
      <c r="C2365" s="7" t="s">
        <v>60</v>
      </c>
      <c r="D2365" s="8">
        <v>45315</v>
      </c>
      <c r="E2365" s="8" t="str">
        <f t="shared" si="143"/>
        <v>January</v>
      </c>
      <c r="F2365">
        <f t="shared" si="144"/>
        <v>2024</v>
      </c>
      <c r="G2365">
        <f t="shared" si="145"/>
        <v>1</v>
      </c>
      <c r="H2365">
        <f t="shared" si="146"/>
        <v>0</v>
      </c>
      <c r="I2365" s="6">
        <v>0.42569444444444443</v>
      </c>
      <c r="J2365" s="6">
        <v>0.68055555555555558</v>
      </c>
      <c r="K2365" s="7" t="s">
        <v>13</v>
      </c>
      <c r="L2365" s="7" t="s">
        <v>27</v>
      </c>
      <c r="M2365" s="7" t="s">
        <v>15</v>
      </c>
      <c r="N2365" s="7">
        <f>COUNTIFS(A:A,A2365,D:D,D2365,E:E,I2365)</f>
        <v>0</v>
      </c>
    </row>
    <row r="2366" spans="1:14" x14ac:dyDescent="0.3">
      <c r="A2366" s="7" t="s">
        <v>187</v>
      </c>
      <c r="B2366" s="7" t="s">
        <v>188</v>
      </c>
      <c r="C2366" s="7" t="s">
        <v>60</v>
      </c>
      <c r="D2366" s="8">
        <v>45351</v>
      </c>
      <c r="E2366" s="8" t="str">
        <f t="shared" si="143"/>
        <v>February</v>
      </c>
      <c r="F2366">
        <f t="shared" si="144"/>
        <v>2024</v>
      </c>
      <c r="G2366">
        <f t="shared" si="145"/>
        <v>1</v>
      </c>
      <c r="H2366">
        <f t="shared" si="146"/>
        <v>1</v>
      </c>
      <c r="I2366" s="6">
        <v>0.45347222222222222</v>
      </c>
      <c r="J2366" s="6">
        <v>0.77361111111111114</v>
      </c>
      <c r="K2366" s="7" t="s">
        <v>26</v>
      </c>
      <c r="L2366" s="7" t="s">
        <v>27</v>
      </c>
      <c r="M2366" s="7" t="s">
        <v>21</v>
      </c>
      <c r="N2366" s="7">
        <f>COUNTIFS(A:A,A2366,D:D,D2366,E:E,I2366)</f>
        <v>0</v>
      </c>
    </row>
    <row r="2367" spans="1:14" x14ac:dyDescent="0.3">
      <c r="A2367" s="7" t="s">
        <v>28</v>
      </c>
      <c r="B2367" s="7" t="s">
        <v>29</v>
      </c>
      <c r="C2367" s="7" t="s">
        <v>64</v>
      </c>
      <c r="D2367" s="8">
        <v>45339</v>
      </c>
      <c r="E2367" s="8" t="str">
        <f t="shared" si="143"/>
        <v>February</v>
      </c>
      <c r="F2367">
        <f t="shared" si="144"/>
        <v>2024</v>
      </c>
      <c r="G2367">
        <f t="shared" si="145"/>
        <v>1</v>
      </c>
      <c r="H2367">
        <f t="shared" si="146"/>
        <v>1</v>
      </c>
      <c r="I2367" s="6">
        <v>0.37638888888888888</v>
      </c>
      <c r="J2367" s="6">
        <v>0.69444444444444442</v>
      </c>
      <c r="K2367" s="7" t="s">
        <v>26</v>
      </c>
      <c r="L2367" s="7" t="s">
        <v>27</v>
      </c>
      <c r="M2367" s="7" t="s">
        <v>15</v>
      </c>
      <c r="N2367" s="7">
        <f>COUNTIFS(A:A,A2367,D:D,D2367,E:E,I2367)</f>
        <v>0</v>
      </c>
    </row>
    <row r="2368" spans="1:14" x14ac:dyDescent="0.3">
      <c r="A2368" s="7" t="s">
        <v>224</v>
      </c>
      <c r="B2368" s="7" t="s">
        <v>225</v>
      </c>
      <c r="C2368" s="7" t="s">
        <v>425</v>
      </c>
      <c r="D2368" s="8">
        <v>45349</v>
      </c>
      <c r="E2368" s="8" t="str">
        <f t="shared" si="143"/>
        <v>February</v>
      </c>
      <c r="F2368">
        <f t="shared" si="144"/>
        <v>2024</v>
      </c>
      <c r="G2368">
        <f t="shared" si="145"/>
        <v>1</v>
      </c>
      <c r="H2368">
        <f t="shared" si="146"/>
        <v>0</v>
      </c>
      <c r="I2368" s="6">
        <v>0.40208333333333335</v>
      </c>
      <c r="J2368" s="6">
        <v>0.78888888888888886</v>
      </c>
      <c r="K2368" s="7" t="s">
        <v>20</v>
      </c>
      <c r="L2368" s="7" t="s">
        <v>14</v>
      </c>
      <c r="M2368" s="7" t="s">
        <v>15</v>
      </c>
      <c r="N2368" s="7">
        <f>COUNTIFS(A:A,A2368,D:D,D2368,E:E,I2368)</f>
        <v>0</v>
      </c>
    </row>
    <row r="2369" spans="1:14" x14ac:dyDescent="0.3">
      <c r="A2369" s="7" t="s">
        <v>81</v>
      </c>
      <c r="B2369" s="7" t="s">
        <v>82</v>
      </c>
      <c r="C2369" s="7" t="s">
        <v>64</v>
      </c>
      <c r="D2369" s="8">
        <v>45370</v>
      </c>
      <c r="E2369" s="8" t="str">
        <f t="shared" si="143"/>
        <v>March</v>
      </c>
      <c r="F2369">
        <f t="shared" si="144"/>
        <v>2024</v>
      </c>
      <c r="G2369">
        <f t="shared" si="145"/>
        <v>1</v>
      </c>
      <c r="H2369">
        <f t="shared" si="146"/>
        <v>0</v>
      </c>
      <c r="I2369" s="6">
        <v>0.41944444444444445</v>
      </c>
      <c r="J2369" s="6">
        <v>0.68125000000000002</v>
      </c>
      <c r="K2369" s="7" t="s">
        <v>13</v>
      </c>
      <c r="L2369" s="7" t="s">
        <v>14</v>
      </c>
      <c r="M2369" s="7" t="s">
        <v>15</v>
      </c>
      <c r="N2369" s="7">
        <f>COUNTIFS(A:A,A2369,D:D,D2369,E:E,I2369)</f>
        <v>0</v>
      </c>
    </row>
    <row r="2370" spans="1:14" x14ac:dyDescent="0.3">
      <c r="A2370" s="7" t="s">
        <v>213</v>
      </c>
      <c r="B2370" s="7" t="s">
        <v>214</v>
      </c>
      <c r="C2370" s="7" t="s">
        <v>426</v>
      </c>
      <c r="D2370" s="8">
        <v>45343</v>
      </c>
      <c r="E2370" s="8" t="str">
        <f t="shared" ref="E2370:E2433" si="147">TEXT(D2370,"mmmm")</f>
        <v>February</v>
      </c>
      <c r="F2370">
        <f t="shared" ref="F2370:F2433" si="148">YEAR(D2370)</f>
        <v>2024</v>
      </c>
      <c r="G2370">
        <f t="shared" ref="G2370:G2433" si="149">IF(LOWER(K2370)="absent",0,1)</f>
        <v>1</v>
      </c>
      <c r="H2370">
        <f t="shared" ref="H2370:H2433" si="150">IF(K2370="Late",1,0)</f>
        <v>0</v>
      </c>
      <c r="I2370" s="6">
        <v>0.42083333333333334</v>
      </c>
      <c r="J2370" s="6">
        <v>0.67708333333333337</v>
      </c>
      <c r="K2370" s="7" t="s">
        <v>20</v>
      </c>
      <c r="L2370" s="7" t="s">
        <v>14</v>
      </c>
      <c r="M2370" s="7" t="s">
        <v>21</v>
      </c>
      <c r="N2370" s="7">
        <f>COUNTIFS(A:A,A2370,D:D,D2370,E:E,I2370)</f>
        <v>0</v>
      </c>
    </row>
    <row r="2371" spans="1:14" x14ac:dyDescent="0.3">
      <c r="A2371" s="7" t="s">
        <v>315</v>
      </c>
      <c r="B2371" s="7" t="s">
        <v>316</v>
      </c>
      <c r="C2371" s="7" t="s">
        <v>426</v>
      </c>
      <c r="D2371" s="8">
        <v>45311</v>
      </c>
      <c r="E2371" s="8" t="str">
        <f t="shared" si="147"/>
        <v>January</v>
      </c>
      <c r="F2371">
        <f t="shared" si="148"/>
        <v>2024</v>
      </c>
      <c r="G2371">
        <f t="shared" si="149"/>
        <v>1</v>
      </c>
      <c r="H2371">
        <f t="shared" si="150"/>
        <v>0</v>
      </c>
      <c r="I2371" s="6">
        <v>0.36875000000000002</v>
      </c>
      <c r="J2371" s="6">
        <v>0.78611111111111109</v>
      </c>
      <c r="K2371" s="7" t="s">
        <v>20</v>
      </c>
      <c r="L2371" s="7" t="s">
        <v>27</v>
      </c>
      <c r="M2371" s="7" t="s">
        <v>15</v>
      </c>
      <c r="N2371" s="7">
        <f>COUNTIFS(A:A,A2371,D:D,D2371,E:E,I2371)</f>
        <v>0</v>
      </c>
    </row>
    <row r="2372" spans="1:14" x14ac:dyDescent="0.3">
      <c r="A2372" s="7" t="s">
        <v>90</v>
      </c>
      <c r="B2372" s="7" t="s">
        <v>91</v>
      </c>
      <c r="C2372" s="7" t="s">
        <v>425</v>
      </c>
      <c r="D2372" s="8">
        <v>45304</v>
      </c>
      <c r="E2372" s="8" t="str">
        <f t="shared" si="147"/>
        <v>January</v>
      </c>
      <c r="F2372">
        <f t="shared" si="148"/>
        <v>2024</v>
      </c>
      <c r="G2372">
        <f t="shared" si="149"/>
        <v>1</v>
      </c>
      <c r="H2372">
        <f t="shared" si="150"/>
        <v>0</v>
      </c>
      <c r="I2372" s="6">
        <v>0.38472222222222224</v>
      </c>
      <c r="J2372" s="6">
        <v>0.69930555555555551</v>
      </c>
      <c r="K2372" s="7" t="s">
        <v>13</v>
      </c>
      <c r="L2372" s="7" t="s">
        <v>14</v>
      </c>
      <c r="M2372" s="7" t="s">
        <v>21</v>
      </c>
      <c r="N2372" s="7">
        <f>COUNTIFS(A:A,A2372,D:D,D2372,E:E,I2372)</f>
        <v>0</v>
      </c>
    </row>
    <row r="2373" spans="1:14" x14ac:dyDescent="0.3">
      <c r="A2373" s="7" t="s">
        <v>28</v>
      </c>
      <c r="B2373" s="7" t="s">
        <v>29</v>
      </c>
      <c r="C2373" s="7" t="s">
        <v>425</v>
      </c>
      <c r="D2373" s="8">
        <v>45366</v>
      </c>
      <c r="E2373" s="8" t="str">
        <f t="shared" si="147"/>
        <v>March</v>
      </c>
      <c r="F2373">
        <f t="shared" si="148"/>
        <v>2024</v>
      </c>
      <c r="G2373">
        <f t="shared" si="149"/>
        <v>1</v>
      </c>
      <c r="H2373">
        <f t="shared" si="150"/>
        <v>0</v>
      </c>
      <c r="I2373" s="6">
        <v>0.47499999999999998</v>
      </c>
      <c r="J2373" s="6">
        <v>0.69027777777777777</v>
      </c>
      <c r="K2373" s="7" t="s">
        <v>13</v>
      </c>
      <c r="L2373" s="7" t="s">
        <v>14</v>
      </c>
      <c r="M2373" s="7" t="s">
        <v>15</v>
      </c>
      <c r="N2373" s="7">
        <f>COUNTIFS(A:A,A2373,D:D,D2373,E:E,I2373)</f>
        <v>0</v>
      </c>
    </row>
    <row r="2374" spans="1:14" x14ac:dyDescent="0.3">
      <c r="A2374" s="7" t="s">
        <v>96</v>
      </c>
      <c r="B2374" s="7" t="s">
        <v>97</v>
      </c>
      <c r="C2374" s="7" t="s">
        <v>42</v>
      </c>
      <c r="D2374" s="8">
        <v>45346</v>
      </c>
      <c r="E2374" s="8" t="str">
        <f t="shared" si="147"/>
        <v>February</v>
      </c>
      <c r="F2374">
        <f t="shared" si="148"/>
        <v>2024</v>
      </c>
      <c r="G2374">
        <f t="shared" si="149"/>
        <v>1</v>
      </c>
      <c r="H2374">
        <f t="shared" si="150"/>
        <v>0</v>
      </c>
      <c r="I2374" s="6">
        <v>0.42777777777777776</v>
      </c>
      <c r="J2374" s="6">
        <v>0.80763888888888891</v>
      </c>
      <c r="K2374" s="7" t="s">
        <v>13</v>
      </c>
      <c r="L2374" s="7" t="s">
        <v>27</v>
      </c>
      <c r="M2374" s="7" t="s">
        <v>15</v>
      </c>
      <c r="N2374" s="7">
        <f>COUNTIFS(A:A,A2374,D:D,D2374,E:E,I2374)</f>
        <v>0</v>
      </c>
    </row>
    <row r="2375" spans="1:14" x14ac:dyDescent="0.3">
      <c r="A2375" s="7" t="s">
        <v>224</v>
      </c>
      <c r="B2375" s="7" t="s">
        <v>225</v>
      </c>
      <c r="C2375" s="7" t="s">
        <v>425</v>
      </c>
      <c r="D2375" s="8">
        <v>45336</v>
      </c>
      <c r="E2375" s="8" t="str">
        <f t="shared" si="147"/>
        <v>February</v>
      </c>
      <c r="F2375">
        <f t="shared" si="148"/>
        <v>2024</v>
      </c>
      <c r="G2375">
        <f t="shared" si="149"/>
        <v>0</v>
      </c>
      <c r="H2375">
        <f t="shared" si="150"/>
        <v>0</v>
      </c>
      <c r="I2375" s="6"/>
      <c r="J2375" s="6"/>
      <c r="K2375" s="7" t="s">
        <v>44</v>
      </c>
      <c r="L2375" s="7" t="s">
        <v>14</v>
      </c>
      <c r="M2375" s="7" t="s">
        <v>15</v>
      </c>
      <c r="N2375" s="7">
        <f>COUNTIFS(A:A,A2375,D:D,D2375,E:E,I2375)</f>
        <v>0</v>
      </c>
    </row>
    <row r="2376" spans="1:14" x14ac:dyDescent="0.3">
      <c r="A2376" s="7" t="s">
        <v>122</v>
      </c>
      <c r="B2376" s="7" t="s">
        <v>123</v>
      </c>
      <c r="C2376" s="7" t="s">
        <v>426</v>
      </c>
      <c r="D2376" s="8">
        <v>45444</v>
      </c>
      <c r="E2376" s="8" t="str">
        <f t="shared" si="147"/>
        <v>June</v>
      </c>
      <c r="F2376">
        <f t="shared" si="148"/>
        <v>2024</v>
      </c>
      <c r="G2376">
        <f t="shared" si="149"/>
        <v>1</v>
      </c>
      <c r="H2376">
        <f t="shared" si="150"/>
        <v>1</v>
      </c>
      <c r="I2376" s="6">
        <v>0.36458333333333331</v>
      </c>
      <c r="J2376" s="6">
        <v>0.75138888888888888</v>
      </c>
      <c r="K2376" s="7" t="s">
        <v>26</v>
      </c>
      <c r="L2376" s="7" t="s">
        <v>14</v>
      </c>
      <c r="M2376" s="7" t="s">
        <v>15</v>
      </c>
      <c r="N2376" s="7">
        <f>COUNTIFS(A:A,A2376,D:D,D2376,E:E,I2376)</f>
        <v>0</v>
      </c>
    </row>
    <row r="2377" spans="1:14" x14ac:dyDescent="0.3">
      <c r="A2377" s="7" t="s">
        <v>55</v>
      </c>
      <c r="B2377" s="7" t="s">
        <v>56</v>
      </c>
      <c r="C2377" s="7" t="s">
        <v>64</v>
      </c>
      <c r="D2377" s="8">
        <v>45366</v>
      </c>
      <c r="E2377" s="8" t="str">
        <f t="shared" si="147"/>
        <v>March</v>
      </c>
      <c r="F2377">
        <f t="shared" si="148"/>
        <v>2024</v>
      </c>
      <c r="G2377">
        <f t="shared" si="149"/>
        <v>1</v>
      </c>
      <c r="H2377">
        <f t="shared" si="150"/>
        <v>1</v>
      </c>
      <c r="I2377" s="6">
        <v>0.4826388888888889</v>
      </c>
      <c r="J2377" s="6">
        <v>0.83888888888888891</v>
      </c>
      <c r="K2377" s="7" t="s">
        <v>26</v>
      </c>
      <c r="L2377" s="7" t="s">
        <v>27</v>
      </c>
      <c r="M2377" s="7" t="s">
        <v>21</v>
      </c>
      <c r="N2377" s="7">
        <f>COUNTIFS(A:A,A2377,D:D,D2377,E:E,I2377)</f>
        <v>0</v>
      </c>
    </row>
    <row r="2378" spans="1:14" x14ac:dyDescent="0.3">
      <c r="A2378" s="7" t="s">
        <v>269</v>
      </c>
      <c r="B2378" s="7" t="s">
        <v>270</v>
      </c>
      <c r="C2378" s="7" t="s">
        <v>42</v>
      </c>
      <c r="D2378" s="8">
        <v>45475</v>
      </c>
      <c r="E2378" s="8" t="str">
        <f t="shared" si="147"/>
        <v>July</v>
      </c>
      <c r="F2378">
        <f t="shared" si="148"/>
        <v>2024</v>
      </c>
      <c r="G2378">
        <f t="shared" si="149"/>
        <v>1</v>
      </c>
      <c r="H2378">
        <f t="shared" si="150"/>
        <v>1</v>
      </c>
      <c r="I2378" s="6">
        <v>0.38611111111111113</v>
      </c>
      <c r="J2378" s="6">
        <v>0.71388888888888891</v>
      </c>
      <c r="K2378" s="7" t="s">
        <v>26</v>
      </c>
      <c r="L2378" s="7" t="s">
        <v>14</v>
      </c>
      <c r="M2378" s="7" t="s">
        <v>21</v>
      </c>
      <c r="N2378" s="7">
        <f>COUNTIFS(A:A,A2378,D:D,D2378,E:E,I2378)</f>
        <v>0</v>
      </c>
    </row>
    <row r="2379" spans="1:14" x14ac:dyDescent="0.3">
      <c r="A2379" s="7" t="s">
        <v>40</v>
      </c>
      <c r="B2379" s="7" t="s">
        <v>41</v>
      </c>
      <c r="C2379" s="7" t="s">
        <v>425</v>
      </c>
      <c r="D2379" s="8">
        <v>45384</v>
      </c>
      <c r="E2379" s="8" t="str">
        <f t="shared" si="147"/>
        <v>April</v>
      </c>
      <c r="F2379">
        <f t="shared" si="148"/>
        <v>2024</v>
      </c>
      <c r="G2379">
        <f t="shared" si="149"/>
        <v>1</v>
      </c>
      <c r="H2379">
        <f t="shared" si="150"/>
        <v>0</v>
      </c>
      <c r="I2379" s="6">
        <v>0.41180555555555554</v>
      </c>
      <c r="J2379" s="6">
        <v>0.84861111111111109</v>
      </c>
      <c r="K2379" s="7" t="s">
        <v>13</v>
      </c>
      <c r="L2379" s="7" t="s">
        <v>14</v>
      </c>
      <c r="M2379" s="7" t="s">
        <v>15</v>
      </c>
      <c r="N2379" s="7">
        <f>COUNTIFS(A:A,A2379,D:D,D2379,E:E,I2379)</f>
        <v>0</v>
      </c>
    </row>
    <row r="2380" spans="1:14" x14ac:dyDescent="0.3">
      <c r="A2380" s="7" t="s">
        <v>78</v>
      </c>
      <c r="B2380" s="7" t="s">
        <v>79</v>
      </c>
      <c r="C2380" s="7" t="s">
        <v>425</v>
      </c>
      <c r="D2380" s="8">
        <v>45370</v>
      </c>
      <c r="E2380" s="8" t="str">
        <f t="shared" si="147"/>
        <v>March</v>
      </c>
      <c r="F2380">
        <f t="shared" si="148"/>
        <v>2024</v>
      </c>
      <c r="G2380">
        <f t="shared" si="149"/>
        <v>1</v>
      </c>
      <c r="H2380">
        <f t="shared" si="150"/>
        <v>0</v>
      </c>
      <c r="I2380" s="6">
        <v>0.42430555555555555</v>
      </c>
      <c r="J2380" s="6">
        <v>0.70277777777777772</v>
      </c>
      <c r="K2380" s="7" t="s">
        <v>20</v>
      </c>
      <c r="L2380" s="7" t="s">
        <v>14</v>
      </c>
      <c r="M2380" s="7" t="s">
        <v>21</v>
      </c>
      <c r="N2380" s="7">
        <f>COUNTIFS(A:A,A2380,D:D,D2380,E:E,I2380)</f>
        <v>0</v>
      </c>
    </row>
    <row r="2381" spans="1:14" x14ac:dyDescent="0.3">
      <c r="A2381" s="7" t="s">
        <v>213</v>
      </c>
      <c r="B2381" s="7" t="s">
        <v>214</v>
      </c>
      <c r="C2381" s="7" t="s">
        <v>425</v>
      </c>
      <c r="D2381" s="8">
        <v>45302</v>
      </c>
      <c r="E2381" s="8" t="str">
        <f t="shared" si="147"/>
        <v>January</v>
      </c>
      <c r="F2381">
        <f t="shared" si="148"/>
        <v>2024</v>
      </c>
      <c r="G2381">
        <f t="shared" si="149"/>
        <v>1</v>
      </c>
      <c r="H2381">
        <f t="shared" si="150"/>
        <v>0</v>
      </c>
      <c r="I2381" s="6">
        <v>0.46388888888888891</v>
      </c>
      <c r="J2381" s="6">
        <v>0.70763888888888893</v>
      </c>
      <c r="K2381" s="7" t="s">
        <v>20</v>
      </c>
      <c r="L2381" s="7" t="s">
        <v>27</v>
      </c>
      <c r="M2381" s="7" t="s">
        <v>15</v>
      </c>
      <c r="N2381" s="7">
        <f>COUNTIFS(A:A,A2381,D:D,D2381,E:E,I2381)</f>
        <v>0</v>
      </c>
    </row>
    <row r="2382" spans="1:14" x14ac:dyDescent="0.3">
      <c r="A2382" s="7" t="s">
        <v>75</v>
      </c>
      <c r="B2382" s="7" t="s">
        <v>76</v>
      </c>
      <c r="C2382" s="7" t="s">
        <v>426</v>
      </c>
      <c r="D2382" s="8">
        <v>45310</v>
      </c>
      <c r="E2382" s="8" t="str">
        <f t="shared" si="147"/>
        <v>January</v>
      </c>
      <c r="F2382">
        <f t="shared" si="148"/>
        <v>2024</v>
      </c>
      <c r="G2382">
        <f t="shared" si="149"/>
        <v>1</v>
      </c>
      <c r="H2382">
        <f t="shared" si="150"/>
        <v>1</v>
      </c>
      <c r="I2382" s="6">
        <v>0.39861111111111114</v>
      </c>
      <c r="J2382" s="6">
        <v>0.69930555555555551</v>
      </c>
      <c r="K2382" s="7" t="s">
        <v>26</v>
      </c>
      <c r="L2382" s="7" t="s">
        <v>27</v>
      </c>
      <c r="M2382" s="7" t="s">
        <v>15</v>
      </c>
      <c r="N2382" s="7">
        <f>COUNTIFS(A:A,A2382,D:D,D2382,E:E,I2382)</f>
        <v>0</v>
      </c>
    </row>
    <row r="2383" spans="1:14" x14ac:dyDescent="0.3">
      <c r="A2383" s="7" t="s">
        <v>62</v>
      </c>
      <c r="B2383" s="7" t="s">
        <v>63</v>
      </c>
      <c r="C2383" s="7" t="s">
        <v>60</v>
      </c>
      <c r="D2383" s="8">
        <v>45343</v>
      </c>
      <c r="E2383" s="8" t="str">
        <f t="shared" si="147"/>
        <v>February</v>
      </c>
      <c r="F2383">
        <f t="shared" si="148"/>
        <v>2024</v>
      </c>
      <c r="G2383">
        <f t="shared" si="149"/>
        <v>1</v>
      </c>
      <c r="H2383">
        <f t="shared" si="150"/>
        <v>0</v>
      </c>
      <c r="I2383" s="6">
        <v>0.33680555555555558</v>
      </c>
      <c r="J2383" s="6">
        <v>0.79652777777777772</v>
      </c>
      <c r="K2383" s="7" t="s">
        <v>20</v>
      </c>
      <c r="L2383" s="7" t="s">
        <v>27</v>
      </c>
      <c r="M2383" s="7" t="s">
        <v>21</v>
      </c>
      <c r="N2383" s="7">
        <f>COUNTIFS(A:A,A2383,D:D,D2383,E:E,I2383)</f>
        <v>0</v>
      </c>
    </row>
    <row r="2384" spans="1:14" x14ac:dyDescent="0.3">
      <c r="A2384" s="7" t="s">
        <v>69</v>
      </c>
      <c r="B2384" s="7" t="s">
        <v>70</v>
      </c>
      <c r="C2384" s="7" t="s">
        <v>426</v>
      </c>
      <c r="D2384" s="8">
        <v>45301</v>
      </c>
      <c r="E2384" s="8" t="str">
        <f t="shared" si="147"/>
        <v>January</v>
      </c>
      <c r="F2384">
        <f t="shared" si="148"/>
        <v>2024</v>
      </c>
      <c r="G2384">
        <f t="shared" si="149"/>
        <v>1</v>
      </c>
      <c r="H2384">
        <f t="shared" si="150"/>
        <v>0</v>
      </c>
      <c r="I2384" s="6">
        <v>0.44930555555555557</v>
      </c>
      <c r="J2384" s="6">
        <v>0.7944444444444444</v>
      </c>
      <c r="K2384" s="7" t="s">
        <v>20</v>
      </c>
      <c r="L2384" s="7" t="s">
        <v>14</v>
      </c>
      <c r="M2384" s="7" t="s">
        <v>15</v>
      </c>
      <c r="N2384" s="7">
        <f>COUNTIFS(A:A,A2384,D:D,D2384,E:E,I2384)</f>
        <v>0</v>
      </c>
    </row>
    <row r="2385" spans="1:14" x14ac:dyDescent="0.3">
      <c r="A2385" s="7" t="s">
        <v>9</v>
      </c>
      <c r="B2385" s="7" t="s">
        <v>10</v>
      </c>
      <c r="C2385" s="7" t="s">
        <v>64</v>
      </c>
      <c r="D2385" s="8">
        <v>45311</v>
      </c>
      <c r="E2385" s="8" t="str">
        <f t="shared" si="147"/>
        <v>January</v>
      </c>
      <c r="F2385">
        <f t="shared" si="148"/>
        <v>2024</v>
      </c>
      <c r="G2385">
        <f t="shared" si="149"/>
        <v>1</v>
      </c>
      <c r="H2385">
        <f t="shared" si="150"/>
        <v>0</v>
      </c>
      <c r="I2385" s="6">
        <v>0.41875000000000001</v>
      </c>
      <c r="J2385" s="6">
        <v>0.83611111111111114</v>
      </c>
      <c r="K2385" s="7" t="s">
        <v>20</v>
      </c>
      <c r="L2385" s="7" t="s">
        <v>27</v>
      </c>
      <c r="M2385" s="7" t="s">
        <v>15</v>
      </c>
      <c r="N2385" s="7">
        <f>COUNTIFS(A:A,A2385,D:D,D2385,E:E,I2385)</f>
        <v>0</v>
      </c>
    </row>
    <row r="2386" spans="1:14" x14ac:dyDescent="0.3">
      <c r="A2386" s="7" t="s">
        <v>224</v>
      </c>
      <c r="B2386" s="7" t="s">
        <v>225</v>
      </c>
      <c r="C2386" s="7" t="s">
        <v>425</v>
      </c>
      <c r="D2386" s="8">
        <v>45349</v>
      </c>
      <c r="E2386" s="8" t="str">
        <f t="shared" si="147"/>
        <v>February</v>
      </c>
      <c r="F2386">
        <f t="shared" si="148"/>
        <v>2024</v>
      </c>
      <c r="G2386">
        <f t="shared" si="149"/>
        <v>0</v>
      </c>
      <c r="H2386">
        <f t="shared" si="150"/>
        <v>0</v>
      </c>
      <c r="I2386" s="6"/>
      <c r="J2386" s="6"/>
      <c r="K2386" s="7" t="s">
        <v>44</v>
      </c>
      <c r="L2386" s="7" t="s">
        <v>14</v>
      </c>
      <c r="M2386" s="7" t="s">
        <v>21</v>
      </c>
      <c r="N2386" s="7">
        <f>COUNTIFS(A:A,A2386,D:D,D2386,E:E,I2386)</f>
        <v>0</v>
      </c>
    </row>
    <row r="2387" spans="1:14" x14ac:dyDescent="0.3">
      <c r="A2387" s="7" t="s">
        <v>37</v>
      </c>
      <c r="B2387" s="7" t="s">
        <v>38</v>
      </c>
      <c r="C2387" s="7" t="s">
        <v>425</v>
      </c>
      <c r="D2387" s="8">
        <v>45475</v>
      </c>
      <c r="E2387" s="8" t="str">
        <f t="shared" si="147"/>
        <v>July</v>
      </c>
      <c r="F2387">
        <f t="shared" si="148"/>
        <v>2024</v>
      </c>
      <c r="G2387">
        <f t="shared" si="149"/>
        <v>0</v>
      </c>
      <c r="H2387">
        <f t="shared" si="150"/>
        <v>0</v>
      </c>
      <c r="I2387" s="6"/>
      <c r="J2387" s="6"/>
      <c r="K2387" s="7" t="s">
        <v>44</v>
      </c>
      <c r="L2387" s="7" t="s">
        <v>27</v>
      </c>
      <c r="M2387" s="7" t="s">
        <v>15</v>
      </c>
      <c r="N2387" s="7">
        <f>COUNTIFS(A:A,A2387,D:D,D2387,E:E,I2387)</f>
        <v>0</v>
      </c>
    </row>
    <row r="2388" spans="1:14" x14ac:dyDescent="0.3">
      <c r="A2388" s="7" t="s">
        <v>48</v>
      </c>
      <c r="B2388" s="7" t="s">
        <v>49</v>
      </c>
      <c r="C2388" s="7" t="s">
        <v>425</v>
      </c>
      <c r="D2388" s="8">
        <v>45380</v>
      </c>
      <c r="E2388" s="8" t="str">
        <f t="shared" si="147"/>
        <v>March</v>
      </c>
      <c r="F2388">
        <f t="shared" si="148"/>
        <v>2024</v>
      </c>
      <c r="G2388">
        <f t="shared" si="149"/>
        <v>0</v>
      </c>
      <c r="H2388">
        <f t="shared" si="150"/>
        <v>0</v>
      </c>
      <c r="I2388" s="6"/>
      <c r="J2388" s="6"/>
      <c r="K2388" s="7" t="s">
        <v>44</v>
      </c>
      <c r="L2388" s="7" t="s">
        <v>27</v>
      </c>
      <c r="M2388" s="7" t="s">
        <v>15</v>
      </c>
      <c r="N2388" s="7">
        <f>COUNTIFS(A:A,A2388,D:D,D2388,E:E,I2388)</f>
        <v>0</v>
      </c>
    </row>
    <row r="2389" spans="1:14" x14ac:dyDescent="0.3">
      <c r="A2389" s="7" t="s">
        <v>246</v>
      </c>
      <c r="B2389" s="7" t="s">
        <v>247</v>
      </c>
      <c r="C2389" s="7" t="s">
        <v>42</v>
      </c>
      <c r="D2389" s="8">
        <v>45566</v>
      </c>
      <c r="E2389" s="8" t="str">
        <f t="shared" si="147"/>
        <v>October</v>
      </c>
      <c r="F2389">
        <f t="shared" si="148"/>
        <v>2024</v>
      </c>
      <c r="G2389">
        <f t="shared" si="149"/>
        <v>1</v>
      </c>
      <c r="H2389">
        <f t="shared" si="150"/>
        <v>1</v>
      </c>
      <c r="I2389" s="6">
        <v>0.44374999999999998</v>
      </c>
      <c r="J2389" s="6">
        <v>0.67291666666666672</v>
      </c>
      <c r="K2389" s="7" t="s">
        <v>26</v>
      </c>
      <c r="L2389" s="7" t="s">
        <v>27</v>
      </c>
      <c r="M2389" s="7" t="s">
        <v>21</v>
      </c>
      <c r="N2389" s="7">
        <f>COUNTIFS(A:A,A2389,D:D,D2389,E:E,I2389)</f>
        <v>0</v>
      </c>
    </row>
    <row r="2390" spans="1:14" x14ac:dyDescent="0.3">
      <c r="A2390" s="7" t="s">
        <v>141</v>
      </c>
      <c r="B2390" s="7" t="s">
        <v>142</v>
      </c>
      <c r="C2390" s="7" t="s">
        <v>425</v>
      </c>
      <c r="D2390" s="8">
        <v>45368</v>
      </c>
      <c r="E2390" s="8" t="str">
        <f t="shared" si="147"/>
        <v>March</v>
      </c>
      <c r="F2390">
        <f t="shared" si="148"/>
        <v>2024</v>
      </c>
      <c r="G2390">
        <f t="shared" si="149"/>
        <v>1</v>
      </c>
      <c r="H2390">
        <f t="shared" si="150"/>
        <v>0</v>
      </c>
      <c r="I2390" s="6">
        <v>0.36666666666666664</v>
      </c>
      <c r="J2390" s="6">
        <v>0.6791666666666667</v>
      </c>
      <c r="K2390" s="7" t="s">
        <v>13</v>
      </c>
      <c r="L2390" s="7" t="s">
        <v>27</v>
      </c>
      <c r="M2390" s="7" t="s">
        <v>21</v>
      </c>
      <c r="N2390" s="7">
        <f>COUNTIFS(A:A,A2390,D:D,D2390,E:E,I2390)</f>
        <v>0</v>
      </c>
    </row>
    <row r="2391" spans="1:14" x14ac:dyDescent="0.3">
      <c r="A2391" s="7" t="s">
        <v>175</v>
      </c>
      <c r="B2391" s="7" t="s">
        <v>176</v>
      </c>
      <c r="C2391" s="7" t="s">
        <v>60</v>
      </c>
      <c r="D2391" s="8">
        <v>45567</v>
      </c>
      <c r="E2391" s="8" t="str">
        <f t="shared" si="147"/>
        <v>October</v>
      </c>
      <c r="F2391">
        <f t="shared" si="148"/>
        <v>2024</v>
      </c>
      <c r="G2391">
        <f t="shared" si="149"/>
        <v>1</v>
      </c>
      <c r="H2391">
        <f t="shared" si="150"/>
        <v>0</v>
      </c>
      <c r="I2391" s="6">
        <v>0.40347222222222223</v>
      </c>
      <c r="J2391" s="6">
        <v>0.81180555555555556</v>
      </c>
      <c r="K2391" s="7" t="s">
        <v>20</v>
      </c>
      <c r="L2391" s="7" t="s">
        <v>14</v>
      </c>
      <c r="M2391" s="7" t="s">
        <v>15</v>
      </c>
      <c r="N2391" s="7">
        <f>COUNTIFS(A:A,A2391,D:D,D2391,E:E,I2391)</f>
        <v>0</v>
      </c>
    </row>
    <row r="2392" spans="1:14" x14ac:dyDescent="0.3">
      <c r="A2392" s="7" t="s">
        <v>194</v>
      </c>
      <c r="B2392" s="7" t="s">
        <v>195</v>
      </c>
      <c r="C2392" s="7" t="s">
        <v>426</v>
      </c>
      <c r="D2392" s="8">
        <v>45568</v>
      </c>
      <c r="E2392" s="8" t="str">
        <f t="shared" si="147"/>
        <v>October</v>
      </c>
      <c r="F2392">
        <f t="shared" si="148"/>
        <v>2024</v>
      </c>
      <c r="G2392">
        <f t="shared" si="149"/>
        <v>1</v>
      </c>
      <c r="H2392">
        <f t="shared" si="150"/>
        <v>0</v>
      </c>
      <c r="I2392" s="6">
        <v>0.4548611111111111</v>
      </c>
      <c r="J2392" s="6">
        <v>0.81874999999999998</v>
      </c>
      <c r="K2392" s="7" t="s">
        <v>13</v>
      </c>
      <c r="L2392" s="7" t="s">
        <v>14</v>
      </c>
      <c r="M2392" s="7" t="s">
        <v>21</v>
      </c>
      <c r="N2392" s="7">
        <f>COUNTIFS(A:A,A2392,D:D,D2392,E:E,I2392)</f>
        <v>0</v>
      </c>
    </row>
    <row r="2393" spans="1:14" x14ac:dyDescent="0.3">
      <c r="A2393" s="7" t="s">
        <v>165</v>
      </c>
      <c r="B2393" s="7" t="s">
        <v>166</v>
      </c>
      <c r="C2393" s="7" t="s">
        <v>425</v>
      </c>
      <c r="D2393" s="8">
        <v>45365</v>
      </c>
      <c r="E2393" s="8" t="str">
        <f t="shared" si="147"/>
        <v>March</v>
      </c>
      <c r="F2393">
        <f t="shared" si="148"/>
        <v>2024</v>
      </c>
      <c r="G2393">
        <f t="shared" si="149"/>
        <v>1</v>
      </c>
      <c r="H2393">
        <f t="shared" si="150"/>
        <v>0</v>
      </c>
      <c r="I2393" s="6">
        <v>0.36180555555555555</v>
      </c>
      <c r="J2393" s="6">
        <v>0.79583333333333328</v>
      </c>
      <c r="K2393" s="7" t="s">
        <v>20</v>
      </c>
      <c r="L2393" s="7" t="s">
        <v>27</v>
      </c>
      <c r="M2393" s="7" t="s">
        <v>15</v>
      </c>
      <c r="N2393" s="7">
        <f>COUNTIFS(A:A,A2393,D:D,D2393,E:E,I2393)</f>
        <v>0</v>
      </c>
    </row>
    <row r="2394" spans="1:14" x14ac:dyDescent="0.3">
      <c r="A2394" s="7" t="s">
        <v>250</v>
      </c>
      <c r="B2394" s="7" t="s">
        <v>251</v>
      </c>
      <c r="C2394" s="7" t="s">
        <v>64</v>
      </c>
      <c r="D2394" s="8">
        <v>45339</v>
      </c>
      <c r="E2394" s="8" t="str">
        <f t="shared" si="147"/>
        <v>February</v>
      </c>
      <c r="F2394">
        <f t="shared" si="148"/>
        <v>2024</v>
      </c>
      <c r="G2394">
        <f t="shared" si="149"/>
        <v>1</v>
      </c>
      <c r="H2394">
        <f t="shared" si="150"/>
        <v>0</v>
      </c>
      <c r="I2394" s="6">
        <v>0.37083333333333335</v>
      </c>
      <c r="J2394" s="6">
        <v>0.84583333333333333</v>
      </c>
      <c r="K2394" s="7" t="s">
        <v>13</v>
      </c>
      <c r="L2394" s="7" t="s">
        <v>27</v>
      </c>
      <c r="M2394" s="7" t="s">
        <v>15</v>
      </c>
      <c r="N2394" s="7">
        <f>COUNTIFS(A:A,A2394,D:D,D2394,E:E,I2394)</f>
        <v>0</v>
      </c>
    </row>
    <row r="2395" spans="1:14" x14ac:dyDescent="0.3">
      <c r="A2395" s="7" t="s">
        <v>90</v>
      </c>
      <c r="B2395" s="7" t="s">
        <v>91</v>
      </c>
      <c r="C2395" s="7" t="s">
        <v>425</v>
      </c>
      <c r="D2395" s="8">
        <v>45321</v>
      </c>
      <c r="E2395" s="8" t="str">
        <f t="shared" si="147"/>
        <v>January</v>
      </c>
      <c r="F2395">
        <f t="shared" si="148"/>
        <v>2024</v>
      </c>
      <c r="G2395">
        <f t="shared" si="149"/>
        <v>0</v>
      </c>
      <c r="H2395">
        <f t="shared" si="150"/>
        <v>0</v>
      </c>
      <c r="I2395" s="6"/>
      <c r="J2395" s="6"/>
      <c r="K2395" s="7" t="s">
        <v>44</v>
      </c>
      <c r="L2395" s="7" t="s">
        <v>27</v>
      </c>
      <c r="M2395" s="7" t="s">
        <v>15</v>
      </c>
      <c r="N2395" s="7">
        <f>COUNTIFS(A:A,A2395,D:D,D2395,E:E,I2395)</f>
        <v>0</v>
      </c>
    </row>
    <row r="2396" spans="1:14" x14ac:dyDescent="0.3">
      <c r="A2396" s="7" t="s">
        <v>55</v>
      </c>
      <c r="B2396" s="7" t="s">
        <v>56</v>
      </c>
      <c r="C2396" s="7" t="s">
        <v>426</v>
      </c>
      <c r="D2396" s="8">
        <v>45444</v>
      </c>
      <c r="E2396" s="8" t="str">
        <f t="shared" si="147"/>
        <v>June</v>
      </c>
      <c r="F2396">
        <f t="shared" si="148"/>
        <v>2024</v>
      </c>
      <c r="G2396">
        <f t="shared" si="149"/>
        <v>1</v>
      </c>
      <c r="H2396">
        <f t="shared" si="150"/>
        <v>0</v>
      </c>
      <c r="I2396" s="6">
        <v>0.38194444444444442</v>
      </c>
      <c r="J2396" s="6">
        <v>0.78125</v>
      </c>
      <c r="K2396" s="7" t="s">
        <v>20</v>
      </c>
      <c r="L2396" s="7" t="s">
        <v>14</v>
      </c>
      <c r="M2396" s="7" t="s">
        <v>21</v>
      </c>
      <c r="N2396" s="7">
        <f>COUNTIFS(A:A,A2396,D:D,D2396,E:E,I2396)</f>
        <v>0</v>
      </c>
    </row>
    <row r="2397" spans="1:14" x14ac:dyDescent="0.3">
      <c r="A2397" s="7" t="s">
        <v>146</v>
      </c>
      <c r="B2397" s="7" t="s">
        <v>147</v>
      </c>
      <c r="C2397" s="7" t="s">
        <v>425</v>
      </c>
      <c r="D2397" s="8">
        <v>45330</v>
      </c>
      <c r="E2397" s="8" t="str">
        <f t="shared" si="147"/>
        <v>February</v>
      </c>
      <c r="F2397">
        <f t="shared" si="148"/>
        <v>2024</v>
      </c>
      <c r="G2397">
        <f t="shared" si="149"/>
        <v>1</v>
      </c>
      <c r="H2397">
        <f t="shared" si="150"/>
        <v>1</v>
      </c>
      <c r="I2397" s="6">
        <v>0.36041666666666666</v>
      </c>
      <c r="J2397" s="6">
        <v>0.80486111111111114</v>
      </c>
      <c r="K2397" s="7" t="s">
        <v>26</v>
      </c>
      <c r="L2397" s="7" t="s">
        <v>14</v>
      </c>
      <c r="M2397" s="7" t="s">
        <v>21</v>
      </c>
      <c r="N2397" s="7">
        <f>COUNTIFS(A:A,A2397,D:D,D2397,E:E,I2397)</f>
        <v>0</v>
      </c>
    </row>
    <row r="2398" spans="1:14" x14ac:dyDescent="0.3">
      <c r="A2398" s="7" t="s">
        <v>62</v>
      </c>
      <c r="B2398" s="7" t="s">
        <v>63</v>
      </c>
      <c r="C2398" s="7" t="s">
        <v>425</v>
      </c>
      <c r="D2398" s="8">
        <v>45366</v>
      </c>
      <c r="E2398" s="8" t="str">
        <f t="shared" si="147"/>
        <v>March</v>
      </c>
      <c r="F2398">
        <f t="shared" si="148"/>
        <v>2024</v>
      </c>
      <c r="G2398">
        <f t="shared" si="149"/>
        <v>0</v>
      </c>
      <c r="H2398">
        <f t="shared" si="150"/>
        <v>0</v>
      </c>
      <c r="I2398" s="6"/>
      <c r="J2398" s="6"/>
      <c r="K2398" s="7" t="s">
        <v>44</v>
      </c>
      <c r="L2398" s="7" t="s">
        <v>14</v>
      </c>
      <c r="M2398" s="7" t="s">
        <v>15</v>
      </c>
      <c r="N2398" s="7">
        <f>COUNTIFS(A:A,A2398,D:D,D2398,E:E,I2398)</f>
        <v>0</v>
      </c>
    </row>
    <row r="2399" spans="1:14" x14ac:dyDescent="0.3">
      <c r="A2399" s="7" t="s">
        <v>362</v>
      </c>
      <c r="B2399" s="7" t="s">
        <v>363</v>
      </c>
      <c r="C2399" s="7" t="s">
        <v>42</v>
      </c>
      <c r="D2399" s="8">
        <v>45340</v>
      </c>
      <c r="E2399" s="8" t="str">
        <f t="shared" si="147"/>
        <v>February</v>
      </c>
      <c r="F2399">
        <f t="shared" si="148"/>
        <v>2024</v>
      </c>
      <c r="G2399">
        <f t="shared" si="149"/>
        <v>1</v>
      </c>
      <c r="H2399">
        <f t="shared" si="150"/>
        <v>0</v>
      </c>
      <c r="I2399" s="6">
        <v>0.43125000000000002</v>
      </c>
      <c r="J2399" s="6">
        <v>0.85972222222222228</v>
      </c>
      <c r="K2399" s="7" t="s">
        <v>13</v>
      </c>
      <c r="L2399" s="7" t="s">
        <v>14</v>
      </c>
      <c r="M2399" s="7" t="s">
        <v>21</v>
      </c>
      <c r="N2399" s="7">
        <f>COUNTIFS(A:A,A2399,D:D,D2399,E:E,I2399)</f>
        <v>0</v>
      </c>
    </row>
    <row r="2400" spans="1:14" x14ac:dyDescent="0.3">
      <c r="A2400" s="7" t="s">
        <v>109</v>
      </c>
      <c r="B2400" s="7" t="s">
        <v>110</v>
      </c>
      <c r="C2400" s="7" t="s">
        <v>425</v>
      </c>
      <c r="D2400" s="8">
        <v>45321</v>
      </c>
      <c r="E2400" s="8" t="str">
        <f t="shared" si="147"/>
        <v>January</v>
      </c>
      <c r="F2400">
        <f t="shared" si="148"/>
        <v>2024</v>
      </c>
      <c r="G2400">
        <f t="shared" si="149"/>
        <v>1</v>
      </c>
      <c r="H2400">
        <f t="shared" si="150"/>
        <v>1</v>
      </c>
      <c r="I2400" s="6">
        <v>0.44236111111111109</v>
      </c>
      <c r="J2400" s="6">
        <v>0.85277777777777775</v>
      </c>
      <c r="K2400" s="7" t="s">
        <v>26</v>
      </c>
      <c r="L2400" s="7" t="s">
        <v>14</v>
      </c>
      <c r="M2400" s="7" t="s">
        <v>21</v>
      </c>
      <c r="N2400" s="7">
        <f>COUNTIFS(A:A,A2400,D:D,D2400,E:E,I2400)</f>
        <v>0</v>
      </c>
    </row>
    <row r="2401" spans="1:14" x14ac:dyDescent="0.3">
      <c r="A2401" s="7" t="s">
        <v>62</v>
      </c>
      <c r="B2401" s="7" t="s">
        <v>63</v>
      </c>
      <c r="C2401" s="7" t="s">
        <v>60</v>
      </c>
      <c r="D2401" s="8">
        <v>45294</v>
      </c>
      <c r="E2401" s="8" t="str">
        <f t="shared" si="147"/>
        <v>January</v>
      </c>
      <c r="F2401">
        <f t="shared" si="148"/>
        <v>2024</v>
      </c>
      <c r="G2401">
        <f t="shared" si="149"/>
        <v>1</v>
      </c>
      <c r="H2401">
        <f t="shared" si="150"/>
        <v>0</v>
      </c>
      <c r="I2401" s="6">
        <v>0.37708333333333333</v>
      </c>
      <c r="J2401" s="6">
        <v>0.8256944444444444</v>
      </c>
      <c r="K2401" s="7" t="s">
        <v>13</v>
      </c>
      <c r="L2401" s="7" t="s">
        <v>27</v>
      </c>
      <c r="M2401" s="7" t="s">
        <v>21</v>
      </c>
      <c r="N2401" s="7">
        <f>COUNTIFS(A:A,A2401,D:D,D2401,E:E,I2401)</f>
        <v>0</v>
      </c>
    </row>
    <row r="2402" spans="1:14" x14ac:dyDescent="0.3">
      <c r="A2402" s="7" t="s">
        <v>338</v>
      </c>
      <c r="B2402" s="7" t="s">
        <v>339</v>
      </c>
      <c r="C2402" s="7" t="s">
        <v>64</v>
      </c>
      <c r="D2402" s="8">
        <v>45319</v>
      </c>
      <c r="E2402" s="8" t="str">
        <f t="shared" si="147"/>
        <v>January</v>
      </c>
      <c r="F2402">
        <f t="shared" si="148"/>
        <v>2024</v>
      </c>
      <c r="G2402">
        <f t="shared" si="149"/>
        <v>1</v>
      </c>
      <c r="H2402">
        <f t="shared" si="150"/>
        <v>0</v>
      </c>
      <c r="I2402" s="6">
        <v>0.38124999999999998</v>
      </c>
      <c r="J2402" s="6">
        <v>0.83819444444444446</v>
      </c>
      <c r="K2402" s="7" t="s">
        <v>13</v>
      </c>
      <c r="L2402" s="7" t="s">
        <v>27</v>
      </c>
      <c r="M2402" s="7" t="s">
        <v>21</v>
      </c>
      <c r="N2402" s="7">
        <f>COUNTIFS(A:A,A2402,D:D,D2402,E:E,I2402)</f>
        <v>0</v>
      </c>
    </row>
    <row r="2403" spans="1:14" x14ac:dyDescent="0.3">
      <c r="A2403" s="7" t="s">
        <v>157</v>
      </c>
      <c r="B2403" s="7" t="s">
        <v>158</v>
      </c>
      <c r="C2403" s="7" t="s">
        <v>42</v>
      </c>
      <c r="D2403" s="8">
        <v>45310</v>
      </c>
      <c r="E2403" s="8" t="str">
        <f t="shared" si="147"/>
        <v>January</v>
      </c>
      <c r="F2403">
        <f t="shared" si="148"/>
        <v>2024</v>
      </c>
      <c r="G2403">
        <f t="shared" si="149"/>
        <v>0</v>
      </c>
      <c r="H2403">
        <f t="shared" si="150"/>
        <v>0</v>
      </c>
      <c r="I2403" s="6"/>
      <c r="J2403" s="6"/>
      <c r="K2403" s="7" t="s">
        <v>44</v>
      </c>
      <c r="L2403" s="7" t="s">
        <v>14</v>
      </c>
      <c r="M2403" s="7" t="s">
        <v>21</v>
      </c>
      <c r="N2403" s="7">
        <f>COUNTIFS(A:A,A2403,D:D,D2403,E:E,I2403)</f>
        <v>0</v>
      </c>
    </row>
    <row r="2404" spans="1:14" x14ac:dyDescent="0.3">
      <c r="A2404" s="7" t="s">
        <v>246</v>
      </c>
      <c r="B2404" s="7" t="s">
        <v>247</v>
      </c>
      <c r="C2404" s="7" t="s">
        <v>42</v>
      </c>
      <c r="D2404" s="8">
        <v>45314</v>
      </c>
      <c r="E2404" s="8" t="str">
        <f t="shared" si="147"/>
        <v>January</v>
      </c>
      <c r="F2404">
        <f t="shared" si="148"/>
        <v>2024</v>
      </c>
      <c r="G2404">
        <f t="shared" si="149"/>
        <v>1</v>
      </c>
      <c r="H2404">
        <f t="shared" si="150"/>
        <v>0</v>
      </c>
      <c r="I2404" s="6">
        <v>0.36527777777777776</v>
      </c>
      <c r="J2404" s="6">
        <v>0.70347222222222228</v>
      </c>
      <c r="K2404" s="7" t="s">
        <v>13</v>
      </c>
      <c r="L2404" s="7" t="s">
        <v>27</v>
      </c>
      <c r="M2404" s="7" t="s">
        <v>15</v>
      </c>
      <c r="N2404" s="7">
        <f>COUNTIFS(A:A,A2404,D:D,D2404,E:E,I2404)</f>
        <v>0</v>
      </c>
    </row>
    <row r="2405" spans="1:14" x14ac:dyDescent="0.3">
      <c r="A2405" s="7" t="s">
        <v>236</v>
      </c>
      <c r="B2405" s="7" t="s">
        <v>237</v>
      </c>
      <c r="C2405" s="7" t="s">
        <v>64</v>
      </c>
      <c r="D2405" s="8">
        <v>45323</v>
      </c>
      <c r="E2405" s="8" t="str">
        <f t="shared" si="147"/>
        <v>February</v>
      </c>
      <c r="F2405">
        <f t="shared" si="148"/>
        <v>2024</v>
      </c>
      <c r="G2405">
        <f t="shared" si="149"/>
        <v>1</v>
      </c>
      <c r="H2405">
        <f t="shared" si="150"/>
        <v>1</v>
      </c>
      <c r="I2405" s="6">
        <v>0.43680555555555556</v>
      </c>
      <c r="J2405" s="6">
        <v>0.69027777777777777</v>
      </c>
      <c r="K2405" s="7" t="s">
        <v>26</v>
      </c>
      <c r="L2405" s="7" t="s">
        <v>27</v>
      </c>
      <c r="M2405" s="7" t="s">
        <v>15</v>
      </c>
      <c r="N2405" s="7">
        <f>COUNTIFS(A:A,A2405,D:D,D2405,E:E,I2405)</f>
        <v>0</v>
      </c>
    </row>
    <row r="2406" spans="1:14" x14ac:dyDescent="0.3">
      <c r="A2406" s="7" t="s">
        <v>216</v>
      </c>
      <c r="B2406" s="7" t="s">
        <v>217</v>
      </c>
      <c r="C2406" s="7" t="s">
        <v>64</v>
      </c>
      <c r="D2406" s="8">
        <v>45321</v>
      </c>
      <c r="E2406" s="8" t="str">
        <f t="shared" si="147"/>
        <v>January</v>
      </c>
      <c r="F2406">
        <f t="shared" si="148"/>
        <v>2024</v>
      </c>
      <c r="G2406">
        <f t="shared" si="149"/>
        <v>0</v>
      </c>
      <c r="H2406">
        <f t="shared" si="150"/>
        <v>0</v>
      </c>
      <c r="I2406" s="6"/>
      <c r="J2406" s="6"/>
      <c r="K2406" s="7" t="s">
        <v>44</v>
      </c>
      <c r="L2406" s="7" t="s">
        <v>27</v>
      </c>
      <c r="M2406" s="7" t="s">
        <v>21</v>
      </c>
      <c r="N2406" s="7">
        <f>COUNTIFS(A:A,A2406,D:D,D2406,E:E,I2406)</f>
        <v>0</v>
      </c>
    </row>
    <row r="2407" spans="1:14" x14ac:dyDescent="0.3">
      <c r="A2407" s="7" t="s">
        <v>362</v>
      </c>
      <c r="B2407" s="7" t="s">
        <v>363</v>
      </c>
      <c r="C2407" s="7" t="s">
        <v>425</v>
      </c>
      <c r="D2407" s="8">
        <v>45358</v>
      </c>
      <c r="E2407" s="8" t="str">
        <f t="shared" si="147"/>
        <v>March</v>
      </c>
      <c r="F2407">
        <f t="shared" si="148"/>
        <v>2024</v>
      </c>
      <c r="G2407">
        <f t="shared" si="149"/>
        <v>0</v>
      </c>
      <c r="H2407">
        <f t="shared" si="150"/>
        <v>0</v>
      </c>
      <c r="I2407" s="6"/>
      <c r="J2407" s="6"/>
      <c r="K2407" s="7" t="s">
        <v>44</v>
      </c>
      <c r="L2407" s="7" t="s">
        <v>27</v>
      </c>
      <c r="M2407" s="7" t="s">
        <v>21</v>
      </c>
      <c r="N2407" s="7">
        <f>COUNTIFS(A:A,A2407,D:D,D2407,E:E,I2407)</f>
        <v>0</v>
      </c>
    </row>
    <row r="2408" spans="1:14" x14ac:dyDescent="0.3">
      <c r="A2408" s="7" t="s">
        <v>194</v>
      </c>
      <c r="B2408" s="7" t="s">
        <v>195</v>
      </c>
      <c r="C2408" s="7" t="s">
        <v>426</v>
      </c>
      <c r="D2408" s="8">
        <v>45310</v>
      </c>
      <c r="E2408" s="8" t="str">
        <f t="shared" si="147"/>
        <v>January</v>
      </c>
      <c r="F2408">
        <f t="shared" si="148"/>
        <v>2024</v>
      </c>
      <c r="G2408">
        <f t="shared" si="149"/>
        <v>0</v>
      </c>
      <c r="H2408">
        <f t="shared" si="150"/>
        <v>0</v>
      </c>
      <c r="I2408" s="6"/>
      <c r="J2408" s="6"/>
      <c r="K2408" s="7" t="s">
        <v>44</v>
      </c>
      <c r="L2408" s="7" t="s">
        <v>14</v>
      </c>
      <c r="M2408" s="7" t="s">
        <v>15</v>
      </c>
      <c r="N2408" s="7">
        <f>COUNTIFS(A:A,A2408,D:D,D2408,E:E,I2408)</f>
        <v>0</v>
      </c>
    </row>
    <row r="2409" spans="1:14" x14ac:dyDescent="0.3">
      <c r="A2409" s="7" t="s">
        <v>187</v>
      </c>
      <c r="B2409" s="7" t="s">
        <v>188</v>
      </c>
      <c r="C2409" s="7" t="s">
        <v>60</v>
      </c>
      <c r="D2409" s="8">
        <v>45347</v>
      </c>
      <c r="E2409" s="8" t="str">
        <f t="shared" si="147"/>
        <v>February</v>
      </c>
      <c r="F2409">
        <f t="shared" si="148"/>
        <v>2024</v>
      </c>
      <c r="G2409">
        <f t="shared" si="149"/>
        <v>1</v>
      </c>
      <c r="H2409">
        <f t="shared" si="150"/>
        <v>0</v>
      </c>
      <c r="I2409" s="6">
        <v>0.42430555555555555</v>
      </c>
      <c r="J2409" s="6">
        <v>0.79236111111111107</v>
      </c>
      <c r="K2409" s="7" t="s">
        <v>13</v>
      </c>
      <c r="L2409" s="7" t="s">
        <v>14</v>
      </c>
      <c r="M2409" s="7" t="s">
        <v>15</v>
      </c>
      <c r="N2409" s="7">
        <f>COUNTIFS(A:A,A2409,D:D,D2409,E:E,I2409)</f>
        <v>0</v>
      </c>
    </row>
    <row r="2410" spans="1:14" x14ac:dyDescent="0.3">
      <c r="A2410" s="7" t="s">
        <v>22</v>
      </c>
      <c r="B2410" s="7" t="s">
        <v>23</v>
      </c>
      <c r="C2410" s="7" t="s">
        <v>426</v>
      </c>
      <c r="D2410" s="8">
        <v>45364</v>
      </c>
      <c r="E2410" s="8" t="str">
        <f t="shared" si="147"/>
        <v>March</v>
      </c>
      <c r="F2410">
        <f t="shared" si="148"/>
        <v>2024</v>
      </c>
      <c r="G2410">
        <f t="shared" si="149"/>
        <v>0</v>
      </c>
      <c r="H2410">
        <f t="shared" si="150"/>
        <v>0</v>
      </c>
      <c r="I2410" s="6"/>
      <c r="J2410" s="6"/>
      <c r="K2410" s="7" t="s">
        <v>44</v>
      </c>
      <c r="L2410" s="7" t="s">
        <v>27</v>
      </c>
      <c r="M2410" s="7" t="s">
        <v>15</v>
      </c>
      <c r="N2410" s="7">
        <f>COUNTIFS(A:A,A2410,D:D,D2410,E:E,I2410)</f>
        <v>0</v>
      </c>
    </row>
    <row r="2411" spans="1:14" x14ac:dyDescent="0.3">
      <c r="A2411" s="7" t="s">
        <v>9</v>
      </c>
      <c r="B2411" s="7" t="s">
        <v>10</v>
      </c>
      <c r="C2411" s="7" t="s">
        <v>60</v>
      </c>
      <c r="D2411" s="8">
        <v>45344</v>
      </c>
      <c r="E2411" s="8" t="str">
        <f t="shared" si="147"/>
        <v>February</v>
      </c>
      <c r="F2411">
        <f t="shared" si="148"/>
        <v>2024</v>
      </c>
      <c r="G2411">
        <f t="shared" si="149"/>
        <v>1</v>
      </c>
      <c r="H2411">
        <f t="shared" si="150"/>
        <v>1</v>
      </c>
      <c r="I2411" s="6">
        <v>0.34097222222222223</v>
      </c>
      <c r="J2411" s="6">
        <v>0.73055555555555551</v>
      </c>
      <c r="K2411" s="7" t="s">
        <v>26</v>
      </c>
      <c r="L2411" s="7" t="s">
        <v>27</v>
      </c>
      <c r="M2411" s="7" t="s">
        <v>15</v>
      </c>
      <c r="N2411" s="7">
        <f>COUNTIFS(A:A,A2411,D:D,D2411,E:E,I2411)</f>
        <v>0</v>
      </c>
    </row>
    <row r="2412" spans="1:14" x14ac:dyDescent="0.3">
      <c r="A2412" s="7" t="s">
        <v>119</v>
      </c>
      <c r="B2412" s="7" t="s">
        <v>120</v>
      </c>
      <c r="C2412" s="7" t="s">
        <v>426</v>
      </c>
      <c r="D2412" s="8">
        <v>45340</v>
      </c>
      <c r="E2412" s="8" t="str">
        <f t="shared" si="147"/>
        <v>February</v>
      </c>
      <c r="F2412">
        <f t="shared" si="148"/>
        <v>2024</v>
      </c>
      <c r="G2412">
        <f t="shared" si="149"/>
        <v>1</v>
      </c>
      <c r="H2412">
        <f t="shared" si="150"/>
        <v>1</v>
      </c>
      <c r="I2412" s="6">
        <v>0.47847222222222224</v>
      </c>
      <c r="J2412" s="6">
        <v>0.78472222222222221</v>
      </c>
      <c r="K2412" s="7" t="s">
        <v>26</v>
      </c>
      <c r="L2412" s="7" t="s">
        <v>27</v>
      </c>
      <c r="M2412" s="7" t="s">
        <v>21</v>
      </c>
      <c r="N2412" s="7">
        <f>COUNTIFS(A:A,A2412,D:D,D2412,E:E,I2412)</f>
        <v>0</v>
      </c>
    </row>
    <row r="2413" spans="1:14" x14ac:dyDescent="0.3">
      <c r="A2413" s="7" t="s">
        <v>141</v>
      </c>
      <c r="B2413" s="7" t="s">
        <v>142</v>
      </c>
      <c r="C2413" s="7" t="s">
        <v>426</v>
      </c>
      <c r="D2413" s="8">
        <v>45374</v>
      </c>
      <c r="E2413" s="8" t="str">
        <f t="shared" si="147"/>
        <v>March</v>
      </c>
      <c r="F2413">
        <f t="shared" si="148"/>
        <v>2024</v>
      </c>
      <c r="G2413">
        <f t="shared" si="149"/>
        <v>1</v>
      </c>
      <c r="H2413">
        <f t="shared" si="150"/>
        <v>1</v>
      </c>
      <c r="I2413" s="6">
        <v>0.42777777777777776</v>
      </c>
      <c r="J2413" s="6">
        <v>0.75555555555555554</v>
      </c>
      <c r="K2413" s="7" t="s">
        <v>26</v>
      </c>
      <c r="L2413" s="7" t="s">
        <v>27</v>
      </c>
      <c r="M2413" s="7" t="s">
        <v>21</v>
      </c>
      <c r="N2413" s="7">
        <f>COUNTIFS(A:A,A2413,D:D,D2413,E:E,I2413)</f>
        <v>0</v>
      </c>
    </row>
    <row r="2414" spans="1:14" x14ac:dyDescent="0.3">
      <c r="A2414" s="7" t="s">
        <v>112</v>
      </c>
      <c r="B2414" s="7" t="s">
        <v>113</v>
      </c>
      <c r="C2414" s="7" t="s">
        <v>426</v>
      </c>
      <c r="D2414" s="8">
        <v>45627</v>
      </c>
      <c r="E2414" s="8" t="str">
        <f t="shared" si="147"/>
        <v>December</v>
      </c>
      <c r="F2414">
        <f t="shared" si="148"/>
        <v>2024</v>
      </c>
      <c r="G2414">
        <f t="shared" si="149"/>
        <v>1</v>
      </c>
      <c r="H2414">
        <f t="shared" si="150"/>
        <v>0</v>
      </c>
      <c r="I2414" s="6">
        <v>0.39097222222222222</v>
      </c>
      <c r="J2414" s="6">
        <v>0.77847222222222223</v>
      </c>
      <c r="K2414" s="7" t="s">
        <v>20</v>
      </c>
      <c r="L2414" s="7" t="s">
        <v>27</v>
      </c>
      <c r="M2414" s="7" t="s">
        <v>15</v>
      </c>
      <c r="N2414" s="7">
        <f>COUNTIFS(A:A,A2414,D:D,D2414,E:E,I2414)</f>
        <v>0</v>
      </c>
    </row>
    <row r="2415" spans="1:14" x14ac:dyDescent="0.3">
      <c r="A2415" s="7" t="s">
        <v>31</v>
      </c>
      <c r="B2415" s="7" t="s">
        <v>32</v>
      </c>
      <c r="C2415" s="7" t="s">
        <v>425</v>
      </c>
      <c r="D2415" s="8">
        <v>45309</v>
      </c>
      <c r="E2415" s="8" t="str">
        <f t="shared" si="147"/>
        <v>January</v>
      </c>
      <c r="F2415">
        <f t="shared" si="148"/>
        <v>2024</v>
      </c>
      <c r="G2415">
        <f t="shared" si="149"/>
        <v>1</v>
      </c>
      <c r="H2415">
        <f t="shared" si="150"/>
        <v>1</v>
      </c>
      <c r="I2415" s="6">
        <v>0.49722222222222223</v>
      </c>
      <c r="J2415" s="6">
        <v>0.87013888888888891</v>
      </c>
      <c r="K2415" s="7" t="s">
        <v>26</v>
      </c>
      <c r="L2415" s="7" t="s">
        <v>27</v>
      </c>
      <c r="M2415" s="7" t="s">
        <v>15</v>
      </c>
      <c r="N2415" s="7">
        <f>COUNTIFS(A:A,A2415,D:D,D2415,E:E,I2415)</f>
        <v>0</v>
      </c>
    </row>
    <row r="2416" spans="1:14" x14ac:dyDescent="0.3">
      <c r="A2416" s="7" t="s">
        <v>200</v>
      </c>
      <c r="B2416" s="7" t="s">
        <v>201</v>
      </c>
      <c r="C2416" s="7" t="s">
        <v>425</v>
      </c>
      <c r="D2416" s="8">
        <v>45376</v>
      </c>
      <c r="E2416" s="8" t="str">
        <f t="shared" si="147"/>
        <v>March</v>
      </c>
      <c r="F2416">
        <f t="shared" si="148"/>
        <v>2024</v>
      </c>
      <c r="G2416">
        <f t="shared" si="149"/>
        <v>0</v>
      </c>
      <c r="H2416">
        <f t="shared" si="150"/>
        <v>0</v>
      </c>
      <c r="I2416" s="6"/>
      <c r="J2416" s="6"/>
      <c r="K2416" s="7" t="s">
        <v>44</v>
      </c>
      <c r="L2416" s="7" t="s">
        <v>27</v>
      </c>
      <c r="M2416" s="7" t="s">
        <v>21</v>
      </c>
      <c r="N2416" s="7">
        <f>COUNTIFS(A:A,A2416,D:D,D2416,E:E,I2416)</f>
        <v>0</v>
      </c>
    </row>
    <row r="2417" spans="1:14" x14ac:dyDescent="0.3">
      <c r="A2417" s="7" t="s">
        <v>16</v>
      </c>
      <c r="B2417" s="7" t="s">
        <v>17</v>
      </c>
      <c r="C2417" s="7" t="s">
        <v>64</v>
      </c>
      <c r="D2417" s="8">
        <v>45365</v>
      </c>
      <c r="E2417" s="8" t="str">
        <f t="shared" si="147"/>
        <v>March</v>
      </c>
      <c r="F2417">
        <f t="shared" si="148"/>
        <v>2024</v>
      </c>
      <c r="G2417">
        <f t="shared" si="149"/>
        <v>1</v>
      </c>
      <c r="H2417">
        <f t="shared" si="150"/>
        <v>1</v>
      </c>
      <c r="I2417" s="6">
        <v>0.3840277777777778</v>
      </c>
      <c r="J2417" s="6">
        <v>0.81944444444444442</v>
      </c>
      <c r="K2417" s="7" t="s">
        <v>26</v>
      </c>
      <c r="L2417" s="7" t="s">
        <v>27</v>
      </c>
      <c r="M2417" s="7" t="s">
        <v>15</v>
      </c>
      <c r="N2417" s="7">
        <f>COUNTIFS(A:A,A2417,D:D,D2417,E:E,I2417)</f>
        <v>0</v>
      </c>
    </row>
    <row r="2418" spans="1:14" x14ac:dyDescent="0.3">
      <c r="A2418" s="7" t="s">
        <v>171</v>
      </c>
      <c r="B2418" s="7" t="s">
        <v>172</v>
      </c>
      <c r="C2418" s="7" t="s">
        <v>426</v>
      </c>
      <c r="D2418" s="8">
        <v>45325</v>
      </c>
      <c r="E2418" s="8" t="str">
        <f t="shared" si="147"/>
        <v>February</v>
      </c>
      <c r="F2418">
        <f t="shared" si="148"/>
        <v>2024</v>
      </c>
      <c r="G2418">
        <f t="shared" si="149"/>
        <v>1</v>
      </c>
      <c r="H2418">
        <f t="shared" si="150"/>
        <v>0</v>
      </c>
      <c r="I2418" s="6">
        <v>0.38750000000000001</v>
      </c>
      <c r="J2418" s="6">
        <v>0.80069444444444449</v>
      </c>
      <c r="K2418" s="7" t="s">
        <v>20</v>
      </c>
      <c r="L2418" s="7" t="s">
        <v>14</v>
      </c>
      <c r="M2418" s="7" t="s">
        <v>21</v>
      </c>
      <c r="N2418" s="7">
        <f>COUNTIFS(A:A,A2418,D:D,D2418,E:E,I2418)</f>
        <v>0</v>
      </c>
    </row>
    <row r="2419" spans="1:14" x14ac:dyDescent="0.3">
      <c r="A2419" s="7" t="s">
        <v>175</v>
      </c>
      <c r="B2419" s="7" t="s">
        <v>176</v>
      </c>
      <c r="C2419" s="7" t="s">
        <v>64</v>
      </c>
      <c r="D2419" s="8">
        <v>45599</v>
      </c>
      <c r="E2419" s="8" t="str">
        <f t="shared" si="147"/>
        <v>November</v>
      </c>
      <c r="F2419">
        <f t="shared" si="148"/>
        <v>2024</v>
      </c>
      <c r="G2419">
        <f t="shared" si="149"/>
        <v>0</v>
      </c>
      <c r="H2419">
        <f t="shared" si="150"/>
        <v>0</v>
      </c>
      <c r="I2419" s="6"/>
      <c r="J2419" s="6"/>
      <c r="K2419" s="7" t="s">
        <v>44</v>
      </c>
      <c r="L2419" s="7" t="s">
        <v>27</v>
      </c>
      <c r="M2419" s="7" t="s">
        <v>21</v>
      </c>
      <c r="N2419" s="7">
        <f>COUNTIFS(A:A,A2419,D:D,D2419,E:E,I2419)</f>
        <v>0</v>
      </c>
    </row>
    <row r="2420" spans="1:14" x14ac:dyDescent="0.3">
      <c r="A2420" s="7" t="s">
        <v>246</v>
      </c>
      <c r="B2420" s="7" t="s">
        <v>247</v>
      </c>
      <c r="C2420" s="7" t="s">
        <v>60</v>
      </c>
      <c r="D2420" s="8">
        <v>45322</v>
      </c>
      <c r="E2420" s="8" t="str">
        <f t="shared" si="147"/>
        <v>January</v>
      </c>
      <c r="F2420">
        <f t="shared" si="148"/>
        <v>2024</v>
      </c>
      <c r="G2420">
        <f t="shared" si="149"/>
        <v>1</v>
      </c>
      <c r="H2420">
        <f t="shared" si="150"/>
        <v>0</v>
      </c>
      <c r="I2420" s="6">
        <v>0.40833333333333333</v>
      </c>
      <c r="J2420" s="6">
        <v>0.80833333333333335</v>
      </c>
      <c r="K2420" s="7" t="s">
        <v>13</v>
      </c>
      <c r="L2420" s="7" t="s">
        <v>14</v>
      </c>
      <c r="M2420" s="7" t="s">
        <v>21</v>
      </c>
      <c r="N2420" s="7">
        <f>COUNTIFS(A:A,A2420,D:D,D2420,E:E,I2420)</f>
        <v>0</v>
      </c>
    </row>
    <row r="2421" spans="1:14" x14ac:dyDescent="0.3">
      <c r="A2421" s="7" t="s">
        <v>171</v>
      </c>
      <c r="B2421" s="7" t="s">
        <v>172</v>
      </c>
      <c r="C2421" s="7" t="s">
        <v>64</v>
      </c>
      <c r="D2421" s="8">
        <v>45325</v>
      </c>
      <c r="E2421" s="8" t="str">
        <f t="shared" si="147"/>
        <v>February</v>
      </c>
      <c r="F2421">
        <f t="shared" si="148"/>
        <v>2024</v>
      </c>
      <c r="G2421">
        <f t="shared" si="149"/>
        <v>1</v>
      </c>
      <c r="H2421">
        <f t="shared" si="150"/>
        <v>1</v>
      </c>
      <c r="I2421" s="6">
        <v>0.47499999999999998</v>
      </c>
      <c r="J2421" s="6">
        <v>0.85277777777777775</v>
      </c>
      <c r="K2421" s="7" t="s">
        <v>26</v>
      </c>
      <c r="L2421" s="7" t="s">
        <v>14</v>
      </c>
      <c r="M2421" s="7" t="s">
        <v>21</v>
      </c>
      <c r="N2421" s="7">
        <f>COUNTIFS(A:A,A2421,D:D,D2421,E:E,I2421)</f>
        <v>0</v>
      </c>
    </row>
    <row r="2422" spans="1:14" x14ac:dyDescent="0.3">
      <c r="A2422" s="7" t="s">
        <v>236</v>
      </c>
      <c r="B2422" s="7" t="s">
        <v>237</v>
      </c>
      <c r="C2422" s="7" t="s">
        <v>64</v>
      </c>
      <c r="D2422" s="8">
        <v>45320</v>
      </c>
      <c r="E2422" s="8" t="str">
        <f t="shared" si="147"/>
        <v>January</v>
      </c>
      <c r="F2422">
        <f t="shared" si="148"/>
        <v>2024</v>
      </c>
      <c r="G2422">
        <f t="shared" si="149"/>
        <v>1</v>
      </c>
      <c r="H2422">
        <f t="shared" si="150"/>
        <v>0</v>
      </c>
      <c r="I2422" s="6">
        <v>0.44791666666666669</v>
      </c>
      <c r="J2422" s="6">
        <v>0.71875</v>
      </c>
      <c r="K2422" s="7" t="s">
        <v>13</v>
      </c>
      <c r="L2422" s="7" t="s">
        <v>14</v>
      </c>
      <c r="M2422" s="7" t="s">
        <v>21</v>
      </c>
      <c r="N2422" s="7">
        <f>COUNTIFS(A:A,A2422,D:D,D2422,E:E,I2422)</f>
        <v>0</v>
      </c>
    </row>
    <row r="2423" spans="1:14" x14ac:dyDescent="0.3">
      <c r="A2423" s="7" t="s">
        <v>362</v>
      </c>
      <c r="B2423" s="7" t="s">
        <v>363</v>
      </c>
      <c r="C2423" s="7" t="s">
        <v>425</v>
      </c>
      <c r="D2423" s="8">
        <v>45597</v>
      </c>
      <c r="E2423" s="8" t="str">
        <f t="shared" si="147"/>
        <v>November</v>
      </c>
      <c r="F2423">
        <f t="shared" si="148"/>
        <v>2024</v>
      </c>
      <c r="G2423">
        <f t="shared" si="149"/>
        <v>1</v>
      </c>
      <c r="H2423">
        <f t="shared" si="150"/>
        <v>0</v>
      </c>
      <c r="I2423" s="6">
        <v>0.3659722222222222</v>
      </c>
      <c r="J2423" s="6">
        <v>0.82916666666666672</v>
      </c>
      <c r="K2423" s="7" t="s">
        <v>13</v>
      </c>
      <c r="L2423" s="7" t="s">
        <v>27</v>
      </c>
      <c r="M2423" s="7" t="s">
        <v>21</v>
      </c>
      <c r="N2423" s="7">
        <f>COUNTIFS(A:A,A2423,D:D,D2423,E:E,I2423)</f>
        <v>0</v>
      </c>
    </row>
    <row r="2424" spans="1:14" x14ac:dyDescent="0.3">
      <c r="A2424" s="7" t="s">
        <v>150</v>
      </c>
      <c r="B2424" s="7" t="s">
        <v>151</v>
      </c>
      <c r="C2424" s="7" t="s">
        <v>60</v>
      </c>
      <c r="D2424" s="8">
        <v>45350</v>
      </c>
      <c r="E2424" s="8" t="str">
        <f t="shared" si="147"/>
        <v>February</v>
      </c>
      <c r="F2424">
        <f t="shared" si="148"/>
        <v>2024</v>
      </c>
      <c r="G2424">
        <f t="shared" si="149"/>
        <v>1</v>
      </c>
      <c r="H2424">
        <f t="shared" si="150"/>
        <v>1</v>
      </c>
      <c r="I2424" s="6">
        <v>0.39444444444444443</v>
      </c>
      <c r="J2424" s="6">
        <v>0.84375</v>
      </c>
      <c r="K2424" s="7" t="s">
        <v>26</v>
      </c>
      <c r="L2424" s="7" t="s">
        <v>14</v>
      </c>
      <c r="M2424" s="7" t="s">
        <v>21</v>
      </c>
      <c r="N2424" s="7">
        <f>COUNTIFS(A:A,A2424,D:D,D2424,E:E,I2424)</f>
        <v>0</v>
      </c>
    </row>
    <row r="2425" spans="1:14" x14ac:dyDescent="0.3">
      <c r="A2425" s="7" t="s">
        <v>55</v>
      </c>
      <c r="B2425" s="7" t="s">
        <v>56</v>
      </c>
      <c r="C2425" s="7" t="s">
        <v>426</v>
      </c>
      <c r="D2425" s="8">
        <v>45336</v>
      </c>
      <c r="E2425" s="8" t="str">
        <f t="shared" si="147"/>
        <v>February</v>
      </c>
      <c r="F2425">
        <f t="shared" si="148"/>
        <v>2024</v>
      </c>
      <c r="G2425">
        <f t="shared" si="149"/>
        <v>1</v>
      </c>
      <c r="H2425">
        <f t="shared" si="150"/>
        <v>0</v>
      </c>
      <c r="I2425" s="6">
        <v>0.47638888888888886</v>
      </c>
      <c r="J2425" s="6">
        <v>0.76875000000000004</v>
      </c>
      <c r="K2425" s="7" t="s">
        <v>20</v>
      </c>
      <c r="L2425" s="7" t="s">
        <v>27</v>
      </c>
      <c r="M2425" s="7" t="s">
        <v>15</v>
      </c>
      <c r="N2425" s="7">
        <f>COUNTIFS(A:A,A2425,D:D,D2425,E:E,I2425)</f>
        <v>0</v>
      </c>
    </row>
    <row r="2426" spans="1:14" x14ac:dyDescent="0.3">
      <c r="A2426" s="7" t="s">
        <v>115</v>
      </c>
      <c r="B2426" s="7" t="s">
        <v>116</v>
      </c>
      <c r="C2426" s="7" t="s">
        <v>60</v>
      </c>
      <c r="D2426" s="8">
        <v>45304</v>
      </c>
      <c r="E2426" s="8" t="str">
        <f t="shared" si="147"/>
        <v>January</v>
      </c>
      <c r="F2426">
        <f t="shared" si="148"/>
        <v>2024</v>
      </c>
      <c r="G2426">
        <f t="shared" si="149"/>
        <v>1</v>
      </c>
      <c r="H2426">
        <f t="shared" si="150"/>
        <v>1</v>
      </c>
      <c r="I2426" s="6">
        <v>0.3659722222222222</v>
      </c>
      <c r="J2426" s="6">
        <v>0.84236111111111112</v>
      </c>
      <c r="K2426" s="7" t="s">
        <v>26</v>
      </c>
      <c r="L2426" s="7" t="s">
        <v>27</v>
      </c>
      <c r="M2426" s="7" t="s">
        <v>15</v>
      </c>
      <c r="N2426" s="7">
        <f>COUNTIFS(A:A,A2426,D:D,D2426,E:E,I2426)</f>
        <v>0</v>
      </c>
    </row>
    <row r="2427" spans="1:14" x14ac:dyDescent="0.3">
      <c r="A2427" s="7" t="s">
        <v>16</v>
      </c>
      <c r="B2427" s="7" t="s">
        <v>17</v>
      </c>
      <c r="C2427" s="7" t="s">
        <v>64</v>
      </c>
      <c r="D2427" s="8">
        <v>45323</v>
      </c>
      <c r="E2427" s="8" t="str">
        <f t="shared" si="147"/>
        <v>February</v>
      </c>
      <c r="F2427">
        <f t="shared" si="148"/>
        <v>2024</v>
      </c>
      <c r="G2427">
        <f t="shared" si="149"/>
        <v>1</v>
      </c>
      <c r="H2427">
        <f t="shared" si="150"/>
        <v>0</v>
      </c>
      <c r="I2427" s="6">
        <v>0.45</v>
      </c>
      <c r="J2427" s="6">
        <v>0.71875</v>
      </c>
      <c r="K2427" s="7" t="s">
        <v>20</v>
      </c>
      <c r="L2427" s="7" t="s">
        <v>14</v>
      </c>
      <c r="M2427" s="7" t="s">
        <v>21</v>
      </c>
      <c r="N2427" s="7">
        <f>COUNTIFS(A:A,A2427,D:D,D2427,E:E,I2427)</f>
        <v>0</v>
      </c>
    </row>
    <row r="2428" spans="1:14" x14ac:dyDescent="0.3">
      <c r="A2428" s="7" t="s">
        <v>62</v>
      </c>
      <c r="B2428" s="7" t="s">
        <v>63</v>
      </c>
      <c r="C2428" s="7" t="s">
        <v>64</v>
      </c>
      <c r="D2428" s="8">
        <v>45369</v>
      </c>
      <c r="E2428" s="8" t="str">
        <f t="shared" si="147"/>
        <v>March</v>
      </c>
      <c r="F2428">
        <f t="shared" si="148"/>
        <v>2024</v>
      </c>
      <c r="G2428">
        <f t="shared" si="149"/>
        <v>1</v>
      </c>
      <c r="H2428">
        <f t="shared" si="150"/>
        <v>1</v>
      </c>
      <c r="I2428" s="6">
        <v>0.37361111111111112</v>
      </c>
      <c r="J2428" s="6">
        <v>0.6875</v>
      </c>
      <c r="K2428" s="7" t="s">
        <v>26</v>
      </c>
      <c r="L2428" s="7" t="s">
        <v>14</v>
      </c>
      <c r="M2428" s="7" t="s">
        <v>21</v>
      </c>
      <c r="N2428" s="7">
        <f>COUNTIFS(A:A,A2428,D:D,D2428,E:E,I2428)</f>
        <v>0</v>
      </c>
    </row>
    <row r="2429" spans="1:14" x14ac:dyDescent="0.3">
      <c r="A2429" s="7" t="s">
        <v>216</v>
      </c>
      <c r="B2429" s="7" t="s">
        <v>217</v>
      </c>
      <c r="C2429" s="7" t="s">
        <v>64</v>
      </c>
      <c r="D2429" s="8">
        <v>45308</v>
      </c>
      <c r="E2429" s="8" t="str">
        <f t="shared" si="147"/>
        <v>January</v>
      </c>
      <c r="F2429">
        <f t="shared" si="148"/>
        <v>2024</v>
      </c>
      <c r="G2429">
        <f t="shared" si="149"/>
        <v>1</v>
      </c>
      <c r="H2429">
        <f t="shared" si="150"/>
        <v>1</v>
      </c>
      <c r="I2429" s="6">
        <v>0.46736111111111112</v>
      </c>
      <c r="J2429" s="6">
        <v>0.71180555555555558</v>
      </c>
      <c r="K2429" s="7" t="s">
        <v>26</v>
      </c>
      <c r="L2429" s="7" t="s">
        <v>27</v>
      </c>
      <c r="M2429" s="7" t="s">
        <v>15</v>
      </c>
      <c r="N2429" s="7">
        <f>COUNTIFS(A:A,A2429,D:D,D2429,E:E,I2429)</f>
        <v>0</v>
      </c>
    </row>
    <row r="2430" spans="1:14" x14ac:dyDescent="0.3">
      <c r="A2430" s="7" t="s">
        <v>84</v>
      </c>
      <c r="B2430" s="7" t="s">
        <v>85</v>
      </c>
      <c r="C2430" s="7" t="s">
        <v>60</v>
      </c>
      <c r="D2430" s="8">
        <v>45320</v>
      </c>
      <c r="E2430" s="8" t="str">
        <f t="shared" si="147"/>
        <v>January</v>
      </c>
      <c r="F2430">
        <f t="shared" si="148"/>
        <v>2024</v>
      </c>
      <c r="G2430">
        <f t="shared" si="149"/>
        <v>1</v>
      </c>
      <c r="H2430">
        <f t="shared" si="150"/>
        <v>0</v>
      </c>
      <c r="I2430" s="6">
        <v>0.35</v>
      </c>
      <c r="J2430" s="6">
        <v>0.71736111111111112</v>
      </c>
      <c r="K2430" s="7" t="s">
        <v>20</v>
      </c>
      <c r="L2430" s="7" t="s">
        <v>14</v>
      </c>
      <c r="M2430" s="7" t="s">
        <v>15</v>
      </c>
      <c r="N2430" s="7">
        <f>COUNTIFS(A:A,A2430,D:D,D2430,E:E,I2430)</f>
        <v>0</v>
      </c>
    </row>
    <row r="2431" spans="1:14" x14ac:dyDescent="0.3">
      <c r="A2431" s="7" t="s">
        <v>138</v>
      </c>
      <c r="B2431" s="7" t="s">
        <v>139</v>
      </c>
      <c r="C2431" s="7" t="s">
        <v>64</v>
      </c>
      <c r="D2431" s="8">
        <v>45381</v>
      </c>
      <c r="E2431" s="8" t="str">
        <f t="shared" si="147"/>
        <v>March</v>
      </c>
      <c r="F2431">
        <f t="shared" si="148"/>
        <v>2024</v>
      </c>
      <c r="G2431">
        <f t="shared" si="149"/>
        <v>1</v>
      </c>
      <c r="H2431">
        <f t="shared" si="150"/>
        <v>0</v>
      </c>
      <c r="I2431" s="6">
        <v>0.41319444444444442</v>
      </c>
      <c r="J2431" s="6">
        <v>0.87152777777777779</v>
      </c>
      <c r="K2431" s="7" t="s">
        <v>13</v>
      </c>
      <c r="L2431" s="7" t="s">
        <v>27</v>
      </c>
      <c r="M2431" s="7" t="s">
        <v>21</v>
      </c>
      <c r="N2431" s="7">
        <f>COUNTIFS(A:A,A2431,D:D,D2431,E:E,I2431)</f>
        <v>0</v>
      </c>
    </row>
    <row r="2432" spans="1:14" x14ac:dyDescent="0.3">
      <c r="A2432" s="7" t="s">
        <v>146</v>
      </c>
      <c r="B2432" s="7" t="s">
        <v>147</v>
      </c>
      <c r="C2432" s="7" t="s">
        <v>42</v>
      </c>
      <c r="D2432" s="8">
        <v>45628</v>
      </c>
      <c r="E2432" s="8" t="str">
        <f t="shared" si="147"/>
        <v>December</v>
      </c>
      <c r="F2432">
        <f t="shared" si="148"/>
        <v>2024</v>
      </c>
      <c r="G2432">
        <f t="shared" si="149"/>
        <v>1</v>
      </c>
      <c r="H2432">
        <f t="shared" si="150"/>
        <v>0</v>
      </c>
      <c r="I2432" s="6">
        <v>0.36388888888888887</v>
      </c>
      <c r="J2432" s="6">
        <v>0.78402777777777777</v>
      </c>
      <c r="K2432" s="7" t="s">
        <v>13</v>
      </c>
      <c r="L2432" s="7" t="s">
        <v>27</v>
      </c>
      <c r="M2432" s="7" t="s">
        <v>21</v>
      </c>
      <c r="N2432" s="7">
        <f>COUNTIFS(A:A,A2432,D:D,D2432,E:E,I2432)</f>
        <v>0</v>
      </c>
    </row>
    <row r="2433" spans="1:14" x14ac:dyDescent="0.3">
      <c r="A2433" s="7" t="s">
        <v>204</v>
      </c>
      <c r="B2433" s="7" t="s">
        <v>205</v>
      </c>
      <c r="C2433" s="7" t="s">
        <v>426</v>
      </c>
      <c r="D2433" s="8">
        <v>45347</v>
      </c>
      <c r="E2433" s="8" t="str">
        <f t="shared" si="147"/>
        <v>February</v>
      </c>
      <c r="F2433">
        <f t="shared" si="148"/>
        <v>2024</v>
      </c>
      <c r="G2433">
        <f t="shared" si="149"/>
        <v>0</v>
      </c>
      <c r="H2433">
        <f t="shared" si="150"/>
        <v>0</v>
      </c>
      <c r="I2433" s="6"/>
      <c r="J2433" s="6"/>
      <c r="K2433" s="7" t="s">
        <v>44</v>
      </c>
      <c r="L2433" s="7" t="s">
        <v>27</v>
      </c>
      <c r="M2433" s="7" t="s">
        <v>15</v>
      </c>
      <c r="N2433" s="7">
        <f>COUNTIFS(A:A,A2433,D:D,D2433,E:E,I2433)</f>
        <v>0</v>
      </c>
    </row>
    <row r="2434" spans="1:14" x14ac:dyDescent="0.3">
      <c r="A2434" s="7" t="s">
        <v>69</v>
      </c>
      <c r="B2434" s="7" t="s">
        <v>70</v>
      </c>
      <c r="C2434" s="7" t="s">
        <v>42</v>
      </c>
      <c r="D2434" s="8">
        <v>45536</v>
      </c>
      <c r="E2434" s="8" t="str">
        <f>TEXT(D2434,"mmmm")</f>
        <v>September</v>
      </c>
      <c r="F2434">
        <f t="shared" ref="F2434:F2495" si="151">YEAR(D2434)</f>
        <v>2024</v>
      </c>
      <c r="G2434">
        <f t="shared" ref="G2434:G2495" si="152">IF(LOWER(K2434)="absent",0,1)</f>
        <v>1</v>
      </c>
      <c r="H2434">
        <f t="shared" ref="H2434:H2495" si="153">IF(K2434="Late",1,0)</f>
        <v>0</v>
      </c>
      <c r="I2434" s="6">
        <v>0.48680555555555555</v>
      </c>
      <c r="J2434" s="6">
        <v>0.84652777777777777</v>
      </c>
      <c r="K2434" s="7" t="s">
        <v>20</v>
      </c>
      <c r="L2434" s="7" t="s">
        <v>14</v>
      </c>
      <c r="M2434" s="7" t="s">
        <v>15</v>
      </c>
      <c r="N2434" s="7">
        <f>COUNTIFS(A:A,A2434,D:D,D2434,E:E,I2434)</f>
        <v>0</v>
      </c>
    </row>
    <row r="2435" spans="1:14" x14ac:dyDescent="0.3">
      <c r="A2435" s="7" t="s">
        <v>34</v>
      </c>
      <c r="B2435" s="7" t="s">
        <v>35</v>
      </c>
      <c r="C2435" s="7" t="s">
        <v>64</v>
      </c>
      <c r="D2435" s="8">
        <v>45351</v>
      </c>
      <c r="E2435" s="8" t="str">
        <f>TEXT(D2435,"mmmm")</f>
        <v>February</v>
      </c>
      <c r="F2435">
        <f t="shared" si="151"/>
        <v>2024</v>
      </c>
      <c r="G2435">
        <f t="shared" si="152"/>
        <v>1</v>
      </c>
      <c r="H2435">
        <f t="shared" si="153"/>
        <v>0</v>
      </c>
      <c r="I2435" s="6">
        <v>0.40763888888888888</v>
      </c>
      <c r="J2435" s="6">
        <v>0.8618055555555556</v>
      </c>
      <c r="K2435" s="7" t="s">
        <v>13</v>
      </c>
      <c r="L2435" s="7" t="s">
        <v>14</v>
      </c>
      <c r="M2435" s="7" t="s">
        <v>15</v>
      </c>
      <c r="N2435" s="7">
        <f>COUNTIFS(A:A,A2435,D:D,D2435,E:E,I2435)</f>
        <v>0</v>
      </c>
    </row>
    <row r="2436" spans="1:14" x14ac:dyDescent="0.3">
      <c r="A2436" s="7" t="s">
        <v>55</v>
      </c>
      <c r="B2436" s="7" t="s">
        <v>56</v>
      </c>
      <c r="C2436" s="7" t="s">
        <v>425</v>
      </c>
      <c r="D2436" s="8">
        <v>45374</v>
      </c>
      <c r="E2436" s="8" t="str">
        <f>TEXT(D2436,"mmmm")</f>
        <v>March</v>
      </c>
      <c r="F2436">
        <f t="shared" si="151"/>
        <v>2024</v>
      </c>
      <c r="G2436">
        <f t="shared" si="152"/>
        <v>1</v>
      </c>
      <c r="H2436">
        <f t="shared" si="153"/>
        <v>1</v>
      </c>
      <c r="I2436" s="6">
        <v>0.36319444444444443</v>
      </c>
      <c r="J2436" s="6">
        <v>0.80069444444444449</v>
      </c>
      <c r="K2436" s="7" t="s">
        <v>26</v>
      </c>
      <c r="L2436" s="7" t="s">
        <v>27</v>
      </c>
      <c r="M2436" s="7" t="s">
        <v>15</v>
      </c>
      <c r="N2436" s="7">
        <f>COUNTIFS(A:A,A2436,D:D,D2436,E:E,I2436)</f>
        <v>0</v>
      </c>
    </row>
    <row r="2437" spans="1:14" x14ac:dyDescent="0.3">
      <c r="A2437" s="7" t="s">
        <v>197</v>
      </c>
      <c r="B2437" s="7" t="s">
        <v>198</v>
      </c>
      <c r="C2437" s="7" t="s">
        <v>60</v>
      </c>
      <c r="D2437" s="8">
        <v>45599</v>
      </c>
      <c r="E2437" s="8" t="str">
        <f>TEXT(D2437,"mmmm")</f>
        <v>November</v>
      </c>
      <c r="F2437">
        <f t="shared" si="151"/>
        <v>2024</v>
      </c>
      <c r="G2437">
        <f t="shared" si="152"/>
        <v>1</v>
      </c>
      <c r="H2437">
        <f t="shared" si="153"/>
        <v>0</v>
      </c>
      <c r="I2437" s="6">
        <v>0.47847222222222224</v>
      </c>
      <c r="J2437" s="6">
        <v>0.74791666666666667</v>
      </c>
      <c r="K2437" s="7" t="s">
        <v>20</v>
      </c>
      <c r="L2437" s="7" t="s">
        <v>27</v>
      </c>
      <c r="M2437" s="7" t="s">
        <v>15</v>
      </c>
      <c r="N2437" s="7">
        <f>COUNTIFS(A:A,A2437,D:D,D2437,E:E,I2437)</f>
        <v>0</v>
      </c>
    </row>
    <row r="2438" spans="1:14" x14ac:dyDescent="0.3">
      <c r="A2438" s="7" t="s">
        <v>187</v>
      </c>
      <c r="B2438" s="7" t="s">
        <v>188</v>
      </c>
      <c r="C2438" s="7" t="s">
        <v>425</v>
      </c>
      <c r="D2438" s="8">
        <v>45317</v>
      </c>
      <c r="E2438" s="8" t="str">
        <f>TEXT(D2438,"mmmm")</f>
        <v>January</v>
      </c>
      <c r="F2438">
        <f t="shared" si="151"/>
        <v>2024</v>
      </c>
      <c r="G2438">
        <f t="shared" si="152"/>
        <v>0</v>
      </c>
      <c r="H2438">
        <f t="shared" si="153"/>
        <v>0</v>
      </c>
      <c r="I2438" s="6"/>
      <c r="J2438" s="6"/>
      <c r="K2438" s="7" t="s">
        <v>44</v>
      </c>
      <c r="L2438" s="7" t="s">
        <v>14</v>
      </c>
      <c r="M2438" s="7" t="s">
        <v>15</v>
      </c>
      <c r="N2438" s="7">
        <f>COUNTIFS(A:A,A2438,D:D,D2438,E:E,I2438)</f>
        <v>0</v>
      </c>
    </row>
    <row r="2439" spans="1:14" x14ac:dyDescent="0.3">
      <c r="A2439" s="7" t="s">
        <v>269</v>
      </c>
      <c r="B2439" s="7" t="s">
        <v>270</v>
      </c>
      <c r="C2439" s="7" t="s">
        <v>64</v>
      </c>
      <c r="D2439" s="8">
        <v>45628</v>
      </c>
      <c r="E2439" s="8" t="str">
        <f>TEXT(D2439,"mmmm")</f>
        <v>December</v>
      </c>
      <c r="F2439">
        <f t="shared" si="151"/>
        <v>2024</v>
      </c>
      <c r="G2439">
        <f t="shared" si="152"/>
        <v>1</v>
      </c>
      <c r="H2439">
        <f t="shared" si="153"/>
        <v>0</v>
      </c>
      <c r="I2439" s="6">
        <v>0.37847222222222221</v>
      </c>
      <c r="J2439" s="6">
        <v>0.87013888888888891</v>
      </c>
      <c r="K2439" s="7" t="s">
        <v>20</v>
      </c>
      <c r="L2439" s="7" t="s">
        <v>27</v>
      </c>
      <c r="M2439" s="7" t="s">
        <v>15</v>
      </c>
      <c r="N2439" s="7">
        <f>COUNTIFS(A:A,A2439,D:D,D2439,E:E,I2439)</f>
        <v>0</v>
      </c>
    </row>
    <row r="2440" spans="1:14" x14ac:dyDescent="0.3">
      <c r="A2440" s="7" t="s">
        <v>93</v>
      </c>
      <c r="B2440" s="7" t="s">
        <v>94</v>
      </c>
      <c r="C2440" s="7" t="s">
        <v>64</v>
      </c>
      <c r="D2440" s="8">
        <v>45294</v>
      </c>
      <c r="E2440" s="8" t="str">
        <f>TEXT(D2440,"mmmm")</f>
        <v>January</v>
      </c>
      <c r="F2440">
        <f t="shared" si="151"/>
        <v>2024</v>
      </c>
      <c r="G2440">
        <f t="shared" si="152"/>
        <v>1</v>
      </c>
      <c r="H2440">
        <f t="shared" si="153"/>
        <v>0</v>
      </c>
      <c r="I2440" s="6">
        <v>0.48472222222222222</v>
      </c>
      <c r="J2440" s="6">
        <v>0.72361111111111109</v>
      </c>
      <c r="K2440" s="7" t="s">
        <v>20</v>
      </c>
      <c r="L2440" s="7" t="s">
        <v>27</v>
      </c>
      <c r="M2440" s="7" t="s">
        <v>15</v>
      </c>
      <c r="N2440" s="7">
        <f>COUNTIFS(A:A,A2440,D:D,D2440,E:E,I2440)</f>
        <v>0</v>
      </c>
    </row>
    <row r="2441" spans="1:14" x14ac:dyDescent="0.3">
      <c r="A2441" s="7" t="s">
        <v>28</v>
      </c>
      <c r="B2441" s="7" t="s">
        <v>29</v>
      </c>
      <c r="C2441" s="7" t="s">
        <v>425</v>
      </c>
      <c r="D2441" s="8">
        <v>45313</v>
      </c>
      <c r="E2441" s="8" t="str">
        <f>TEXT(D2441,"mmmm")</f>
        <v>January</v>
      </c>
      <c r="F2441">
        <f t="shared" si="151"/>
        <v>2024</v>
      </c>
      <c r="G2441">
        <f t="shared" si="152"/>
        <v>1</v>
      </c>
      <c r="H2441">
        <f t="shared" si="153"/>
        <v>0</v>
      </c>
      <c r="I2441" s="6">
        <v>0.44861111111111113</v>
      </c>
      <c r="J2441" s="6">
        <v>0.7104166666666667</v>
      </c>
      <c r="K2441" s="7" t="s">
        <v>20</v>
      </c>
      <c r="L2441" s="7" t="s">
        <v>14</v>
      </c>
      <c r="M2441" s="7" t="s">
        <v>15</v>
      </c>
      <c r="N2441" s="7">
        <f>COUNTIFS(A:A,A2441,D:D,D2441,E:E,I2441)</f>
        <v>0</v>
      </c>
    </row>
    <row r="2442" spans="1:14" x14ac:dyDescent="0.3">
      <c r="A2442" s="7" t="s">
        <v>52</v>
      </c>
      <c r="B2442" s="7" t="s">
        <v>53</v>
      </c>
      <c r="C2442" s="7" t="s">
        <v>64</v>
      </c>
      <c r="D2442" s="8">
        <v>45372</v>
      </c>
      <c r="E2442" s="8" t="str">
        <f>TEXT(D2442,"mmmm")</f>
        <v>March</v>
      </c>
      <c r="F2442">
        <f t="shared" si="151"/>
        <v>2024</v>
      </c>
      <c r="G2442">
        <f t="shared" si="152"/>
        <v>0</v>
      </c>
      <c r="H2442">
        <f t="shared" si="153"/>
        <v>0</v>
      </c>
      <c r="I2442" s="6"/>
      <c r="J2442" s="6"/>
      <c r="K2442" s="7" t="s">
        <v>44</v>
      </c>
      <c r="L2442" s="7" t="s">
        <v>27</v>
      </c>
      <c r="M2442" s="7" t="s">
        <v>21</v>
      </c>
      <c r="N2442" s="7">
        <f>COUNTIFS(A:A,A2442,D:D,D2442,E:E,I2442)</f>
        <v>0</v>
      </c>
    </row>
    <row r="2443" spans="1:14" x14ac:dyDescent="0.3">
      <c r="A2443" s="7" t="s">
        <v>75</v>
      </c>
      <c r="B2443" s="7" t="s">
        <v>76</v>
      </c>
      <c r="C2443" s="7" t="s">
        <v>64</v>
      </c>
      <c r="D2443" s="8">
        <v>45324</v>
      </c>
      <c r="E2443" s="8" t="str">
        <f>TEXT(D2443,"mmmm")</f>
        <v>February</v>
      </c>
      <c r="F2443">
        <f t="shared" si="151"/>
        <v>2024</v>
      </c>
      <c r="G2443">
        <f t="shared" si="152"/>
        <v>1</v>
      </c>
      <c r="H2443">
        <f t="shared" si="153"/>
        <v>1</v>
      </c>
      <c r="I2443" s="6">
        <v>0.40486111111111112</v>
      </c>
      <c r="J2443" s="6">
        <v>0.68263888888888891</v>
      </c>
      <c r="K2443" s="7" t="s">
        <v>26</v>
      </c>
      <c r="L2443" s="7" t="s">
        <v>14</v>
      </c>
      <c r="M2443" s="7" t="s">
        <v>15</v>
      </c>
      <c r="N2443" s="7">
        <f>COUNTIFS(A:A,A2443,D:D,D2443,E:E,I2443)</f>
        <v>0</v>
      </c>
    </row>
    <row r="2444" spans="1:14" x14ac:dyDescent="0.3">
      <c r="A2444" s="7" t="s">
        <v>197</v>
      </c>
      <c r="B2444" s="7" t="s">
        <v>198</v>
      </c>
      <c r="C2444" s="7" t="s">
        <v>425</v>
      </c>
      <c r="D2444" s="8">
        <v>45537</v>
      </c>
      <c r="E2444" s="8" t="str">
        <f>TEXT(D2444,"mmmm")</f>
        <v>September</v>
      </c>
      <c r="F2444">
        <f t="shared" si="151"/>
        <v>2024</v>
      </c>
      <c r="G2444">
        <f t="shared" si="152"/>
        <v>0</v>
      </c>
      <c r="H2444">
        <f t="shared" si="153"/>
        <v>0</v>
      </c>
      <c r="I2444" s="6"/>
      <c r="J2444" s="6"/>
      <c r="K2444" s="7" t="s">
        <v>44</v>
      </c>
      <c r="L2444" s="7" t="s">
        <v>14</v>
      </c>
      <c r="M2444" s="7" t="s">
        <v>21</v>
      </c>
      <c r="N2444" s="7">
        <f>COUNTIFS(A:A,A2444,D:D,D2444,E:E,I2444)</f>
        <v>0</v>
      </c>
    </row>
    <row r="2445" spans="1:14" x14ac:dyDescent="0.3">
      <c r="A2445" s="7" t="s">
        <v>200</v>
      </c>
      <c r="B2445" s="7" t="s">
        <v>201</v>
      </c>
      <c r="C2445" s="7" t="s">
        <v>426</v>
      </c>
      <c r="D2445" s="8">
        <v>45378</v>
      </c>
      <c r="E2445" s="8" t="str">
        <f>TEXT(D2445,"mmmm")</f>
        <v>March</v>
      </c>
      <c r="F2445">
        <f t="shared" si="151"/>
        <v>2024</v>
      </c>
      <c r="G2445">
        <f t="shared" si="152"/>
        <v>1</v>
      </c>
      <c r="H2445">
        <f t="shared" si="153"/>
        <v>1</v>
      </c>
      <c r="I2445" s="6">
        <v>0.40763888888888888</v>
      </c>
      <c r="J2445" s="6">
        <v>0.70833333333333337</v>
      </c>
      <c r="K2445" s="7" t="s">
        <v>26</v>
      </c>
      <c r="L2445" s="7" t="s">
        <v>14</v>
      </c>
      <c r="M2445" s="7" t="s">
        <v>15</v>
      </c>
      <c r="N2445" s="7">
        <f>COUNTIFS(A:A,A2445,D:D,D2445,E:E,I2445)</f>
        <v>0</v>
      </c>
    </row>
    <row r="2446" spans="1:14" x14ac:dyDescent="0.3">
      <c r="A2446" s="7" t="s">
        <v>150</v>
      </c>
      <c r="B2446" s="7" t="s">
        <v>151</v>
      </c>
      <c r="C2446" s="7" t="s">
        <v>64</v>
      </c>
      <c r="D2446" s="8">
        <v>45325</v>
      </c>
      <c r="E2446" s="8" t="str">
        <f>TEXT(D2446,"mmmm")</f>
        <v>February</v>
      </c>
      <c r="F2446">
        <f t="shared" si="151"/>
        <v>2024</v>
      </c>
      <c r="G2446">
        <f t="shared" si="152"/>
        <v>1</v>
      </c>
      <c r="H2446">
        <f t="shared" si="153"/>
        <v>0</v>
      </c>
      <c r="I2446" s="6">
        <v>0.39652777777777776</v>
      </c>
      <c r="J2446" s="6">
        <v>0.81874999999999998</v>
      </c>
      <c r="K2446" s="7" t="s">
        <v>13</v>
      </c>
      <c r="L2446" s="7" t="s">
        <v>14</v>
      </c>
      <c r="M2446" s="7" t="s">
        <v>21</v>
      </c>
      <c r="N2446" s="7">
        <f>COUNTIFS(A:A,A2446,D:D,D2446,E:E,I2446)</f>
        <v>0</v>
      </c>
    </row>
    <row r="2447" spans="1:14" x14ac:dyDescent="0.3">
      <c r="A2447" s="7" t="s">
        <v>87</v>
      </c>
      <c r="B2447" s="7" t="s">
        <v>88</v>
      </c>
      <c r="C2447" s="7" t="s">
        <v>426</v>
      </c>
      <c r="D2447" s="8">
        <v>45444</v>
      </c>
      <c r="E2447" s="8" t="str">
        <f>TEXT(D2447,"mmmm")</f>
        <v>June</v>
      </c>
      <c r="F2447">
        <f t="shared" si="151"/>
        <v>2024</v>
      </c>
      <c r="G2447">
        <f t="shared" si="152"/>
        <v>1</v>
      </c>
      <c r="H2447">
        <f t="shared" si="153"/>
        <v>0</v>
      </c>
      <c r="I2447" s="6">
        <v>0.37291666666666667</v>
      </c>
      <c r="J2447" s="6">
        <v>0.86736111111111114</v>
      </c>
      <c r="K2447" s="7" t="s">
        <v>20</v>
      </c>
      <c r="L2447" s="7" t="s">
        <v>14</v>
      </c>
      <c r="M2447" s="7" t="s">
        <v>15</v>
      </c>
      <c r="N2447" s="7">
        <f>COUNTIFS(A:A,A2447,D:D,D2447,E:E,I2447)</f>
        <v>0</v>
      </c>
    </row>
    <row r="2448" spans="1:14" x14ac:dyDescent="0.3">
      <c r="A2448" s="7" t="s">
        <v>34</v>
      </c>
      <c r="B2448" s="7" t="s">
        <v>35</v>
      </c>
      <c r="C2448" s="7" t="s">
        <v>425</v>
      </c>
      <c r="D2448" s="8">
        <v>45597</v>
      </c>
      <c r="E2448" s="8" t="str">
        <f>TEXT(D2448,"mmmm")</f>
        <v>November</v>
      </c>
      <c r="F2448">
        <f t="shared" si="151"/>
        <v>2024</v>
      </c>
      <c r="G2448">
        <f t="shared" si="152"/>
        <v>1</v>
      </c>
      <c r="H2448">
        <f t="shared" si="153"/>
        <v>1</v>
      </c>
      <c r="I2448" s="6">
        <v>0.43541666666666667</v>
      </c>
      <c r="J2448" s="6">
        <v>0.86111111111111116</v>
      </c>
      <c r="K2448" s="7" t="s">
        <v>26</v>
      </c>
      <c r="L2448" s="7" t="s">
        <v>14</v>
      </c>
      <c r="M2448" s="7" t="s">
        <v>15</v>
      </c>
      <c r="N2448" s="7">
        <f>COUNTIFS(A:A,A2448,D:D,D2448,E:E,I2448)</f>
        <v>0</v>
      </c>
    </row>
    <row r="2449" spans="1:14" x14ac:dyDescent="0.3">
      <c r="A2449" s="7" t="s">
        <v>48</v>
      </c>
      <c r="B2449" s="7" t="s">
        <v>49</v>
      </c>
      <c r="C2449" s="7" t="s">
        <v>425</v>
      </c>
      <c r="D2449" s="8">
        <v>45315</v>
      </c>
      <c r="E2449" s="8" t="str">
        <f>TEXT(D2449,"mmmm")</f>
        <v>January</v>
      </c>
      <c r="F2449">
        <f t="shared" si="151"/>
        <v>2024</v>
      </c>
      <c r="G2449">
        <f t="shared" si="152"/>
        <v>1</v>
      </c>
      <c r="H2449">
        <f t="shared" si="153"/>
        <v>0</v>
      </c>
      <c r="I2449" s="6">
        <v>0.43125000000000002</v>
      </c>
      <c r="J2449" s="6">
        <v>0.79027777777777775</v>
      </c>
      <c r="K2449" s="7" t="s">
        <v>20</v>
      </c>
      <c r="L2449" s="7" t="s">
        <v>27</v>
      </c>
      <c r="M2449" s="7" t="s">
        <v>21</v>
      </c>
      <c r="N2449" s="7">
        <f>COUNTIFS(A:A,A2449,D:D,D2449,E:E,I2449)</f>
        <v>0</v>
      </c>
    </row>
    <row r="2450" spans="1:14" x14ac:dyDescent="0.3">
      <c r="A2450" s="7" t="s">
        <v>315</v>
      </c>
      <c r="B2450" s="7" t="s">
        <v>316</v>
      </c>
      <c r="C2450" s="7" t="s">
        <v>42</v>
      </c>
      <c r="D2450" s="8">
        <v>45325</v>
      </c>
      <c r="E2450" s="8" t="str">
        <f>TEXT(D2450,"mmmm")</f>
        <v>February</v>
      </c>
      <c r="F2450">
        <f t="shared" si="151"/>
        <v>2024</v>
      </c>
      <c r="G2450">
        <f t="shared" si="152"/>
        <v>1</v>
      </c>
      <c r="H2450">
        <f t="shared" si="153"/>
        <v>0</v>
      </c>
      <c r="I2450" s="6">
        <v>0.4513888888888889</v>
      </c>
      <c r="J2450" s="6">
        <v>0.72083333333333333</v>
      </c>
      <c r="K2450" s="7" t="s">
        <v>20</v>
      </c>
      <c r="L2450" s="7" t="s">
        <v>27</v>
      </c>
      <c r="M2450" s="7" t="s">
        <v>15</v>
      </c>
      <c r="N2450" s="7">
        <f>COUNTIFS(A:A,A2450,D:D,D2450,E:E,I2450)</f>
        <v>0</v>
      </c>
    </row>
    <row r="2451" spans="1:14" x14ac:dyDescent="0.3">
      <c r="A2451" s="7" t="s">
        <v>291</v>
      </c>
      <c r="B2451" s="7" t="s">
        <v>292</v>
      </c>
      <c r="C2451" s="7" t="s">
        <v>425</v>
      </c>
      <c r="D2451" s="8">
        <v>45370</v>
      </c>
      <c r="E2451" s="8" t="str">
        <f>TEXT(D2451,"mmmm")</f>
        <v>March</v>
      </c>
      <c r="F2451">
        <f t="shared" si="151"/>
        <v>2024</v>
      </c>
      <c r="G2451">
        <f t="shared" si="152"/>
        <v>1</v>
      </c>
      <c r="H2451">
        <f t="shared" si="153"/>
        <v>0</v>
      </c>
      <c r="I2451" s="6">
        <v>0.4236111111111111</v>
      </c>
      <c r="J2451" s="6">
        <v>0.81666666666666665</v>
      </c>
      <c r="K2451" s="7" t="s">
        <v>13</v>
      </c>
      <c r="L2451" s="7" t="s">
        <v>27</v>
      </c>
      <c r="M2451" s="7" t="s">
        <v>15</v>
      </c>
      <c r="N2451" s="7">
        <f>COUNTIFS(A:A,A2451,D:D,D2451,E:E,I2451)</f>
        <v>0</v>
      </c>
    </row>
    <row r="2452" spans="1:14" x14ac:dyDescent="0.3">
      <c r="A2452" s="7" t="s">
        <v>87</v>
      </c>
      <c r="B2452" s="7" t="s">
        <v>88</v>
      </c>
      <c r="C2452" s="7" t="s">
        <v>64</v>
      </c>
      <c r="D2452" s="8">
        <v>45292</v>
      </c>
      <c r="E2452" s="8" t="str">
        <f>TEXT(D2452,"mmmm")</f>
        <v>January</v>
      </c>
      <c r="F2452">
        <f t="shared" si="151"/>
        <v>2024</v>
      </c>
      <c r="G2452">
        <f t="shared" si="152"/>
        <v>1</v>
      </c>
      <c r="H2452">
        <f t="shared" si="153"/>
        <v>0</v>
      </c>
      <c r="I2452" s="6">
        <v>0.43819444444444444</v>
      </c>
      <c r="J2452" s="6">
        <v>0.84444444444444444</v>
      </c>
      <c r="K2452" s="7" t="s">
        <v>13</v>
      </c>
      <c r="L2452" s="7" t="s">
        <v>27</v>
      </c>
      <c r="M2452" s="7" t="s">
        <v>15</v>
      </c>
      <c r="N2452" s="7">
        <f>COUNTIFS(A:A,A2452,D:D,D2452,E:E,I2452)</f>
        <v>0</v>
      </c>
    </row>
    <row r="2453" spans="1:14" x14ac:dyDescent="0.3">
      <c r="A2453" s="7" t="s">
        <v>93</v>
      </c>
      <c r="B2453" s="7" t="s">
        <v>94</v>
      </c>
      <c r="C2453" s="7" t="s">
        <v>425</v>
      </c>
      <c r="D2453" s="8">
        <v>45314</v>
      </c>
      <c r="E2453" s="8" t="str">
        <f>TEXT(D2453,"mmmm")</f>
        <v>January</v>
      </c>
      <c r="F2453">
        <f t="shared" si="151"/>
        <v>2024</v>
      </c>
      <c r="G2453">
        <f t="shared" si="152"/>
        <v>1</v>
      </c>
      <c r="H2453">
        <f t="shared" si="153"/>
        <v>0</v>
      </c>
      <c r="I2453" s="6">
        <v>0.37986111111111109</v>
      </c>
      <c r="J2453" s="6">
        <v>0.77500000000000002</v>
      </c>
      <c r="K2453" s="7" t="s">
        <v>20</v>
      </c>
      <c r="L2453" s="7" t="s">
        <v>14</v>
      </c>
      <c r="M2453" s="7" t="s">
        <v>15</v>
      </c>
      <c r="N2453" s="7">
        <f>COUNTIFS(A:A,A2453,D:D,D2453,E:E,I2453)</f>
        <v>0</v>
      </c>
    </row>
    <row r="2454" spans="1:14" x14ac:dyDescent="0.3">
      <c r="A2454" s="7" t="s">
        <v>81</v>
      </c>
      <c r="B2454" s="7" t="s">
        <v>82</v>
      </c>
      <c r="C2454" s="7" t="s">
        <v>425</v>
      </c>
      <c r="D2454" s="8">
        <v>45296</v>
      </c>
      <c r="E2454" s="8" t="str">
        <f>TEXT(D2454,"mmmm")</f>
        <v>January</v>
      </c>
      <c r="F2454">
        <f t="shared" si="151"/>
        <v>2024</v>
      </c>
      <c r="G2454">
        <f t="shared" si="152"/>
        <v>0</v>
      </c>
      <c r="H2454">
        <f t="shared" si="153"/>
        <v>0</v>
      </c>
      <c r="I2454" s="6"/>
      <c r="J2454" s="6"/>
      <c r="K2454" s="7" t="s">
        <v>44</v>
      </c>
      <c r="L2454" s="7" t="s">
        <v>14</v>
      </c>
      <c r="M2454" s="7" t="s">
        <v>21</v>
      </c>
      <c r="N2454" s="7">
        <f>COUNTIFS(A:A,A2454,D:D,D2454,E:E,I2454)</f>
        <v>0</v>
      </c>
    </row>
    <row r="2455" spans="1:14" x14ac:dyDescent="0.3">
      <c r="A2455" s="7" t="s">
        <v>130</v>
      </c>
      <c r="B2455" s="7" t="s">
        <v>131</v>
      </c>
      <c r="C2455" s="7" t="s">
        <v>64</v>
      </c>
      <c r="D2455" s="8">
        <v>45320</v>
      </c>
      <c r="E2455" s="8" t="str">
        <f>TEXT(D2455,"mmmm")</f>
        <v>January</v>
      </c>
      <c r="F2455">
        <f t="shared" si="151"/>
        <v>2024</v>
      </c>
      <c r="G2455">
        <f t="shared" si="152"/>
        <v>1</v>
      </c>
      <c r="H2455">
        <f t="shared" si="153"/>
        <v>1</v>
      </c>
      <c r="I2455" s="6">
        <v>0.4777777777777778</v>
      </c>
      <c r="J2455" s="6">
        <v>0.77361111111111114</v>
      </c>
      <c r="K2455" s="7" t="s">
        <v>26</v>
      </c>
      <c r="L2455" s="7" t="s">
        <v>14</v>
      </c>
      <c r="M2455" s="7" t="s">
        <v>15</v>
      </c>
      <c r="N2455" s="7">
        <f>COUNTIFS(A:A,A2455,D:D,D2455,E:E,I2455)</f>
        <v>0</v>
      </c>
    </row>
    <row r="2456" spans="1:14" x14ac:dyDescent="0.3">
      <c r="A2456" s="7" t="s">
        <v>40</v>
      </c>
      <c r="B2456" s="7" t="s">
        <v>41</v>
      </c>
      <c r="C2456" s="7" t="s">
        <v>60</v>
      </c>
      <c r="D2456" s="8">
        <v>45346</v>
      </c>
      <c r="E2456" s="8" t="str">
        <f>TEXT(D2456,"mmmm")</f>
        <v>February</v>
      </c>
      <c r="F2456">
        <f t="shared" si="151"/>
        <v>2024</v>
      </c>
      <c r="G2456">
        <f t="shared" si="152"/>
        <v>1</v>
      </c>
      <c r="H2456">
        <f t="shared" si="153"/>
        <v>1</v>
      </c>
      <c r="I2456" s="6">
        <v>0.38055555555555554</v>
      </c>
      <c r="J2456" s="6">
        <v>0.75555555555555554</v>
      </c>
      <c r="K2456" s="7" t="s">
        <v>26</v>
      </c>
      <c r="L2456" s="7" t="s">
        <v>14</v>
      </c>
      <c r="M2456" s="7" t="s">
        <v>21</v>
      </c>
      <c r="N2456" s="7">
        <f>COUNTIFS(A:A,A2456,D:D,D2456,E:E,I2456)</f>
        <v>0</v>
      </c>
    </row>
    <row r="2457" spans="1:14" x14ac:dyDescent="0.3">
      <c r="A2457" s="7" t="s">
        <v>134</v>
      </c>
      <c r="B2457" s="7" t="s">
        <v>135</v>
      </c>
      <c r="C2457" s="7" t="s">
        <v>64</v>
      </c>
      <c r="D2457" s="8">
        <v>45597</v>
      </c>
      <c r="E2457" s="8" t="str">
        <f>TEXT(D2457,"mmmm")</f>
        <v>November</v>
      </c>
      <c r="F2457">
        <f t="shared" si="151"/>
        <v>2024</v>
      </c>
      <c r="G2457">
        <f t="shared" si="152"/>
        <v>0</v>
      </c>
      <c r="H2457">
        <f t="shared" si="153"/>
        <v>0</v>
      </c>
      <c r="I2457" s="6"/>
      <c r="J2457" s="6"/>
      <c r="K2457" s="7" t="s">
        <v>44</v>
      </c>
      <c r="L2457" s="7" t="s">
        <v>14</v>
      </c>
      <c r="M2457" s="7" t="s">
        <v>21</v>
      </c>
      <c r="N2457" s="7">
        <f>COUNTIFS(A:A,A2457,D:D,D2457,E:E,I2457)</f>
        <v>0</v>
      </c>
    </row>
    <row r="2458" spans="1:14" x14ac:dyDescent="0.3">
      <c r="A2458" s="7" t="s">
        <v>250</v>
      </c>
      <c r="B2458" s="7" t="s">
        <v>251</v>
      </c>
      <c r="C2458" s="7" t="s">
        <v>425</v>
      </c>
      <c r="D2458" s="8">
        <v>45377</v>
      </c>
      <c r="E2458" s="8" t="str">
        <f>TEXT(D2458,"mmmm")</f>
        <v>March</v>
      </c>
      <c r="F2458">
        <f t="shared" si="151"/>
        <v>2024</v>
      </c>
      <c r="G2458">
        <f t="shared" si="152"/>
        <v>1</v>
      </c>
      <c r="H2458">
        <f t="shared" si="153"/>
        <v>0</v>
      </c>
      <c r="I2458" s="6">
        <v>0.37152777777777779</v>
      </c>
      <c r="J2458" s="6">
        <v>0.68611111111111112</v>
      </c>
      <c r="K2458" s="7" t="s">
        <v>20</v>
      </c>
      <c r="L2458" s="7" t="s">
        <v>14</v>
      </c>
      <c r="M2458" s="7" t="s">
        <v>21</v>
      </c>
      <c r="N2458" s="7">
        <f>COUNTIFS(A:A,A2458,D:D,D2458,E:E,I2458)</f>
        <v>0</v>
      </c>
    </row>
    <row r="2459" spans="1:14" x14ac:dyDescent="0.3">
      <c r="A2459" s="7" t="s">
        <v>119</v>
      </c>
      <c r="B2459" s="7" t="s">
        <v>120</v>
      </c>
      <c r="C2459" s="7" t="s">
        <v>42</v>
      </c>
      <c r="D2459" s="8">
        <v>45445</v>
      </c>
      <c r="E2459" s="8" t="str">
        <f>TEXT(D2459,"mmmm")</f>
        <v>June</v>
      </c>
      <c r="F2459">
        <f t="shared" si="151"/>
        <v>2024</v>
      </c>
      <c r="G2459">
        <f t="shared" si="152"/>
        <v>1</v>
      </c>
      <c r="H2459">
        <f t="shared" si="153"/>
        <v>0</v>
      </c>
      <c r="I2459" s="6">
        <v>0.42222222222222222</v>
      </c>
      <c r="J2459" s="6">
        <v>0.72847222222222219</v>
      </c>
      <c r="K2459" s="7" t="s">
        <v>20</v>
      </c>
      <c r="L2459" s="7" t="s">
        <v>27</v>
      </c>
      <c r="M2459" s="7" t="s">
        <v>21</v>
      </c>
      <c r="N2459" s="7">
        <f>COUNTIFS(A:A,A2459,D:D,D2459,E:E,I2459)</f>
        <v>0</v>
      </c>
    </row>
    <row r="2460" spans="1:14" x14ac:dyDescent="0.3">
      <c r="A2460" s="7" t="s">
        <v>338</v>
      </c>
      <c r="B2460" s="7" t="s">
        <v>339</v>
      </c>
      <c r="C2460" s="7" t="s">
        <v>64</v>
      </c>
      <c r="D2460" s="8">
        <v>45353</v>
      </c>
      <c r="E2460" s="8" t="str">
        <f>TEXT(D2460,"mmmm")</f>
        <v>March</v>
      </c>
      <c r="F2460">
        <f t="shared" si="151"/>
        <v>2024</v>
      </c>
      <c r="G2460">
        <f t="shared" si="152"/>
        <v>1</v>
      </c>
      <c r="H2460">
        <f t="shared" si="153"/>
        <v>1</v>
      </c>
      <c r="I2460" s="6">
        <v>0.41041666666666665</v>
      </c>
      <c r="J2460" s="6">
        <v>0.72361111111111109</v>
      </c>
      <c r="K2460" s="7" t="s">
        <v>26</v>
      </c>
      <c r="L2460" s="7" t="s">
        <v>14</v>
      </c>
      <c r="M2460" s="7" t="s">
        <v>15</v>
      </c>
      <c r="N2460" s="7">
        <f>COUNTIFS(A:A,A2460,D:D,D2460,E:E,I2460)</f>
        <v>0</v>
      </c>
    </row>
    <row r="2461" spans="1:14" x14ac:dyDescent="0.3">
      <c r="A2461" s="7" t="s">
        <v>213</v>
      </c>
      <c r="B2461" s="7" t="s">
        <v>214</v>
      </c>
      <c r="C2461" s="7" t="s">
        <v>64</v>
      </c>
      <c r="D2461" s="8">
        <v>45378</v>
      </c>
      <c r="E2461" s="8" t="str">
        <f>TEXT(D2461,"mmmm")</f>
        <v>March</v>
      </c>
      <c r="F2461">
        <f t="shared" si="151"/>
        <v>2024</v>
      </c>
      <c r="G2461">
        <f t="shared" si="152"/>
        <v>0</v>
      </c>
      <c r="H2461">
        <f t="shared" si="153"/>
        <v>0</v>
      </c>
      <c r="I2461" s="6"/>
      <c r="J2461" s="6"/>
      <c r="K2461" s="7" t="s">
        <v>44</v>
      </c>
      <c r="L2461" s="7" t="s">
        <v>14</v>
      </c>
      <c r="M2461" s="7" t="s">
        <v>21</v>
      </c>
      <c r="N2461" s="7">
        <f>COUNTIFS(A:A,A2461,D:D,D2461,E:E,I2461)</f>
        <v>0</v>
      </c>
    </row>
    <row r="2462" spans="1:14" x14ac:dyDescent="0.3">
      <c r="A2462" s="7" t="s">
        <v>78</v>
      </c>
      <c r="B2462" s="7" t="s">
        <v>79</v>
      </c>
      <c r="C2462" s="7" t="s">
        <v>426</v>
      </c>
      <c r="D2462" s="8">
        <v>45505</v>
      </c>
      <c r="E2462" s="8" t="str">
        <f>TEXT(D2462,"mmmm")</f>
        <v>August</v>
      </c>
      <c r="F2462">
        <f t="shared" si="151"/>
        <v>2024</v>
      </c>
      <c r="G2462">
        <f t="shared" si="152"/>
        <v>1</v>
      </c>
      <c r="H2462">
        <f t="shared" si="153"/>
        <v>0</v>
      </c>
      <c r="I2462" s="6">
        <v>0.40208333333333335</v>
      </c>
      <c r="J2462" s="6">
        <v>0.73333333333333328</v>
      </c>
      <c r="K2462" s="7" t="s">
        <v>20</v>
      </c>
      <c r="L2462" s="7" t="s">
        <v>14</v>
      </c>
      <c r="M2462" s="7" t="s">
        <v>15</v>
      </c>
      <c r="N2462" s="7">
        <f>COUNTIFS(A:A,A2462,D:D,D2462,E:E,I2462)</f>
        <v>0</v>
      </c>
    </row>
    <row r="2463" spans="1:14" x14ac:dyDescent="0.3">
      <c r="A2463" s="7" t="s">
        <v>165</v>
      </c>
      <c r="B2463" s="7" t="s">
        <v>166</v>
      </c>
      <c r="C2463" s="7" t="s">
        <v>64</v>
      </c>
      <c r="D2463" s="8">
        <v>45381</v>
      </c>
      <c r="E2463" s="8" t="str">
        <f>TEXT(D2463,"mmmm")</f>
        <v>March</v>
      </c>
      <c r="F2463">
        <f t="shared" si="151"/>
        <v>2024</v>
      </c>
      <c r="G2463">
        <f t="shared" si="152"/>
        <v>1</v>
      </c>
      <c r="H2463">
        <f t="shared" si="153"/>
        <v>1</v>
      </c>
      <c r="I2463" s="6">
        <v>0.38750000000000001</v>
      </c>
      <c r="J2463" s="6">
        <v>0.67777777777777781</v>
      </c>
      <c r="K2463" s="7" t="s">
        <v>26</v>
      </c>
      <c r="L2463" s="7" t="s">
        <v>14</v>
      </c>
      <c r="M2463" s="7" t="s">
        <v>21</v>
      </c>
      <c r="N2463" s="7">
        <f>COUNTIFS(A:A,A2463,D:D,D2463,E:E,I2463)</f>
        <v>0</v>
      </c>
    </row>
    <row r="2464" spans="1:14" x14ac:dyDescent="0.3">
      <c r="A2464" s="7" t="s">
        <v>171</v>
      </c>
      <c r="B2464" s="7" t="s">
        <v>172</v>
      </c>
      <c r="C2464" s="7" t="s">
        <v>60</v>
      </c>
      <c r="D2464" s="8">
        <v>45353</v>
      </c>
      <c r="E2464" s="8" t="str">
        <f>TEXT(D2464,"mmmm")</f>
        <v>March</v>
      </c>
      <c r="F2464">
        <f t="shared" si="151"/>
        <v>2024</v>
      </c>
      <c r="G2464">
        <f t="shared" si="152"/>
        <v>1</v>
      </c>
      <c r="H2464">
        <f t="shared" si="153"/>
        <v>0</v>
      </c>
      <c r="I2464" s="6">
        <v>0.4375</v>
      </c>
      <c r="J2464" s="6">
        <v>0.6791666666666667</v>
      </c>
      <c r="K2464" s="7" t="s">
        <v>13</v>
      </c>
      <c r="L2464" s="7" t="s">
        <v>14</v>
      </c>
      <c r="M2464" s="7" t="s">
        <v>15</v>
      </c>
      <c r="N2464" s="7">
        <f>COUNTIFS(A:A,A2464,D:D,D2464,E:E,I2464)</f>
        <v>0</v>
      </c>
    </row>
    <row r="2465" spans="1:14" x14ac:dyDescent="0.3">
      <c r="A2465" s="7" t="s">
        <v>112</v>
      </c>
      <c r="B2465" s="7" t="s">
        <v>113</v>
      </c>
      <c r="C2465" s="7" t="s">
        <v>42</v>
      </c>
      <c r="D2465" s="8">
        <v>45373</v>
      </c>
      <c r="E2465" s="8" t="str">
        <f>TEXT(D2465,"mmmm")</f>
        <v>March</v>
      </c>
      <c r="F2465">
        <f t="shared" si="151"/>
        <v>2024</v>
      </c>
      <c r="G2465">
        <f t="shared" si="152"/>
        <v>0</v>
      </c>
      <c r="H2465">
        <f t="shared" si="153"/>
        <v>0</v>
      </c>
      <c r="I2465" s="6"/>
      <c r="J2465" s="6"/>
      <c r="K2465" s="7" t="s">
        <v>44</v>
      </c>
      <c r="L2465" s="7" t="s">
        <v>14</v>
      </c>
      <c r="M2465" s="7" t="s">
        <v>15</v>
      </c>
      <c r="N2465" s="7">
        <f>COUNTIFS(A:A,A2465,D:D,D2465,E:E,I2465)</f>
        <v>0</v>
      </c>
    </row>
    <row r="2466" spans="1:14" x14ac:dyDescent="0.3">
      <c r="A2466" s="7" t="s">
        <v>66</v>
      </c>
      <c r="B2466" s="7" t="s">
        <v>67</v>
      </c>
      <c r="C2466" s="7" t="s">
        <v>42</v>
      </c>
      <c r="D2466" s="8">
        <v>45316</v>
      </c>
      <c r="E2466" s="8" t="str">
        <f>TEXT(D2466,"mmmm")</f>
        <v>January</v>
      </c>
      <c r="F2466">
        <f t="shared" si="151"/>
        <v>2024</v>
      </c>
      <c r="G2466">
        <f t="shared" si="152"/>
        <v>1</v>
      </c>
      <c r="H2466">
        <f t="shared" si="153"/>
        <v>0</v>
      </c>
      <c r="I2466" s="6">
        <v>0.48819444444444443</v>
      </c>
      <c r="J2466" s="6">
        <v>0.78888888888888886</v>
      </c>
      <c r="K2466" s="7" t="s">
        <v>20</v>
      </c>
      <c r="L2466" s="7" t="s">
        <v>27</v>
      </c>
      <c r="M2466" s="7" t="s">
        <v>15</v>
      </c>
      <c r="N2466" s="7">
        <f>COUNTIFS(A:A,A2466,D:D,D2466,E:E,I2466)</f>
        <v>0</v>
      </c>
    </row>
    <row r="2467" spans="1:14" x14ac:dyDescent="0.3">
      <c r="A2467" s="7" t="s">
        <v>102</v>
      </c>
      <c r="B2467" s="7" t="s">
        <v>103</v>
      </c>
      <c r="C2467" s="7" t="s">
        <v>425</v>
      </c>
      <c r="D2467" s="8">
        <v>45362</v>
      </c>
      <c r="E2467" s="8" t="str">
        <f>TEXT(D2467,"mmmm")</f>
        <v>March</v>
      </c>
      <c r="F2467">
        <f t="shared" si="151"/>
        <v>2024</v>
      </c>
      <c r="G2467">
        <f t="shared" si="152"/>
        <v>0</v>
      </c>
      <c r="H2467">
        <f t="shared" si="153"/>
        <v>0</v>
      </c>
      <c r="I2467" s="6"/>
      <c r="J2467" s="6"/>
      <c r="K2467" s="7" t="s">
        <v>44</v>
      </c>
      <c r="L2467" s="7" t="s">
        <v>14</v>
      </c>
      <c r="M2467" s="7" t="s">
        <v>21</v>
      </c>
      <c r="N2467" s="7">
        <f>COUNTIFS(A:A,A2467,D:D,D2467,E:E,I2467)</f>
        <v>0</v>
      </c>
    </row>
    <row r="2468" spans="1:14" x14ac:dyDescent="0.3">
      <c r="A2468" s="7" t="s">
        <v>52</v>
      </c>
      <c r="B2468" s="7" t="s">
        <v>53</v>
      </c>
      <c r="C2468" s="7" t="s">
        <v>42</v>
      </c>
      <c r="D2468" s="8">
        <v>45350</v>
      </c>
      <c r="E2468" s="8" t="str">
        <f>TEXT(D2468,"mmmm")</f>
        <v>February</v>
      </c>
      <c r="F2468">
        <f t="shared" si="151"/>
        <v>2024</v>
      </c>
      <c r="G2468">
        <f t="shared" si="152"/>
        <v>1</v>
      </c>
      <c r="H2468">
        <f t="shared" si="153"/>
        <v>0</v>
      </c>
      <c r="I2468" s="6">
        <v>0.43958333333333333</v>
      </c>
      <c r="J2468" s="6">
        <v>0.86458333333333337</v>
      </c>
      <c r="K2468" s="7" t="s">
        <v>20</v>
      </c>
      <c r="L2468" s="7" t="s">
        <v>27</v>
      </c>
      <c r="M2468" s="7" t="s">
        <v>21</v>
      </c>
      <c r="N2468" s="7">
        <f>COUNTIFS(A:A,A2468,D:D,D2468,E:E,I2468)</f>
        <v>0</v>
      </c>
    </row>
    <row r="2469" spans="1:14" x14ac:dyDescent="0.3">
      <c r="A2469" s="7" t="s">
        <v>216</v>
      </c>
      <c r="B2469" s="7" t="s">
        <v>217</v>
      </c>
      <c r="C2469" s="7" t="s">
        <v>42</v>
      </c>
      <c r="D2469" s="8">
        <v>45307</v>
      </c>
      <c r="E2469" s="8" t="str">
        <f>TEXT(D2469,"mmmm")</f>
        <v>January</v>
      </c>
      <c r="F2469">
        <f t="shared" si="151"/>
        <v>2024</v>
      </c>
      <c r="G2469">
        <f t="shared" si="152"/>
        <v>1</v>
      </c>
      <c r="H2469">
        <f t="shared" si="153"/>
        <v>0</v>
      </c>
      <c r="I2469" s="6">
        <v>0.43125000000000002</v>
      </c>
      <c r="J2469" s="6">
        <v>0.86041666666666672</v>
      </c>
      <c r="K2469" s="7" t="s">
        <v>20</v>
      </c>
      <c r="L2469" s="7" t="s">
        <v>27</v>
      </c>
      <c r="M2469" s="7" t="s">
        <v>21</v>
      </c>
      <c r="N2469" s="7">
        <f>COUNTIFS(A:A,A2469,D:D,D2469,E:E,I2469)</f>
        <v>0</v>
      </c>
    </row>
    <row r="2470" spans="1:14" x14ac:dyDescent="0.3">
      <c r="A2470" s="7" t="s">
        <v>78</v>
      </c>
      <c r="B2470" s="7" t="s">
        <v>79</v>
      </c>
      <c r="C2470" s="7" t="s">
        <v>60</v>
      </c>
      <c r="D2470" s="8">
        <v>45315</v>
      </c>
      <c r="E2470" s="8" t="str">
        <f>TEXT(D2470,"mmmm")</f>
        <v>January</v>
      </c>
      <c r="F2470">
        <f t="shared" si="151"/>
        <v>2024</v>
      </c>
      <c r="G2470">
        <f t="shared" si="152"/>
        <v>0</v>
      </c>
      <c r="H2470">
        <f t="shared" si="153"/>
        <v>0</v>
      </c>
      <c r="I2470" s="6"/>
      <c r="J2470" s="6"/>
      <c r="K2470" s="7" t="s">
        <v>44</v>
      </c>
      <c r="L2470" s="7" t="s">
        <v>27</v>
      </c>
      <c r="M2470" s="7" t="s">
        <v>15</v>
      </c>
      <c r="N2470" s="7">
        <f>COUNTIFS(A:A,A2470,D:D,D2470,E:E,I2470)</f>
        <v>0</v>
      </c>
    </row>
    <row r="2471" spans="1:14" x14ac:dyDescent="0.3">
      <c r="A2471" s="7" t="s">
        <v>338</v>
      </c>
      <c r="B2471" s="7" t="s">
        <v>339</v>
      </c>
      <c r="C2471" s="7" t="s">
        <v>425</v>
      </c>
      <c r="D2471" s="8">
        <v>45598</v>
      </c>
      <c r="E2471" s="8" t="str">
        <f>TEXT(D2471,"mmmm")</f>
        <v>November</v>
      </c>
      <c r="F2471">
        <f t="shared" si="151"/>
        <v>2024</v>
      </c>
      <c r="G2471">
        <f t="shared" si="152"/>
        <v>0</v>
      </c>
      <c r="H2471">
        <f t="shared" si="153"/>
        <v>0</v>
      </c>
      <c r="I2471" s="6"/>
      <c r="J2471" s="6"/>
      <c r="K2471" s="7" t="s">
        <v>44</v>
      </c>
      <c r="L2471" s="7" t="s">
        <v>14</v>
      </c>
      <c r="M2471" s="7" t="s">
        <v>15</v>
      </c>
      <c r="N2471" s="7">
        <f>COUNTIFS(A:A,A2471,D:D,D2471,E:E,I2471)</f>
        <v>0</v>
      </c>
    </row>
    <row r="2472" spans="1:14" x14ac:dyDescent="0.3">
      <c r="A2472" s="7" t="s">
        <v>55</v>
      </c>
      <c r="B2472" s="7" t="s">
        <v>56</v>
      </c>
      <c r="C2472" s="7" t="s">
        <v>64</v>
      </c>
      <c r="D2472" s="8">
        <v>45296</v>
      </c>
      <c r="E2472" s="8" t="str">
        <f>TEXT(D2472,"mmmm")</f>
        <v>January</v>
      </c>
      <c r="F2472">
        <f t="shared" si="151"/>
        <v>2024</v>
      </c>
      <c r="G2472">
        <f t="shared" si="152"/>
        <v>1</v>
      </c>
      <c r="H2472">
        <f t="shared" si="153"/>
        <v>0</v>
      </c>
      <c r="I2472" s="6">
        <v>0.41597222222222224</v>
      </c>
      <c r="J2472" s="6">
        <v>0.68055555555555558</v>
      </c>
      <c r="K2472" s="7" t="s">
        <v>20</v>
      </c>
      <c r="L2472" s="7" t="s">
        <v>27</v>
      </c>
      <c r="M2472" s="7" t="s">
        <v>21</v>
      </c>
      <c r="N2472" s="7">
        <f>COUNTIFS(A:A,A2472,D:D,D2472,E:E,I2472)</f>
        <v>0</v>
      </c>
    </row>
    <row r="2473" spans="1:14" x14ac:dyDescent="0.3">
      <c r="A2473" s="7" t="s">
        <v>55</v>
      </c>
      <c r="B2473" s="7" t="s">
        <v>56</v>
      </c>
      <c r="C2473" s="7" t="s">
        <v>425</v>
      </c>
      <c r="D2473" s="8">
        <v>45598</v>
      </c>
      <c r="E2473" s="8" t="str">
        <f>TEXT(D2473,"mmmm")</f>
        <v>November</v>
      </c>
      <c r="F2473">
        <f t="shared" si="151"/>
        <v>2024</v>
      </c>
      <c r="G2473">
        <f t="shared" si="152"/>
        <v>1</v>
      </c>
      <c r="H2473">
        <f t="shared" si="153"/>
        <v>0</v>
      </c>
      <c r="I2473" s="6">
        <v>0.4465277777777778</v>
      </c>
      <c r="J2473" s="6">
        <v>0.83819444444444446</v>
      </c>
      <c r="K2473" s="7" t="s">
        <v>13</v>
      </c>
      <c r="L2473" s="7" t="s">
        <v>27</v>
      </c>
      <c r="M2473" s="7" t="s">
        <v>21</v>
      </c>
      <c r="N2473" s="7">
        <f>COUNTIFS(A:A,A2473,D:D,D2473,E:E,I2473)</f>
        <v>0</v>
      </c>
    </row>
    <row r="2474" spans="1:14" x14ac:dyDescent="0.3">
      <c r="A2474" s="7" t="s">
        <v>72</v>
      </c>
      <c r="B2474" s="7" t="s">
        <v>73</v>
      </c>
      <c r="C2474" s="7" t="s">
        <v>42</v>
      </c>
      <c r="D2474" s="8">
        <v>45324</v>
      </c>
      <c r="E2474" s="8" t="str">
        <f>TEXT(D2474,"mmmm")</f>
        <v>February</v>
      </c>
      <c r="F2474">
        <f t="shared" si="151"/>
        <v>2024</v>
      </c>
      <c r="G2474">
        <f t="shared" si="152"/>
        <v>1</v>
      </c>
      <c r="H2474">
        <f t="shared" si="153"/>
        <v>1</v>
      </c>
      <c r="I2474" s="6">
        <v>0.44791666666666669</v>
      </c>
      <c r="J2474" s="6">
        <v>0.78055555555555556</v>
      </c>
      <c r="K2474" s="7" t="s">
        <v>26</v>
      </c>
      <c r="L2474" s="7" t="s">
        <v>27</v>
      </c>
      <c r="M2474" s="7" t="s">
        <v>21</v>
      </c>
      <c r="N2474" s="7">
        <f>COUNTIFS(A:A,A2474,D:D,D2474,E:E,I2474)</f>
        <v>0</v>
      </c>
    </row>
    <row r="2475" spans="1:14" x14ac:dyDescent="0.3">
      <c r="A2475" s="7" t="s">
        <v>16</v>
      </c>
      <c r="B2475" s="7" t="s">
        <v>17</v>
      </c>
      <c r="C2475" s="7" t="s">
        <v>60</v>
      </c>
      <c r="D2475" s="8">
        <v>45368</v>
      </c>
      <c r="E2475" s="8" t="str">
        <f>TEXT(D2475,"mmmm")</f>
        <v>March</v>
      </c>
      <c r="F2475">
        <f t="shared" si="151"/>
        <v>2024</v>
      </c>
      <c r="G2475">
        <f t="shared" si="152"/>
        <v>1</v>
      </c>
      <c r="H2475">
        <f t="shared" si="153"/>
        <v>1</v>
      </c>
      <c r="I2475" s="6">
        <v>0.40694444444444444</v>
      </c>
      <c r="J2475" s="6">
        <v>0.85069444444444442</v>
      </c>
      <c r="K2475" s="7" t="s">
        <v>26</v>
      </c>
      <c r="L2475" s="7" t="s">
        <v>27</v>
      </c>
      <c r="M2475" s="7" t="s">
        <v>15</v>
      </c>
      <c r="N2475" s="7">
        <f>COUNTIFS(A:A,A2475,D:D,D2475,E:E,I2475)</f>
        <v>0</v>
      </c>
    </row>
    <row r="2476" spans="1:14" x14ac:dyDescent="0.3">
      <c r="A2476" s="7" t="s">
        <v>175</v>
      </c>
      <c r="B2476" s="7" t="s">
        <v>176</v>
      </c>
      <c r="C2476" s="7" t="s">
        <v>426</v>
      </c>
      <c r="D2476" s="8">
        <v>45536</v>
      </c>
      <c r="E2476" s="8" t="str">
        <f>TEXT(D2476,"mmmm")</f>
        <v>September</v>
      </c>
      <c r="F2476">
        <f t="shared" si="151"/>
        <v>2024</v>
      </c>
      <c r="G2476">
        <f t="shared" si="152"/>
        <v>1</v>
      </c>
      <c r="H2476">
        <f t="shared" si="153"/>
        <v>0</v>
      </c>
      <c r="I2476" s="6">
        <v>0.43194444444444446</v>
      </c>
      <c r="J2476" s="6">
        <v>0.69722222222222219</v>
      </c>
      <c r="K2476" s="7" t="s">
        <v>13</v>
      </c>
      <c r="L2476" s="7" t="s">
        <v>27</v>
      </c>
      <c r="M2476" s="7" t="s">
        <v>21</v>
      </c>
      <c r="N2476" s="7">
        <f>COUNTIFS(A:A,A2476,D:D,D2476,E:E,I2476)</f>
        <v>0</v>
      </c>
    </row>
    <row r="2477" spans="1:14" x14ac:dyDescent="0.3">
      <c r="A2477" s="7" t="s">
        <v>146</v>
      </c>
      <c r="B2477" s="7" t="s">
        <v>147</v>
      </c>
      <c r="C2477" s="7" t="s">
        <v>42</v>
      </c>
      <c r="D2477" s="8">
        <v>45323</v>
      </c>
      <c r="E2477" s="8" t="str">
        <f>TEXT(D2477,"mmmm")</f>
        <v>February</v>
      </c>
      <c r="F2477">
        <f t="shared" si="151"/>
        <v>2024</v>
      </c>
      <c r="G2477">
        <f t="shared" si="152"/>
        <v>0</v>
      </c>
      <c r="H2477">
        <f t="shared" si="153"/>
        <v>0</v>
      </c>
      <c r="I2477" s="6"/>
      <c r="J2477" s="6"/>
      <c r="K2477" s="7" t="s">
        <v>44</v>
      </c>
      <c r="L2477" s="7" t="s">
        <v>14</v>
      </c>
      <c r="M2477" s="7" t="s">
        <v>21</v>
      </c>
      <c r="N2477" s="7">
        <f>COUNTIFS(A:A,A2477,D:D,D2477,E:E,I2477)</f>
        <v>0</v>
      </c>
    </row>
    <row r="2478" spans="1:14" x14ac:dyDescent="0.3">
      <c r="A2478" s="7" t="s">
        <v>96</v>
      </c>
      <c r="B2478" s="7" t="s">
        <v>97</v>
      </c>
      <c r="C2478" s="7" t="s">
        <v>426</v>
      </c>
      <c r="D2478" s="8">
        <v>45315</v>
      </c>
      <c r="E2478" s="8" t="str">
        <f>TEXT(D2478,"mmmm")</f>
        <v>January</v>
      </c>
      <c r="F2478">
        <f t="shared" si="151"/>
        <v>2024</v>
      </c>
      <c r="G2478">
        <f t="shared" si="152"/>
        <v>1</v>
      </c>
      <c r="H2478">
        <f t="shared" si="153"/>
        <v>0</v>
      </c>
      <c r="I2478" s="6">
        <v>0.43194444444444446</v>
      </c>
      <c r="J2478" s="6">
        <v>0.77916666666666667</v>
      </c>
      <c r="K2478" s="7" t="s">
        <v>20</v>
      </c>
      <c r="L2478" s="7" t="s">
        <v>27</v>
      </c>
      <c r="M2478" s="7" t="s">
        <v>15</v>
      </c>
      <c r="N2478" s="7">
        <f>COUNTIFS(A:A,A2478,D:D,D2478,E:E,I2478)</f>
        <v>0</v>
      </c>
    </row>
    <row r="2479" spans="1:14" x14ac:dyDescent="0.3">
      <c r="A2479" s="7" t="s">
        <v>9</v>
      </c>
      <c r="B2479" s="7" t="s">
        <v>10</v>
      </c>
      <c r="C2479" s="7" t="s">
        <v>60</v>
      </c>
      <c r="D2479" s="8">
        <v>45335</v>
      </c>
      <c r="E2479" s="8" t="str">
        <f>TEXT(D2479,"mmmm")</f>
        <v>February</v>
      </c>
      <c r="F2479">
        <f t="shared" si="151"/>
        <v>2024</v>
      </c>
      <c r="G2479">
        <f t="shared" si="152"/>
        <v>1</v>
      </c>
      <c r="H2479">
        <f t="shared" si="153"/>
        <v>0</v>
      </c>
      <c r="I2479" s="6">
        <v>0.38194444444444442</v>
      </c>
      <c r="J2479" s="6">
        <v>0.67569444444444449</v>
      </c>
      <c r="K2479" s="7" t="s">
        <v>20</v>
      </c>
      <c r="L2479" s="7" t="s">
        <v>14</v>
      </c>
      <c r="M2479" s="7" t="s">
        <v>15</v>
      </c>
      <c r="N2479" s="7">
        <f>COUNTIFS(A:A,A2479,D:D,D2479,E:E,I2479)</f>
        <v>0</v>
      </c>
    </row>
    <row r="2480" spans="1:14" x14ac:dyDescent="0.3">
      <c r="A2480" s="7" t="s">
        <v>250</v>
      </c>
      <c r="B2480" s="7" t="s">
        <v>251</v>
      </c>
      <c r="C2480" s="7" t="s">
        <v>64</v>
      </c>
      <c r="D2480" s="8">
        <v>45507</v>
      </c>
      <c r="E2480" s="8" t="str">
        <f>TEXT(D2480,"mmmm")</f>
        <v>August</v>
      </c>
      <c r="F2480">
        <f t="shared" si="151"/>
        <v>2024</v>
      </c>
      <c r="G2480">
        <f t="shared" si="152"/>
        <v>1</v>
      </c>
      <c r="H2480">
        <f t="shared" si="153"/>
        <v>1</v>
      </c>
      <c r="I2480" s="6">
        <v>0.48333333333333334</v>
      </c>
      <c r="J2480" s="6">
        <v>0.72916666666666663</v>
      </c>
      <c r="K2480" s="7" t="s">
        <v>26</v>
      </c>
      <c r="L2480" s="7" t="s">
        <v>27</v>
      </c>
      <c r="M2480" s="7" t="s">
        <v>21</v>
      </c>
      <c r="N2480" s="7">
        <f>COUNTIFS(A:A,A2480,D:D,D2480,E:E,I2480)</f>
        <v>0</v>
      </c>
    </row>
    <row r="2481" spans="1:14" x14ac:dyDescent="0.3">
      <c r="A2481" s="7" t="s">
        <v>157</v>
      </c>
      <c r="B2481" s="7" t="s">
        <v>158</v>
      </c>
      <c r="C2481" s="7" t="s">
        <v>426</v>
      </c>
      <c r="D2481" s="8">
        <v>45474</v>
      </c>
      <c r="E2481" s="8" t="str">
        <f>TEXT(D2481,"mmmm")</f>
        <v>July</v>
      </c>
      <c r="F2481">
        <f t="shared" si="151"/>
        <v>2024</v>
      </c>
      <c r="G2481">
        <f t="shared" si="152"/>
        <v>1</v>
      </c>
      <c r="H2481">
        <f t="shared" si="153"/>
        <v>0</v>
      </c>
      <c r="I2481" s="6">
        <v>0.38611111111111113</v>
      </c>
      <c r="J2481" s="6">
        <v>0.77916666666666667</v>
      </c>
      <c r="K2481" s="7" t="s">
        <v>20</v>
      </c>
      <c r="L2481" s="7" t="s">
        <v>27</v>
      </c>
      <c r="M2481" s="7" t="s">
        <v>21</v>
      </c>
      <c r="N2481" s="7">
        <f>COUNTIFS(A:A,A2481,D:D,D2481,E:E,I2481)</f>
        <v>0</v>
      </c>
    </row>
    <row r="2482" spans="1:14" x14ac:dyDescent="0.3">
      <c r="A2482" s="7" t="s">
        <v>216</v>
      </c>
      <c r="B2482" s="7" t="s">
        <v>217</v>
      </c>
      <c r="C2482" s="7" t="s">
        <v>425</v>
      </c>
      <c r="D2482" s="8">
        <v>45316</v>
      </c>
      <c r="E2482" s="8" t="str">
        <f>TEXT(D2482,"mmmm")</f>
        <v>January</v>
      </c>
      <c r="F2482">
        <f t="shared" si="151"/>
        <v>2024</v>
      </c>
      <c r="G2482">
        <f t="shared" si="152"/>
        <v>1</v>
      </c>
      <c r="H2482">
        <f t="shared" si="153"/>
        <v>0</v>
      </c>
      <c r="I2482" s="6">
        <v>0.38333333333333336</v>
      </c>
      <c r="J2482" s="6">
        <v>0.75486111111111109</v>
      </c>
      <c r="K2482" s="7" t="s">
        <v>20</v>
      </c>
      <c r="L2482" s="7" t="s">
        <v>14</v>
      </c>
      <c r="M2482" s="7" t="s">
        <v>15</v>
      </c>
      <c r="N2482" s="7">
        <f>COUNTIFS(A:A,A2482,D:D,D2482,E:E,I2482)</f>
        <v>0</v>
      </c>
    </row>
    <row r="2483" spans="1:14" x14ac:dyDescent="0.3">
      <c r="A2483" s="7" t="s">
        <v>102</v>
      </c>
      <c r="B2483" s="7" t="s">
        <v>103</v>
      </c>
      <c r="C2483" s="7" t="s">
        <v>426</v>
      </c>
      <c r="D2483" s="8">
        <v>45367</v>
      </c>
      <c r="E2483" s="8" t="str">
        <f>TEXT(D2483,"mmmm")</f>
        <v>March</v>
      </c>
      <c r="F2483">
        <f t="shared" si="151"/>
        <v>2024</v>
      </c>
      <c r="G2483">
        <f t="shared" si="152"/>
        <v>1</v>
      </c>
      <c r="H2483">
        <f t="shared" si="153"/>
        <v>0</v>
      </c>
      <c r="I2483" s="6">
        <v>0.41319444444444442</v>
      </c>
      <c r="J2483" s="6">
        <v>0.70138888888888884</v>
      </c>
      <c r="K2483" s="7" t="s">
        <v>20</v>
      </c>
      <c r="L2483" s="7" t="s">
        <v>27</v>
      </c>
      <c r="M2483" s="7" t="s">
        <v>21</v>
      </c>
      <c r="N2483" s="7">
        <f>COUNTIFS(A:A,A2483,D:D,D2483,E:E,I2483)</f>
        <v>0</v>
      </c>
    </row>
    <row r="2484" spans="1:14" x14ac:dyDescent="0.3">
      <c r="A2484" s="7" t="s">
        <v>81</v>
      </c>
      <c r="B2484" s="7" t="s">
        <v>82</v>
      </c>
      <c r="C2484" s="7" t="s">
        <v>60</v>
      </c>
      <c r="D2484" s="8">
        <v>45327</v>
      </c>
      <c r="E2484" s="8" t="str">
        <f>TEXT(D2484,"mmmm")</f>
        <v>February</v>
      </c>
      <c r="F2484">
        <f t="shared" si="151"/>
        <v>2024</v>
      </c>
      <c r="G2484">
        <f t="shared" si="152"/>
        <v>0</v>
      </c>
      <c r="H2484">
        <f t="shared" si="153"/>
        <v>0</v>
      </c>
      <c r="I2484" s="6"/>
      <c r="J2484" s="6"/>
      <c r="K2484" s="7" t="s">
        <v>44</v>
      </c>
      <c r="L2484" s="7" t="s">
        <v>14</v>
      </c>
      <c r="M2484" s="7" t="s">
        <v>15</v>
      </c>
      <c r="N2484" s="7">
        <f>COUNTIFS(A:A,A2484,D:D,D2484,E:E,I2484)</f>
        <v>0</v>
      </c>
    </row>
    <row r="2485" spans="1:14" x14ac:dyDescent="0.3">
      <c r="A2485" s="7" t="s">
        <v>16</v>
      </c>
      <c r="B2485" s="7" t="s">
        <v>17</v>
      </c>
      <c r="C2485" s="7" t="s">
        <v>64</v>
      </c>
      <c r="D2485" s="8">
        <v>45329</v>
      </c>
      <c r="E2485" s="8" t="str">
        <f>TEXT(D2485,"mmmm")</f>
        <v>February</v>
      </c>
      <c r="F2485">
        <f t="shared" si="151"/>
        <v>2024</v>
      </c>
      <c r="G2485">
        <f t="shared" si="152"/>
        <v>1</v>
      </c>
      <c r="H2485">
        <f t="shared" si="153"/>
        <v>0</v>
      </c>
      <c r="I2485" s="6">
        <v>0.41597222222222224</v>
      </c>
      <c r="J2485" s="6">
        <v>0.81736111111111109</v>
      </c>
      <c r="K2485" s="7" t="s">
        <v>13</v>
      </c>
      <c r="L2485" s="7" t="s">
        <v>27</v>
      </c>
      <c r="M2485" s="7" t="s">
        <v>21</v>
      </c>
      <c r="N2485" s="7">
        <f>COUNTIFS(A:A,A2485,D:D,D2485,E:E,I2485)</f>
        <v>0</v>
      </c>
    </row>
    <row r="2486" spans="1:14" x14ac:dyDescent="0.3">
      <c r="A2486" s="7" t="s">
        <v>175</v>
      </c>
      <c r="B2486" s="7" t="s">
        <v>176</v>
      </c>
      <c r="C2486" s="7" t="s">
        <v>426</v>
      </c>
      <c r="D2486" s="8">
        <v>45302</v>
      </c>
      <c r="E2486" s="8" t="str">
        <f>TEXT(D2486,"mmmm")</f>
        <v>January</v>
      </c>
      <c r="F2486">
        <f t="shared" si="151"/>
        <v>2024</v>
      </c>
      <c r="G2486">
        <f t="shared" si="152"/>
        <v>1</v>
      </c>
      <c r="H2486">
        <f t="shared" si="153"/>
        <v>0</v>
      </c>
      <c r="I2486" s="6">
        <v>0.39027777777777778</v>
      </c>
      <c r="J2486" s="6">
        <v>0.70486111111111116</v>
      </c>
      <c r="K2486" s="7" t="s">
        <v>13</v>
      </c>
      <c r="L2486" s="7" t="s">
        <v>14</v>
      </c>
      <c r="M2486" s="7" t="s">
        <v>21</v>
      </c>
      <c r="N2486" s="7">
        <f>COUNTIFS(A:A,A2486,D:D,D2486,E:E,I2486)</f>
        <v>0</v>
      </c>
    </row>
    <row r="2487" spans="1:14" x14ac:dyDescent="0.3">
      <c r="A2487" s="7" t="s">
        <v>194</v>
      </c>
      <c r="B2487" s="7" t="s">
        <v>195</v>
      </c>
      <c r="C2487" s="7" t="s">
        <v>42</v>
      </c>
      <c r="D2487" s="8">
        <v>45299</v>
      </c>
      <c r="E2487" s="8" t="str">
        <f>TEXT(D2487,"mmmm")</f>
        <v>January</v>
      </c>
      <c r="F2487">
        <f t="shared" si="151"/>
        <v>2024</v>
      </c>
      <c r="G2487">
        <f t="shared" si="152"/>
        <v>0</v>
      </c>
      <c r="H2487">
        <f t="shared" si="153"/>
        <v>0</v>
      </c>
      <c r="I2487" s="6"/>
      <c r="J2487" s="6"/>
      <c r="K2487" s="7" t="s">
        <v>44</v>
      </c>
      <c r="L2487" s="7" t="s">
        <v>14</v>
      </c>
      <c r="M2487" s="7" t="s">
        <v>21</v>
      </c>
      <c r="N2487" s="7">
        <f>COUNTIFS(A:A,A2487,D:D,D2487,E:E,I2487)</f>
        <v>0</v>
      </c>
    </row>
    <row r="2488" spans="1:14" x14ac:dyDescent="0.3">
      <c r="A2488" s="7" t="s">
        <v>48</v>
      </c>
      <c r="B2488" s="7" t="s">
        <v>49</v>
      </c>
      <c r="C2488" s="7" t="s">
        <v>60</v>
      </c>
      <c r="D2488" s="8">
        <v>45340</v>
      </c>
      <c r="E2488" s="8" t="str">
        <f>TEXT(D2488,"mmmm")</f>
        <v>February</v>
      </c>
      <c r="F2488">
        <f t="shared" si="151"/>
        <v>2024</v>
      </c>
      <c r="G2488">
        <f t="shared" si="152"/>
        <v>0</v>
      </c>
      <c r="H2488">
        <f t="shared" si="153"/>
        <v>0</v>
      </c>
      <c r="I2488" s="6"/>
      <c r="J2488" s="6"/>
      <c r="K2488" s="7" t="s">
        <v>44</v>
      </c>
      <c r="L2488" s="7" t="s">
        <v>14</v>
      </c>
      <c r="M2488" s="7" t="s">
        <v>15</v>
      </c>
      <c r="N2488" s="7">
        <f>COUNTIFS(A:A,A2488,D:D,D2488,E:E,I2488)</f>
        <v>0</v>
      </c>
    </row>
    <row r="2489" spans="1:14" x14ac:dyDescent="0.3">
      <c r="A2489" s="7" t="s">
        <v>34</v>
      </c>
      <c r="B2489" s="7" t="s">
        <v>35</v>
      </c>
      <c r="C2489" s="7" t="s">
        <v>425</v>
      </c>
      <c r="D2489" s="8">
        <v>45413</v>
      </c>
      <c r="E2489" s="8" t="str">
        <f>TEXT(D2489,"mmmm")</f>
        <v>May</v>
      </c>
      <c r="F2489">
        <f t="shared" si="151"/>
        <v>2024</v>
      </c>
      <c r="G2489">
        <f t="shared" si="152"/>
        <v>1</v>
      </c>
      <c r="H2489">
        <f t="shared" si="153"/>
        <v>1</v>
      </c>
      <c r="I2489" s="6">
        <v>0.43472222222222223</v>
      </c>
      <c r="J2489" s="6">
        <v>0.73333333333333328</v>
      </c>
      <c r="K2489" s="7" t="s">
        <v>26</v>
      </c>
      <c r="L2489" s="7" t="s">
        <v>27</v>
      </c>
      <c r="M2489" s="7" t="s">
        <v>15</v>
      </c>
      <c r="N2489" s="7">
        <f>COUNTIFS(A:A,A2489,D:D,D2489,E:E,I2489)</f>
        <v>0</v>
      </c>
    </row>
    <row r="2490" spans="1:14" x14ac:dyDescent="0.3">
      <c r="A2490" s="7" t="s">
        <v>90</v>
      </c>
      <c r="B2490" s="7" t="s">
        <v>91</v>
      </c>
      <c r="C2490" s="7" t="s">
        <v>425</v>
      </c>
      <c r="D2490" s="8">
        <v>45505</v>
      </c>
      <c r="E2490" s="8" t="str">
        <f>TEXT(D2490,"mmmm")</f>
        <v>August</v>
      </c>
      <c r="F2490">
        <f t="shared" si="151"/>
        <v>2024</v>
      </c>
      <c r="G2490">
        <f t="shared" si="152"/>
        <v>1</v>
      </c>
      <c r="H2490">
        <f t="shared" si="153"/>
        <v>1</v>
      </c>
      <c r="I2490" s="6">
        <v>0.4375</v>
      </c>
      <c r="J2490" s="6">
        <v>0.85069444444444442</v>
      </c>
      <c r="K2490" s="7" t="s">
        <v>26</v>
      </c>
      <c r="L2490" s="7" t="s">
        <v>27</v>
      </c>
      <c r="M2490" s="7" t="s">
        <v>21</v>
      </c>
      <c r="N2490" s="7">
        <f>COUNTIFS(A:A,A2490,D:D,D2490,E:E,I2490)</f>
        <v>0</v>
      </c>
    </row>
    <row r="2491" spans="1:14" x14ac:dyDescent="0.3">
      <c r="A2491" s="7" t="s">
        <v>204</v>
      </c>
      <c r="B2491" s="7" t="s">
        <v>205</v>
      </c>
      <c r="C2491" s="7" t="s">
        <v>64</v>
      </c>
      <c r="D2491" s="8">
        <v>45342</v>
      </c>
      <c r="E2491" s="8" t="str">
        <f>TEXT(D2491,"mmmm")</f>
        <v>February</v>
      </c>
      <c r="F2491">
        <f t="shared" si="151"/>
        <v>2024</v>
      </c>
      <c r="G2491">
        <f t="shared" si="152"/>
        <v>1</v>
      </c>
      <c r="H2491">
        <f t="shared" si="153"/>
        <v>0</v>
      </c>
      <c r="I2491" s="6">
        <v>0.43541666666666667</v>
      </c>
      <c r="J2491" s="6">
        <v>0.67291666666666672</v>
      </c>
      <c r="K2491" s="7" t="s">
        <v>13</v>
      </c>
      <c r="L2491" s="7" t="s">
        <v>14</v>
      </c>
      <c r="M2491" s="7" t="s">
        <v>21</v>
      </c>
      <c r="N2491" s="7">
        <f>COUNTIFS(A:A,A2491,D:D,D2491,E:E,I2491)</f>
        <v>0</v>
      </c>
    </row>
    <row r="2492" spans="1:14" x14ac:dyDescent="0.3">
      <c r="A2492" s="7" t="s">
        <v>204</v>
      </c>
      <c r="B2492" s="7" t="s">
        <v>205</v>
      </c>
      <c r="C2492" s="7" t="s">
        <v>42</v>
      </c>
      <c r="D2492" s="8">
        <v>45312</v>
      </c>
      <c r="E2492" s="8" t="str">
        <f>TEXT(D2492,"mmmm")</f>
        <v>January</v>
      </c>
      <c r="F2492">
        <f t="shared" si="151"/>
        <v>2024</v>
      </c>
      <c r="G2492">
        <f t="shared" si="152"/>
        <v>0</v>
      </c>
      <c r="H2492">
        <f t="shared" si="153"/>
        <v>0</v>
      </c>
      <c r="I2492" s="6"/>
      <c r="J2492" s="6"/>
      <c r="K2492" s="7" t="s">
        <v>44</v>
      </c>
      <c r="L2492" s="7" t="s">
        <v>14</v>
      </c>
      <c r="M2492" s="7" t="s">
        <v>21</v>
      </c>
      <c r="N2492" s="7">
        <f>COUNTIFS(A:A,A2492,D:D,D2492,E:E,I2492)</f>
        <v>0</v>
      </c>
    </row>
    <row r="2493" spans="1:14" x14ac:dyDescent="0.3">
      <c r="A2493" s="7" t="s">
        <v>87</v>
      </c>
      <c r="B2493" s="7" t="s">
        <v>88</v>
      </c>
      <c r="C2493" s="7" t="s">
        <v>64</v>
      </c>
      <c r="D2493" s="8">
        <v>45312</v>
      </c>
      <c r="E2493" s="8" t="str">
        <f>TEXT(D2493,"mmmm")</f>
        <v>January</v>
      </c>
      <c r="F2493">
        <f t="shared" si="151"/>
        <v>2024</v>
      </c>
      <c r="G2493">
        <f t="shared" si="152"/>
        <v>0</v>
      </c>
      <c r="H2493">
        <f t="shared" si="153"/>
        <v>0</v>
      </c>
      <c r="I2493" s="6"/>
      <c r="J2493" s="6"/>
      <c r="K2493" s="7" t="s">
        <v>44</v>
      </c>
      <c r="L2493" s="7" t="s">
        <v>27</v>
      </c>
      <c r="M2493" s="7" t="s">
        <v>21</v>
      </c>
      <c r="N2493" s="7">
        <f>COUNTIFS(A:A,A2493,D:D,D2493,E:E,I2493)</f>
        <v>0</v>
      </c>
    </row>
    <row r="2494" spans="1:14" x14ac:dyDescent="0.3">
      <c r="A2494" s="7" t="s">
        <v>134</v>
      </c>
      <c r="B2494" s="7" t="s">
        <v>135</v>
      </c>
      <c r="C2494" s="7" t="s">
        <v>60</v>
      </c>
      <c r="D2494" s="8">
        <v>45597</v>
      </c>
      <c r="E2494" s="8" t="str">
        <f>TEXT(D2494,"mmmm")</f>
        <v>November</v>
      </c>
      <c r="F2494">
        <f t="shared" si="151"/>
        <v>2024</v>
      </c>
      <c r="G2494">
        <f t="shared" si="152"/>
        <v>0</v>
      </c>
      <c r="H2494">
        <f t="shared" si="153"/>
        <v>0</v>
      </c>
      <c r="I2494" s="6"/>
      <c r="J2494" s="6"/>
      <c r="K2494" s="7" t="s">
        <v>44</v>
      </c>
      <c r="L2494" s="7" t="s">
        <v>27</v>
      </c>
      <c r="M2494" s="7" t="s">
        <v>21</v>
      </c>
      <c r="N2494" s="7">
        <f>COUNTIFS(A:A,A2494,D:D,D2494,E:E,I2494)</f>
        <v>0</v>
      </c>
    </row>
    <row r="2495" spans="1:14" x14ac:dyDescent="0.3">
      <c r="A2495" s="7" t="s">
        <v>52</v>
      </c>
      <c r="B2495" s="7" t="s">
        <v>53</v>
      </c>
      <c r="C2495" s="7" t="s">
        <v>426</v>
      </c>
      <c r="D2495" s="8">
        <v>45341</v>
      </c>
      <c r="E2495" s="8" t="str">
        <f>TEXT(D2495,"mmmm")</f>
        <v>February</v>
      </c>
      <c r="F2495">
        <f t="shared" si="151"/>
        <v>2024</v>
      </c>
      <c r="G2495">
        <f t="shared" si="152"/>
        <v>1</v>
      </c>
      <c r="H2495">
        <f t="shared" si="153"/>
        <v>0</v>
      </c>
      <c r="I2495" s="6">
        <v>0.42222222222222222</v>
      </c>
      <c r="J2495" s="6">
        <v>0.86875000000000002</v>
      </c>
      <c r="K2495" s="7" t="s">
        <v>20</v>
      </c>
      <c r="L2495" s="7" t="s">
        <v>14</v>
      </c>
      <c r="M2495" s="7" t="s">
        <v>15</v>
      </c>
      <c r="N2495" s="7">
        <f>COUNTIFS(A:A,A2495,D:D,D2495,E:E,I2495)</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5A0E1-486C-4B39-8A45-6F1537F22C21}">
  <dimension ref="A1:D56"/>
  <sheetViews>
    <sheetView workbookViewId="0">
      <selection activeCell="F9" sqref="F9"/>
    </sheetView>
  </sheetViews>
  <sheetFormatPr defaultRowHeight="14.4" x14ac:dyDescent="0.3"/>
  <cols>
    <col min="1" max="1" width="32.44140625" bestFit="1" customWidth="1"/>
    <col min="2" max="2" width="26.33203125" style="1" customWidth="1"/>
    <col min="3" max="3" width="8.6640625" bestFit="1" customWidth="1"/>
    <col min="4" max="4" width="12.5546875" customWidth="1"/>
  </cols>
  <sheetData>
    <row r="1" spans="1:4" ht="15.6" x14ac:dyDescent="0.3">
      <c r="A1" s="4" t="s">
        <v>467</v>
      </c>
      <c r="B1" s="2"/>
      <c r="C1" s="3"/>
      <c r="D1" s="3"/>
    </row>
    <row r="2" spans="1:4" ht="15.6" x14ac:dyDescent="0.3">
      <c r="A2" s="4"/>
      <c r="B2" s="2"/>
      <c r="C2" s="3"/>
      <c r="D2" s="3"/>
    </row>
    <row r="3" spans="1:4" x14ac:dyDescent="0.3">
      <c r="A3" s="5" t="s">
        <v>450</v>
      </c>
      <c r="B3" s="5" t="s">
        <v>451</v>
      </c>
      <c r="C3" s="3"/>
      <c r="D3" s="3"/>
    </row>
    <row r="4" spans="1:4" x14ac:dyDescent="0.3">
      <c r="A4" s="2" t="s">
        <v>452</v>
      </c>
      <c r="B4" s="2">
        <v>2576</v>
      </c>
      <c r="C4" s="3"/>
      <c r="D4" s="3"/>
    </row>
    <row r="5" spans="1:4" x14ac:dyDescent="0.3">
      <c r="A5" s="2" t="s">
        <v>453</v>
      </c>
      <c r="B5" s="2">
        <v>81</v>
      </c>
      <c r="C5" s="3"/>
      <c r="D5" s="3"/>
    </row>
    <row r="6" spans="1:4" x14ac:dyDescent="0.3">
      <c r="A6" s="2" t="s">
        <v>454</v>
      </c>
      <c r="B6" s="2">
        <v>2494</v>
      </c>
      <c r="C6" s="3"/>
      <c r="D6" s="3"/>
    </row>
    <row r="7" spans="1:4" x14ac:dyDescent="0.3">
      <c r="A7" s="2" t="s">
        <v>455</v>
      </c>
      <c r="B7" s="2">
        <v>5</v>
      </c>
      <c r="C7" s="3"/>
      <c r="D7" s="3"/>
    </row>
    <row r="8" spans="1:4" x14ac:dyDescent="0.3">
      <c r="A8" s="2" t="s">
        <v>456</v>
      </c>
      <c r="B8" s="2" t="s">
        <v>457</v>
      </c>
      <c r="C8" s="3"/>
      <c r="D8" s="3"/>
    </row>
    <row r="9" spans="1:4" x14ac:dyDescent="0.3">
      <c r="A9" s="3"/>
      <c r="B9" s="2"/>
      <c r="C9" s="3"/>
      <c r="D9" s="3"/>
    </row>
    <row r="10" spans="1:4" x14ac:dyDescent="0.3">
      <c r="A10" s="5"/>
      <c r="B10" s="5"/>
      <c r="C10" s="5"/>
      <c r="D10" s="5"/>
    </row>
    <row r="11" spans="1:4" x14ac:dyDescent="0.3">
      <c r="A11" s="2"/>
      <c r="B11" s="2"/>
      <c r="C11" s="2"/>
      <c r="D11" s="2"/>
    </row>
    <row r="12" spans="1:4" ht="15.6" x14ac:dyDescent="0.3">
      <c r="A12" s="4" t="s">
        <v>468</v>
      </c>
      <c r="B12" s="2"/>
      <c r="C12" s="3"/>
      <c r="D12" s="3"/>
    </row>
    <row r="13" spans="1:4" x14ac:dyDescent="0.3">
      <c r="A13" s="5" t="s">
        <v>458</v>
      </c>
      <c r="B13" s="5" t="s">
        <v>459</v>
      </c>
      <c r="C13" s="3"/>
      <c r="D13" s="3"/>
    </row>
    <row r="14" spans="1:4" ht="28.8" x14ac:dyDescent="0.3">
      <c r="A14" s="2" t="s">
        <v>460</v>
      </c>
      <c r="B14" s="2" t="s">
        <v>461</v>
      </c>
      <c r="C14" s="3"/>
      <c r="D14" s="3"/>
    </row>
    <row r="15" spans="1:4" x14ac:dyDescent="0.3">
      <c r="A15" s="2" t="s">
        <v>462</v>
      </c>
      <c r="B15" s="2">
        <v>81</v>
      </c>
      <c r="C15" s="3"/>
      <c r="D15" s="3"/>
    </row>
    <row r="16" spans="1:4" x14ac:dyDescent="0.3">
      <c r="A16" s="2" t="s">
        <v>463</v>
      </c>
      <c r="B16" s="2" t="s">
        <v>464</v>
      </c>
      <c r="C16" s="5"/>
      <c r="D16" s="5"/>
    </row>
    <row r="17" spans="1:4" ht="28.8" x14ac:dyDescent="0.3">
      <c r="A17" s="2" t="s">
        <v>465</v>
      </c>
      <c r="B17" s="2" t="s">
        <v>466</v>
      </c>
      <c r="C17" s="2"/>
      <c r="D17" s="2"/>
    </row>
    <row r="18" spans="1:4" x14ac:dyDescent="0.3">
      <c r="A18" s="3"/>
      <c r="B18" s="2"/>
      <c r="C18" s="3"/>
      <c r="D18" s="3"/>
    </row>
    <row r="19" spans="1:4" x14ac:dyDescent="0.3">
      <c r="A19" s="3"/>
      <c r="B19" s="2"/>
      <c r="C19" s="3"/>
      <c r="D19" s="3"/>
    </row>
    <row r="20" spans="1:4" x14ac:dyDescent="0.3">
      <c r="A20" s="3"/>
      <c r="B20" s="2"/>
      <c r="C20" s="3"/>
      <c r="D20" s="3"/>
    </row>
    <row r="21" spans="1:4" ht="15.6" x14ac:dyDescent="0.3">
      <c r="A21" s="4" t="s">
        <v>477</v>
      </c>
      <c r="B21" s="2"/>
      <c r="C21" s="3"/>
      <c r="D21" s="3"/>
    </row>
    <row r="22" spans="1:4" ht="28.8" x14ac:dyDescent="0.3">
      <c r="A22" s="5" t="s">
        <v>469</v>
      </c>
      <c r="B22" s="5" t="s">
        <v>470</v>
      </c>
      <c r="C22" s="5" t="s">
        <v>463</v>
      </c>
      <c r="D22" s="3"/>
    </row>
    <row r="23" spans="1:4" ht="86.4" x14ac:dyDescent="0.3">
      <c r="A23" s="2" t="s">
        <v>4</v>
      </c>
      <c r="B23" s="2" t="s">
        <v>471</v>
      </c>
      <c r="C23" s="2" t="s">
        <v>472</v>
      </c>
      <c r="D23" s="3"/>
    </row>
    <row r="24" spans="1:4" ht="86.4" x14ac:dyDescent="0.3">
      <c r="A24" s="2" t="s">
        <v>5</v>
      </c>
      <c r="B24" s="2" t="s">
        <v>471</v>
      </c>
      <c r="C24" s="2" t="s">
        <v>472</v>
      </c>
      <c r="D24" s="3"/>
    </row>
    <row r="25" spans="1:4" ht="43.2" x14ac:dyDescent="0.3">
      <c r="A25" s="2" t="s">
        <v>6</v>
      </c>
      <c r="B25" s="2" t="s">
        <v>473</v>
      </c>
      <c r="C25" s="2" t="s">
        <v>474</v>
      </c>
      <c r="D25" s="3"/>
    </row>
    <row r="26" spans="1:4" ht="43.2" x14ac:dyDescent="0.3">
      <c r="A26" s="2" t="s">
        <v>2</v>
      </c>
      <c r="B26" s="2" t="s">
        <v>475</v>
      </c>
      <c r="C26" s="2" t="s">
        <v>476</v>
      </c>
      <c r="D26" s="3"/>
    </row>
    <row r="27" spans="1:4" x14ac:dyDescent="0.3">
      <c r="A27" s="3"/>
      <c r="B27" s="2"/>
      <c r="C27" s="3"/>
      <c r="D27" s="3"/>
    </row>
    <row r="28" spans="1:4" x14ac:dyDescent="0.3">
      <c r="A28" s="3"/>
      <c r="B28" s="2"/>
      <c r="C28" s="3"/>
      <c r="D28" s="3"/>
    </row>
    <row r="29" spans="1:4" x14ac:dyDescent="0.3">
      <c r="A29" s="3"/>
      <c r="B29" s="2"/>
      <c r="C29" s="3"/>
      <c r="D29" s="3"/>
    </row>
    <row r="30" spans="1:4" ht="15.6" x14ac:dyDescent="0.3">
      <c r="A30" s="4" t="s">
        <v>490</v>
      </c>
      <c r="B30" s="2"/>
      <c r="C30" s="3"/>
      <c r="D30" s="3"/>
    </row>
    <row r="31" spans="1:4" x14ac:dyDescent="0.3">
      <c r="A31" s="5" t="s">
        <v>478</v>
      </c>
      <c r="B31" s="5" t="s">
        <v>479</v>
      </c>
      <c r="C31" s="3"/>
      <c r="D31" s="3"/>
    </row>
    <row r="32" spans="1:4" ht="28.8" x14ac:dyDescent="0.3">
      <c r="A32" s="2" t="s">
        <v>480</v>
      </c>
      <c r="B32" s="2" t="s">
        <v>481</v>
      </c>
      <c r="C32" s="3"/>
      <c r="D32" s="3"/>
    </row>
    <row r="33" spans="1:4" ht="28.8" x14ac:dyDescent="0.3">
      <c r="A33" s="2" t="s">
        <v>482</v>
      </c>
      <c r="B33" s="2" t="s">
        <v>483</v>
      </c>
      <c r="C33" s="3"/>
      <c r="D33" s="3"/>
    </row>
    <row r="34" spans="1:4" x14ac:dyDescent="0.3">
      <c r="A34" s="2" t="s">
        <v>484</v>
      </c>
      <c r="B34" s="2" t="s">
        <v>485</v>
      </c>
      <c r="C34" s="3"/>
      <c r="D34" s="3"/>
    </row>
    <row r="35" spans="1:4" x14ac:dyDescent="0.3">
      <c r="A35" s="2" t="s">
        <v>486</v>
      </c>
      <c r="B35" s="2" t="s">
        <v>487</v>
      </c>
      <c r="C35" s="3"/>
      <c r="D35" s="3"/>
    </row>
    <row r="36" spans="1:4" x14ac:dyDescent="0.3">
      <c r="A36" s="2" t="s">
        <v>488</v>
      </c>
      <c r="B36" s="2" t="s">
        <v>489</v>
      </c>
      <c r="C36" s="3"/>
      <c r="D36" s="3"/>
    </row>
    <row r="37" spans="1:4" x14ac:dyDescent="0.3">
      <c r="A37" s="3"/>
      <c r="B37" s="2"/>
      <c r="C37" s="3"/>
      <c r="D37" s="3"/>
    </row>
    <row r="38" spans="1:4" x14ac:dyDescent="0.3">
      <c r="A38" s="3"/>
      <c r="B38" s="2"/>
      <c r="C38" s="3"/>
      <c r="D38" s="3"/>
    </row>
    <row r="39" spans="1:4" x14ac:dyDescent="0.3">
      <c r="A39" s="3"/>
      <c r="B39" s="2"/>
      <c r="C39" s="3"/>
      <c r="D39" s="3"/>
    </row>
    <row r="40" spans="1:4" ht="15.6" x14ac:dyDescent="0.3">
      <c r="A40" s="4" t="s">
        <v>491</v>
      </c>
      <c r="B40" s="3"/>
      <c r="C40" s="3"/>
      <c r="D40" s="3"/>
    </row>
    <row r="41" spans="1:4" x14ac:dyDescent="0.3">
      <c r="A41" s="5" t="s">
        <v>492</v>
      </c>
      <c r="B41" s="5" t="s">
        <v>493</v>
      </c>
      <c r="C41" s="3"/>
      <c r="D41" s="3"/>
    </row>
    <row r="42" spans="1:4" x14ac:dyDescent="0.3">
      <c r="A42" s="2" t="s">
        <v>427</v>
      </c>
      <c r="B42" s="2" t="s">
        <v>494</v>
      </c>
      <c r="C42" s="3"/>
      <c r="D42" s="3"/>
    </row>
    <row r="43" spans="1:4" x14ac:dyDescent="0.3">
      <c r="A43" s="2" t="s">
        <v>428</v>
      </c>
      <c r="B43" s="2" t="s">
        <v>495</v>
      </c>
      <c r="C43" s="3"/>
      <c r="D43" s="3"/>
    </row>
    <row r="44" spans="1:4" x14ac:dyDescent="0.3">
      <c r="A44" s="2" t="s">
        <v>496</v>
      </c>
      <c r="B44" s="2" t="s">
        <v>497</v>
      </c>
      <c r="C44" s="3"/>
      <c r="D44" s="3"/>
    </row>
    <row r="45" spans="1:4" x14ac:dyDescent="0.3">
      <c r="A45" s="2" t="s">
        <v>498</v>
      </c>
      <c r="B45" s="2" t="s">
        <v>499</v>
      </c>
      <c r="C45" s="3"/>
      <c r="D45" s="3"/>
    </row>
    <row r="46" spans="1:4" x14ac:dyDescent="0.3">
      <c r="A46" s="3"/>
      <c r="B46" s="2"/>
      <c r="C46" s="3"/>
      <c r="D46" s="3"/>
    </row>
    <row r="47" spans="1:4" x14ac:dyDescent="0.3">
      <c r="A47" s="3"/>
      <c r="B47" s="2"/>
      <c r="C47" s="3"/>
      <c r="D47" s="3"/>
    </row>
    <row r="48" spans="1:4" x14ac:dyDescent="0.3">
      <c r="A48" s="3"/>
      <c r="B48" s="2"/>
      <c r="C48" s="3"/>
      <c r="D48" s="3"/>
    </row>
    <row r="49" spans="1:4" ht="15.6" x14ac:dyDescent="0.3">
      <c r="A49" s="4" t="s">
        <v>500</v>
      </c>
      <c r="B49" s="3"/>
      <c r="C49" s="3"/>
      <c r="D49" s="3"/>
    </row>
    <row r="50" spans="1:4" x14ac:dyDescent="0.3">
      <c r="A50" s="5" t="s">
        <v>501</v>
      </c>
      <c r="B50" s="5" t="s">
        <v>502</v>
      </c>
      <c r="C50" s="3"/>
      <c r="D50" s="3"/>
    </row>
    <row r="51" spans="1:4" x14ac:dyDescent="0.3">
      <c r="A51" s="2" t="s">
        <v>424</v>
      </c>
      <c r="B51" s="2" t="s">
        <v>489</v>
      </c>
      <c r="C51" s="3"/>
      <c r="D51" s="3"/>
    </row>
    <row r="52" spans="1:4" x14ac:dyDescent="0.3">
      <c r="A52" s="2" t="s">
        <v>503</v>
      </c>
      <c r="B52" s="2" t="s">
        <v>504</v>
      </c>
      <c r="C52" s="3"/>
      <c r="D52" s="3"/>
    </row>
    <row r="53" spans="1:4" x14ac:dyDescent="0.3">
      <c r="A53" s="2" t="s">
        <v>505</v>
      </c>
      <c r="B53" s="2" t="s">
        <v>506</v>
      </c>
      <c r="C53" s="3"/>
      <c r="D53" s="3"/>
    </row>
    <row r="54" spans="1:4" x14ac:dyDescent="0.3">
      <c r="A54" s="2" t="s">
        <v>507</v>
      </c>
      <c r="B54" s="2" t="s">
        <v>508</v>
      </c>
      <c r="C54" s="3"/>
      <c r="D54" s="3"/>
    </row>
    <row r="55" spans="1:4" x14ac:dyDescent="0.3">
      <c r="A55" s="3"/>
      <c r="B55" s="2"/>
      <c r="C55" s="3"/>
      <c r="D55" s="3"/>
    </row>
    <row r="56" spans="1:4" x14ac:dyDescent="0.3">
      <c r="A56" s="3"/>
      <c r="B56" s="2"/>
      <c r="C56" s="3"/>
      <c r="D56"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9B5AC-26C4-4454-8329-B20DB7160EE5}">
  <dimension ref="A3:AB20"/>
  <sheetViews>
    <sheetView topLeftCell="A4" zoomScale="65" workbookViewId="0">
      <selection activeCell="N34" sqref="N34"/>
    </sheetView>
  </sheetViews>
  <sheetFormatPr defaultRowHeight="14.4" x14ac:dyDescent="0.3"/>
  <cols>
    <col min="1" max="1" width="21.5546875" bestFit="1" customWidth="1"/>
    <col min="2" max="2" width="16.6640625" bestFit="1" customWidth="1"/>
    <col min="3" max="3" width="8.6640625" bestFit="1" customWidth="1"/>
    <col min="4" max="4" width="7.33203125" bestFit="1" customWidth="1"/>
    <col min="5" max="5" width="8.33203125" bestFit="1" customWidth="1"/>
    <col min="6" max="7" width="7.33203125" bestFit="1" customWidth="1"/>
    <col min="8" max="8" width="8.33203125" bestFit="1" customWidth="1"/>
    <col min="9" max="9" width="7.33203125" bestFit="1" customWidth="1"/>
    <col min="10" max="10" width="10.33203125" bestFit="1" customWidth="1"/>
    <col min="11" max="11" width="7.77734375" bestFit="1" customWidth="1"/>
    <col min="12" max="12" width="10" bestFit="1" customWidth="1"/>
    <col min="13" max="13" width="9.88671875" bestFit="1" customWidth="1"/>
    <col min="14" max="14" width="11" bestFit="1" customWidth="1"/>
    <col min="15" max="15" width="8.6640625" bestFit="1" customWidth="1"/>
    <col min="16" max="16" width="7.5546875" bestFit="1" customWidth="1"/>
    <col min="17" max="17" width="8.6640625" bestFit="1" customWidth="1"/>
    <col min="18" max="23" width="7" bestFit="1" customWidth="1"/>
    <col min="24" max="24" width="10.6640625" bestFit="1" customWidth="1"/>
    <col min="25" max="25" width="8" bestFit="1" customWidth="1"/>
    <col min="26" max="26" width="10.21875" bestFit="1" customWidth="1"/>
    <col min="27" max="27" width="10" bestFit="1" customWidth="1"/>
    <col min="28" max="28" width="11.109375" bestFit="1" customWidth="1"/>
    <col min="29" max="29" width="8" bestFit="1" customWidth="1"/>
    <col min="30" max="31" width="7" bestFit="1" customWidth="1"/>
    <col min="32" max="32" width="8" bestFit="1" customWidth="1"/>
    <col min="33" max="33" width="7" bestFit="1" customWidth="1"/>
    <col min="34" max="34" width="10.6640625" bestFit="1" customWidth="1"/>
    <col min="35" max="35" width="8" bestFit="1" customWidth="1"/>
    <col min="36" max="36" width="10.21875" bestFit="1" customWidth="1"/>
    <col min="37" max="37" width="10" bestFit="1" customWidth="1"/>
    <col min="38" max="38" width="25.6640625" bestFit="1" customWidth="1"/>
    <col min="39" max="39" width="27.44140625" bestFit="1" customWidth="1"/>
    <col min="40" max="40" width="27.21875" bestFit="1" customWidth="1"/>
    <col min="41" max="41" width="8" bestFit="1" customWidth="1"/>
    <col min="42" max="43" width="7" bestFit="1" customWidth="1"/>
    <col min="44" max="44" width="8" bestFit="1" customWidth="1"/>
    <col min="45" max="45" width="7" bestFit="1" customWidth="1"/>
    <col min="46" max="46" width="10.6640625" bestFit="1" customWidth="1"/>
    <col min="47" max="47" width="8" bestFit="1" customWidth="1"/>
    <col min="48" max="48" width="10.21875" bestFit="1" customWidth="1"/>
    <col min="49" max="49" width="10" bestFit="1" customWidth="1"/>
    <col min="50" max="50" width="20.109375" bestFit="1" customWidth="1"/>
    <col min="51" max="51" width="25.6640625" bestFit="1" customWidth="1"/>
    <col min="52" max="52" width="27.44140625" bestFit="1" customWidth="1"/>
    <col min="53" max="53" width="27.21875" bestFit="1" customWidth="1"/>
  </cols>
  <sheetData>
    <row r="3" spans="1:28" x14ac:dyDescent="0.3">
      <c r="A3" s="9" t="s">
        <v>433</v>
      </c>
      <c r="B3" s="9" t="s">
        <v>446</v>
      </c>
    </row>
    <row r="4" spans="1:28" x14ac:dyDescent="0.3">
      <c r="A4" s="9" t="s">
        <v>431</v>
      </c>
      <c r="B4" t="s">
        <v>434</v>
      </c>
      <c r="C4" t="s">
        <v>435</v>
      </c>
      <c r="D4" t="s">
        <v>436</v>
      </c>
      <c r="E4" t="s">
        <v>437</v>
      </c>
      <c r="F4" t="s">
        <v>438</v>
      </c>
      <c r="G4" t="s">
        <v>439</v>
      </c>
      <c r="H4" t="s">
        <v>440</v>
      </c>
      <c r="I4" t="s">
        <v>441</v>
      </c>
      <c r="J4" t="s">
        <v>442</v>
      </c>
      <c r="K4" t="s">
        <v>443</v>
      </c>
      <c r="L4" t="s">
        <v>444</v>
      </c>
      <c r="M4" t="s">
        <v>445</v>
      </c>
      <c r="N4" t="s">
        <v>432</v>
      </c>
      <c r="P4" s="11" t="s">
        <v>434</v>
      </c>
      <c r="Q4" s="11" t="s">
        <v>435</v>
      </c>
      <c r="R4" s="11" t="s">
        <v>436</v>
      </c>
      <c r="S4" s="11" t="s">
        <v>437</v>
      </c>
      <c r="T4" s="11" t="s">
        <v>438</v>
      </c>
      <c r="U4" s="11" t="s">
        <v>439</v>
      </c>
      <c r="V4" s="11" t="s">
        <v>440</v>
      </c>
      <c r="W4" s="11" t="s">
        <v>441</v>
      </c>
      <c r="X4" s="11" t="s">
        <v>442</v>
      </c>
      <c r="Y4" s="11" t="s">
        <v>443</v>
      </c>
      <c r="Z4" s="11" t="s">
        <v>444</v>
      </c>
      <c r="AA4" s="11" t="s">
        <v>445</v>
      </c>
      <c r="AB4" s="11"/>
    </row>
    <row r="5" spans="1:28" x14ac:dyDescent="0.3">
      <c r="A5" s="10" t="s">
        <v>64</v>
      </c>
      <c r="B5" s="12">
        <v>0.74125874125874125</v>
      </c>
      <c r="C5" s="12">
        <v>0.77372262773722633</v>
      </c>
      <c r="D5" s="12">
        <v>0.76315789473684215</v>
      </c>
      <c r="E5" s="12">
        <v>0.66666666666666663</v>
      </c>
      <c r="F5" s="12">
        <v>0.55555555555555558</v>
      </c>
      <c r="G5" s="12">
        <v>0.76923076923076927</v>
      </c>
      <c r="H5" s="12">
        <v>0.75</v>
      </c>
      <c r="I5" s="12">
        <v>0.83333333333333337</v>
      </c>
      <c r="J5" s="12">
        <v>0.73333333333333328</v>
      </c>
      <c r="K5" s="12">
        <v>0.81818181818181823</v>
      </c>
      <c r="L5" s="12">
        <v>0.42857142857142855</v>
      </c>
      <c r="M5" s="12">
        <v>0.84615384615384615</v>
      </c>
      <c r="N5" s="12">
        <v>0.75334608030592731</v>
      </c>
      <c r="P5" s="20">
        <v>0.78</v>
      </c>
      <c r="Q5" s="20">
        <v>0.77947932618683002</v>
      </c>
      <c r="R5" s="20">
        <v>0.7455357142857143</v>
      </c>
      <c r="S5" s="20">
        <v>0.75</v>
      </c>
      <c r="T5" s="20">
        <v>0.7</v>
      </c>
      <c r="U5" s="20">
        <v>0.7407407407407407</v>
      </c>
      <c r="V5" s="20">
        <v>0.79069767441860461</v>
      </c>
      <c r="W5" s="20">
        <v>0.76666666666666672</v>
      </c>
      <c r="X5" s="20">
        <v>0.73239436619718312</v>
      </c>
      <c r="Y5" s="20">
        <v>0.78846153846153844</v>
      </c>
      <c r="Z5" s="20">
        <v>0.75</v>
      </c>
      <c r="AA5" s="20">
        <v>0.82352941176470584</v>
      </c>
      <c r="AB5" s="20"/>
    </row>
    <row r="6" spans="1:28" x14ac:dyDescent="0.3">
      <c r="A6" s="10" t="s">
        <v>425</v>
      </c>
      <c r="B6" s="12">
        <v>0.76984126984126988</v>
      </c>
      <c r="C6" s="12">
        <v>0.80882352941176472</v>
      </c>
      <c r="D6" s="12">
        <v>0.77419354838709675</v>
      </c>
      <c r="E6" s="12">
        <v>0.81818181818181823</v>
      </c>
      <c r="F6" s="12">
        <v>0.72727272727272729</v>
      </c>
      <c r="G6" s="12">
        <v>0.7</v>
      </c>
      <c r="H6" s="12">
        <v>0.6</v>
      </c>
      <c r="I6" s="12">
        <v>0.6470588235294118</v>
      </c>
      <c r="J6" s="12">
        <v>0.6</v>
      </c>
      <c r="K6" s="12">
        <v>0.88888888888888884</v>
      </c>
      <c r="L6" s="12">
        <v>0.875</v>
      </c>
      <c r="M6" s="12">
        <v>0.7142857142857143</v>
      </c>
      <c r="N6" s="12">
        <v>0.77412731006160163</v>
      </c>
    </row>
    <row r="7" spans="1:28" x14ac:dyDescent="0.3">
      <c r="A7" s="10" t="s">
        <v>426</v>
      </c>
      <c r="B7" s="12">
        <v>0.82432432432432434</v>
      </c>
      <c r="C7" s="12">
        <v>0.78688524590163933</v>
      </c>
      <c r="D7" s="12">
        <v>0.7279411764705882</v>
      </c>
      <c r="E7" s="12">
        <v>1</v>
      </c>
      <c r="F7" s="12">
        <v>0.5714285714285714</v>
      </c>
      <c r="G7" s="12">
        <v>0.72727272727272729</v>
      </c>
      <c r="H7" s="12">
        <v>1</v>
      </c>
      <c r="I7" s="12">
        <v>0.77777777777777779</v>
      </c>
      <c r="J7" s="12">
        <v>0.7</v>
      </c>
      <c r="K7" s="12">
        <v>0.66666666666666663</v>
      </c>
      <c r="L7" s="12">
        <v>0.875</v>
      </c>
      <c r="M7" s="12">
        <v>0.88888888888888884</v>
      </c>
      <c r="N7" s="12">
        <v>0.77661795407098122</v>
      </c>
    </row>
    <row r="8" spans="1:28" x14ac:dyDescent="0.3">
      <c r="A8" s="10" t="s">
        <v>42</v>
      </c>
      <c r="B8" s="12">
        <v>0.72857142857142854</v>
      </c>
      <c r="C8" s="12">
        <v>0.76744186046511631</v>
      </c>
      <c r="D8" s="12">
        <v>0.68807339449541283</v>
      </c>
      <c r="E8" s="12">
        <v>0.7142857142857143</v>
      </c>
      <c r="F8" s="12">
        <v>0.875</v>
      </c>
      <c r="G8" s="12">
        <v>0.72727272727272729</v>
      </c>
      <c r="H8" s="12">
        <v>0.875</v>
      </c>
      <c r="I8" s="12">
        <v>0.8</v>
      </c>
      <c r="J8" s="12">
        <v>0.82352941176470584</v>
      </c>
      <c r="K8" s="12">
        <v>0.7857142857142857</v>
      </c>
      <c r="L8" s="12">
        <v>0.6</v>
      </c>
      <c r="M8" s="12">
        <v>1</v>
      </c>
      <c r="N8" s="12">
        <v>0.74481327800829877</v>
      </c>
    </row>
    <row r="9" spans="1:28" x14ac:dyDescent="0.3">
      <c r="A9" s="10" t="s">
        <v>60</v>
      </c>
      <c r="B9" s="12">
        <v>0.83216783216783219</v>
      </c>
      <c r="C9" s="12">
        <v>0.75968992248062017</v>
      </c>
      <c r="D9" s="12">
        <v>0.76158940397350994</v>
      </c>
      <c r="E9" s="12">
        <v>0.66666666666666663</v>
      </c>
      <c r="F9" s="12">
        <v>0.875</v>
      </c>
      <c r="G9" s="12">
        <v>0.77777777777777779</v>
      </c>
      <c r="H9" s="12">
        <v>0.8666666666666667</v>
      </c>
      <c r="I9" s="12">
        <v>0.875</v>
      </c>
      <c r="J9" s="12">
        <v>0.73684210526315785</v>
      </c>
      <c r="K9" s="12">
        <v>0.75</v>
      </c>
      <c r="L9" s="12">
        <v>0.8571428571428571</v>
      </c>
      <c r="M9" s="12">
        <v>0.69230769230769229</v>
      </c>
      <c r="N9" s="12">
        <v>0.78393881453154879</v>
      </c>
    </row>
    <row r="10" spans="1:28" x14ac:dyDescent="0.3">
      <c r="A10" s="10" t="s">
        <v>432</v>
      </c>
      <c r="B10" s="12">
        <v>0.78</v>
      </c>
      <c r="C10" s="12">
        <v>0.77947932618683002</v>
      </c>
      <c r="D10" s="12">
        <v>0.7455357142857143</v>
      </c>
      <c r="E10" s="12">
        <v>0.75</v>
      </c>
      <c r="F10" s="12">
        <v>0.7</v>
      </c>
      <c r="G10" s="12">
        <v>0.7407407407407407</v>
      </c>
      <c r="H10" s="12">
        <v>0.79069767441860461</v>
      </c>
      <c r="I10" s="12">
        <v>0.76666666666666672</v>
      </c>
      <c r="J10" s="12">
        <v>0.73239436619718312</v>
      </c>
      <c r="K10" s="12">
        <v>0.78846153846153844</v>
      </c>
      <c r="L10" s="12">
        <v>0.75</v>
      </c>
      <c r="M10" s="12">
        <v>0.82352941176470584</v>
      </c>
      <c r="N10" s="12">
        <v>0.76663993584603052</v>
      </c>
    </row>
    <row r="14" spans="1:28" x14ac:dyDescent="0.3">
      <c r="A14" s="13" t="s">
        <v>433</v>
      </c>
    </row>
    <row r="15" spans="1:28" x14ac:dyDescent="0.3">
      <c r="A15" s="11" t="s">
        <v>431</v>
      </c>
      <c r="B15" s="11" t="s">
        <v>432</v>
      </c>
    </row>
    <row r="16" spans="1:28" x14ac:dyDescent="0.3">
      <c r="A16" s="10" t="s">
        <v>64</v>
      </c>
      <c r="B16" s="12">
        <v>0.75334608030592731</v>
      </c>
    </row>
    <row r="17" spans="1:2" x14ac:dyDescent="0.3">
      <c r="A17" s="10" t="s">
        <v>425</v>
      </c>
      <c r="B17" s="12">
        <v>0.77412731006160163</v>
      </c>
    </row>
    <row r="18" spans="1:2" x14ac:dyDescent="0.3">
      <c r="A18" s="10" t="s">
        <v>426</v>
      </c>
      <c r="B18" s="12">
        <v>0.77661795407098122</v>
      </c>
    </row>
    <row r="19" spans="1:2" x14ac:dyDescent="0.3">
      <c r="A19" s="10" t="s">
        <v>42</v>
      </c>
      <c r="B19" s="12">
        <v>0.74481327800829877</v>
      </c>
    </row>
    <row r="20" spans="1:2" x14ac:dyDescent="0.3">
      <c r="A20" s="10" t="s">
        <v>60</v>
      </c>
      <c r="B20" s="12">
        <v>0.78393881453154879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7D3EF-2A20-4EB1-9D61-0D702447B853}">
  <dimension ref="A3:N10"/>
  <sheetViews>
    <sheetView workbookViewId="0">
      <selection activeCell="A3" sqref="A3"/>
    </sheetView>
  </sheetViews>
  <sheetFormatPr defaultRowHeight="14.4" x14ac:dyDescent="0.3"/>
  <cols>
    <col min="1" max="1" width="18.109375" bestFit="1" customWidth="1"/>
    <col min="2" max="2" width="15.5546875" bestFit="1" customWidth="1"/>
    <col min="3" max="3" width="8.44140625" bestFit="1" customWidth="1"/>
    <col min="4" max="9" width="7" bestFit="1" customWidth="1"/>
    <col min="10" max="10" width="10.21875" bestFit="1" customWidth="1"/>
    <col min="11" max="11" width="7.77734375" bestFit="1" customWidth="1"/>
    <col min="12" max="12" width="9.88671875" bestFit="1" customWidth="1"/>
    <col min="13" max="13" width="9.5546875" bestFit="1" customWidth="1"/>
    <col min="14" max="14" width="10.77734375" bestFit="1" customWidth="1"/>
  </cols>
  <sheetData>
    <row r="3" spans="1:14" x14ac:dyDescent="0.3">
      <c r="A3" s="9" t="s">
        <v>447</v>
      </c>
      <c r="B3" s="9" t="s">
        <v>446</v>
      </c>
    </row>
    <row r="4" spans="1:14" x14ac:dyDescent="0.3">
      <c r="A4" s="9" t="s">
        <v>431</v>
      </c>
      <c r="B4" t="s">
        <v>434</v>
      </c>
      <c r="C4" t="s">
        <v>435</v>
      </c>
      <c r="D4" t="s">
        <v>436</v>
      </c>
      <c r="E4" t="s">
        <v>437</v>
      </c>
      <c r="F4" t="s">
        <v>438</v>
      </c>
      <c r="G4" t="s">
        <v>439</v>
      </c>
      <c r="H4" t="s">
        <v>440</v>
      </c>
      <c r="I4" t="s">
        <v>441</v>
      </c>
      <c r="J4" t="s">
        <v>442</v>
      </c>
      <c r="K4" t="s">
        <v>443</v>
      </c>
      <c r="L4" t="s">
        <v>444</v>
      </c>
      <c r="M4" t="s">
        <v>445</v>
      </c>
      <c r="N4" t="s">
        <v>432</v>
      </c>
    </row>
    <row r="5" spans="1:14" x14ac:dyDescent="0.3">
      <c r="A5" s="10" t="s">
        <v>64</v>
      </c>
      <c r="B5" s="12">
        <v>0.1888111888111888</v>
      </c>
      <c r="C5" s="12">
        <v>0.24817518248175183</v>
      </c>
      <c r="D5" s="12">
        <v>0.30921052631578949</v>
      </c>
      <c r="E5" s="12">
        <v>0.55555555555555558</v>
      </c>
      <c r="F5" s="12">
        <v>0.22222222222222221</v>
      </c>
      <c r="G5" s="12">
        <v>0.23076923076923078</v>
      </c>
      <c r="H5" s="12">
        <v>0.25</v>
      </c>
      <c r="I5" s="12">
        <v>0.66666666666666663</v>
      </c>
      <c r="J5" s="12">
        <v>0.2</v>
      </c>
      <c r="K5" s="12">
        <v>0.18181818181818182</v>
      </c>
      <c r="L5" s="12">
        <v>0</v>
      </c>
      <c r="M5" s="12">
        <v>0.30769230769230771</v>
      </c>
      <c r="N5" s="12">
        <v>0.25430210325047803</v>
      </c>
    </row>
    <row r="6" spans="1:14" x14ac:dyDescent="0.3">
      <c r="A6" s="10" t="s">
        <v>425</v>
      </c>
      <c r="B6" s="12">
        <v>0.2857142857142857</v>
      </c>
      <c r="C6" s="12">
        <v>0.21323529411764705</v>
      </c>
      <c r="D6" s="12">
        <v>0.2661290322580645</v>
      </c>
      <c r="E6" s="12">
        <v>0.18181818181818182</v>
      </c>
      <c r="F6" s="12">
        <v>0.45454545454545453</v>
      </c>
      <c r="G6" s="12">
        <v>0.3</v>
      </c>
      <c r="H6" s="12">
        <v>0</v>
      </c>
      <c r="I6" s="12">
        <v>0.29411764705882354</v>
      </c>
      <c r="J6" s="12">
        <v>0.2</v>
      </c>
      <c r="K6" s="12">
        <v>0.33333333333333331</v>
      </c>
      <c r="L6" s="12">
        <v>0.3125</v>
      </c>
      <c r="M6" s="12">
        <v>0.2857142857142857</v>
      </c>
      <c r="N6" s="12">
        <v>0.25667351129363447</v>
      </c>
    </row>
    <row r="7" spans="1:14" x14ac:dyDescent="0.3">
      <c r="A7" s="10" t="s">
        <v>426</v>
      </c>
      <c r="B7" s="12">
        <v>0.25</v>
      </c>
      <c r="C7" s="12">
        <v>0.31967213114754101</v>
      </c>
      <c r="D7" s="12">
        <v>0.23529411764705882</v>
      </c>
      <c r="E7" s="12">
        <v>0.5</v>
      </c>
      <c r="F7" s="12">
        <v>0.21428571428571427</v>
      </c>
      <c r="G7" s="12">
        <v>0.36363636363636365</v>
      </c>
      <c r="H7" s="12">
        <v>0.5</v>
      </c>
      <c r="I7" s="12">
        <v>0.1111111111111111</v>
      </c>
      <c r="J7" s="12">
        <v>0.1</v>
      </c>
      <c r="K7" s="12">
        <v>0.16666666666666666</v>
      </c>
      <c r="L7" s="12">
        <v>0.125</v>
      </c>
      <c r="M7" s="12">
        <v>0.1111111111111111</v>
      </c>
      <c r="N7" s="12">
        <v>0.25678496868475992</v>
      </c>
    </row>
    <row r="8" spans="1:14" x14ac:dyDescent="0.3">
      <c r="A8" s="10" t="s">
        <v>42</v>
      </c>
      <c r="B8" s="12">
        <v>0.26428571428571429</v>
      </c>
      <c r="C8" s="12">
        <v>0.27131782945736432</v>
      </c>
      <c r="D8" s="12">
        <v>0.27522935779816515</v>
      </c>
      <c r="E8" s="12">
        <v>0.2857142857142857</v>
      </c>
      <c r="F8" s="12">
        <v>0.25</v>
      </c>
      <c r="G8" s="12">
        <v>0.27272727272727271</v>
      </c>
      <c r="H8" s="12">
        <v>0.375</v>
      </c>
      <c r="I8" s="12">
        <v>0.1</v>
      </c>
      <c r="J8" s="12">
        <v>0.52941176470588236</v>
      </c>
      <c r="K8" s="12">
        <v>0.42857142857142855</v>
      </c>
      <c r="L8" s="12">
        <v>0.2</v>
      </c>
      <c r="M8" s="12">
        <v>0</v>
      </c>
      <c r="N8" s="12">
        <v>0.27178423236514521</v>
      </c>
    </row>
    <row r="9" spans="1:14" x14ac:dyDescent="0.3">
      <c r="A9" s="10" t="s">
        <v>60</v>
      </c>
      <c r="B9" s="12">
        <v>0.28671328671328672</v>
      </c>
      <c r="C9" s="12">
        <v>0.26356589147286824</v>
      </c>
      <c r="D9" s="12">
        <v>0.25165562913907286</v>
      </c>
      <c r="E9" s="12">
        <v>0</v>
      </c>
      <c r="F9" s="12">
        <v>0.375</v>
      </c>
      <c r="G9" s="12">
        <v>0.22222222222222221</v>
      </c>
      <c r="H9" s="12">
        <v>0.4</v>
      </c>
      <c r="I9" s="12">
        <v>0.5</v>
      </c>
      <c r="J9" s="12">
        <v>0.26315789473684209</v>
      </c>
      <c r="K9" s="12">
        <v>0.25</v>
      </c>
      <c r="L9" s="12">
        <v>0.14285714285714285</v>
      </c>
      <c r="M9" s="12">
        <v>0.30769230769230771</v>
      </c>
      <c r="N9" s="12">
        <v>0.26959847036328871</v>
      </c>
    </row>
    <row r="10" spans="1:14" x14ac:dyDescent="0.3">
      <c r="A10" s="10" t="s">
        <v>432</v>
      </c>
      <c r="B10" s="12">
        <v>0.25428571428571428</v>
      </c>
      <c r="C10" s="12">
        <v>0.26186830015313933</v>
      </c>
      <c r="D10" s="12">
        <v>0.26785714285714285</v>
      </c>
      <c r="E10" s="12">
        <v>0.27500000000000002</v>
      </c>
      <c r="F10" s="12">
        <v>0.3</v>
      </c>
      <c r="G10" s="12">
        <v>0.27777777777777779</v>
      </c>
      <c r="H10" s="12">
        <v>0.27906976744186046</v>
      </c>
      <c r="I10" s="12">
        <v>0.26666666666666666</v>
      </c>
      <c r="J10" s="12">
        <v>0.28169014084507044</v>
      </c>
      <c r="K10" s="12">
        <v>0.28846153846153844</v>
      </c>
      <c r="L10" s="12">
        <v>0.1875</v>
      </c>
      <c r="M10" s="12">
        <v>0.21568627450980393</v>
      </c>
      <c r="N10" s="12">
        <v>0.26182838813151565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1F7E6-0612-44E2-956B-0A5F8A618868}">
  <dimension ref="B2:F4"/>
  <sheetViews>
    <sheetView zoomScale="81" workbookViewId="0">
      <selection activeCell="L23" sqref="L23"/>
    </sheetView>
  </sheetViews>
  <sheetFormatPr defaultRowHeight="14.4" x14ac:dyDescent="0.3"/>
  <cols>
    <col min="2" max="2" width="23.44140625" bestFit="1" customWidth="1"/>
    <col min="4" max="4" width="20.44140625" customWidth="1"/>
    <col min="6" max="6" width="19.5546875" customWidth="1"/>
  </cols>
  <sheetData>
    <row r="2" spans="2:6" ht="18" x14ac:dyDescent="0.35">
      <c r="B2" s="16" t="s">
        <v>448</v>
      </c>
      <c r="D2" s="15" t="s">
        <v>449</v>
      </c>
      <c r="F2" s="15" t="s">
        <v>422</v>
      </c>
    </row>
    <row r="3" spans="2:6" ht="36.6" x14ac:dyDescent="0.7">
      <c r="B3" s="14">
        <f>GETPIVOTDATA("Attendance_Flag",'Monthly Attendance % Trend'!$A$3)</f>
        <v>0.76663993584603052</v>
      </c>
      <c r="D3" s="18">
        <f>GETPIVOTDATA("Late Flag",Late_Trend!$A$3)</f>
        <v>0.26182838813151565</v>
      </c>
      <c r="F3" s="19">
        <f>COUNTA(Modified_Data!A:A)-1</f>
        <v>2494</v>
      </c>
    </row>
    <row r="4" spans="2:6" x14ac:dyDescent="0.3">
      <c r="B4" s="1"/>
      <c r="D4"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07C7-C5A6-4031-A68B-11400AF1A4BA}">
  <dimension ref="A1:A13"/>
  <sheetViews>
    <sheetView tabSelected="1" workbookViewId="0">
      <selection activeCell="A17" sqref="A17"/>
    </sheetView>
  </sheetViews>
  <sheetFormatPr defaultRowHeight="14.4" x14ac:dyDescent="0.3"/>
  <cols>
    <col min="1" max="1" width="123.6640625" bestFit="1" customWidth="1"/>
  </cols>
  <sheetData>
    <row r="1" spans="1:1" ht="23.4" x14ac:dyDescent="0.3">
      <c r="A1" s="21" t="s">
        <v>509</v>
      </c>
    </row>
    <row r="3" spans="1:1" x14ac:dyDescent="0.3">
      <c r="A3" t="s">
        <v>510</v>
      </c>
    </row>
    <row r="5" spans="1:1" x14ac:dyDescent="0.3">
      <c r="A5" t="s">
        <v>511</v>
      </c>
    </row>
    <row r="7" spans="1:1" x14ac:dyDescent="0.3">
      <c r="A7" t="s">
        <v>512</v>
      </c>
    </row>
    <row r="9" spans="1:1" x14ac:dyDescent="0.3">
      <c r="A9" t="s">
        <v>513</v>
      </c>
    </row>
    <row r="11" spans="1:1" x14ac:dyDescent="0.3">
      <c r="A11" t="s">
        <v>514</v>
      </c>
    </row>
    <row r="13" spans="1:1" x14ac:dyDescent="0.3">
      <c r="A13" t="s">
        <v>510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781478-FBCB-40F6-88FD-71C46C5BE7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Dataset</vt:lpstr>
      <vt:lpstr>Modified_Data</vt:lpstr>
      <vt:lpstr>Data_Quality_Assessment</vt:lpstr>
      <vt:lpstr>Monthly Attendance % Trend</vt:lpstr>
      <vt:lpstr>Late_Trend</vt:lpstr>
      <vt:lpstr>Dashboard</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ABHILIPSA PATI</dc:creator>
  <cp:lastModifiedBy>ABHILIPSA PATI</cp:lastModifiedBy>
  <dcterms:created xsi:type="dcterms:W3CDTF">2026-02-21T18:12:56Z</dcterms:created>
  <dcterms:modified xsi:type="dcterms:W3CDTF">2026-02-21T22:59:27Z</dcterms:modified>
</cp:coreProperties>
</file>